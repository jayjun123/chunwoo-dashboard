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b8c881c71dd5844/Desktop/"/>
    </mc:Choice>
  </mc:AlternateContent>
  <xr:revisionPtr revIDLastSave="125" documentId="8_{0156B002-BCBC-4437-83BD-6094AE15FCAA}" xr6:coauthVersionLast="47" xr6:coauthVersionMax="47" xr10:uidLastSave="{3865AC55-C502-4F16-94ED-C4DEEC6F3FC3}"/>
  <bookViews>
    <workbookView xWindow="-120" yWindow="-120" windowWidth="29040" windowHeight="15720" tabRatio="893" xr2:uid="{00000000-000D-0000-FFFF-FFFF00000000}"/>
  </bookViews>
  <sheets>
    <sheet name="갑지" sheetId="67" r:id="rId1"/>
    <sheet name="기성금 내역서" sheetId="65" r:id="rId2"/>
  </sheets>
  <externalReferences>
    <externalReference r:id="rId3"/>
  </externalReferences>
  <definedNames>
    <definedName name="_Order1">255</definedName>
    <definedName name="_Order2">255</definedName>
    <definedName name="_Regression_Int">1</definedName>
    <definedName name="AccessDatabase">"E:\WORK\VISUAL\MIRAE\LOADSYS\LoadDB.mdb"</definedName>
    <definedName name="anscount">1</definedName>
    <definedName name="HTML_CodePage">949</definedName>
    <definedName name="HTML_Control">{"'Sheet1'!$A$4","'Sheet1'!$A$9:$G$28"}</definedName>
    <definedName name="HTML_Description">""</definedName>
    <definedName name="HTML_Email">""</definedName>
    <definedName name="HTML_Header">""</definedName>
    <definedName name="HTML_LastUpdate">"98-06-09"</definedName>
    <definedName name="HTML_LineAfter">FALSE</definedName>
    <definedName name="HTML_LineBefore">FALSE</definedName>
    <definedName name="HTML_Name">"동현조경"</definedName>
    <definedName name="HTML_OBDlg2">TRUE</definedName>
    <definedName name="HTML_OBDlg4">TRUE</definedName>
    <definedName name="HTML_OS">0</definedName>
    <definedName name="HTML_PathFile">"C:\내작업철\견적양식\MyHTML.htm"</definedName>
    <definedName name="HTML_Title">"견적서"</definedName>
    <definedName name="_xlnm.Print_Area" localSheetId="0">갑지!$A$1:$J$44</definedName>
    <definedName name="_xlnm.Print_Area" localSheetId="1">'기성금 내역서'!$A$1:$M$30</definedName>
    <definedName name="_xlnm.Print_Titles" localSheetId="1">'기성금 내역서'!$1:$4</definedName>
    <definedName name="solver_drv">1</definedName>
    <definedName name="solver_est">1</definedName>
    <definedName name="solver_itr">100</definedName>
    <definedName name="solver_lin">0</definedName>
    <definedName name="solver_num">0</definedName>
    <definedName name="solver_nwt">1</definedName>
    <definedName name="solver_pre">0.000001</definedName>
    <definedName name="solver_scl">0</definedName>
    <definedName name="solver_sho">0</definedName>
    <definedName name="solver_tim">100</definedName>
    <definedName name="solver_tol">0.05</definedName>
    <definedName name="solver_typ">1</definedName>
    <definedName name="solver_val">0</definedName>
    <definedName name="가">{"'Sheet1'!$A$4","'Sheet1'!$A$9:$G$28"}</definedName>
    <definedName name="ㅁㅁㅁㅁ">{"'Sheet1'!$A$4","'Sheet1'!$A$9:$G$28"}</definedName>
    <definedName name="세부내역서">[1]세부내역서!$C$3:$J$102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5" i="65" l="1"/>
  <c r="J25" i="65"/>
  <c r="H25" i="65"/>
  <c r="L25" i="65" s="1"/>
  <c r="M25" i="65" s="1"/>
  <c r="F25" i="65"/>
  <c r="K24" i="65"/>
  <c r="J24" i="65"/>
  <c r="H24" i="65"/>
  <c r="L24" i="65" s="1"/>
  <c r="M24" i="65" s="1"/>
  <c r="F24" i="65"/>
  <c r="K23" i="65"/>
  <c r="J23" i="65"/>
  <c r="L23" i="65" s="1"/>
  <c r="M23" i="65" s="1"/>
  <c r="H23" i="65"/>
  <c r="F23" i="65"/>
  <c r="K22" i="65"/>
  <c r="J22" i="65"/>
  <c r="H22" i="65"/>
  <c r="L22" i="65" s="1"/>
  <c r="M22" i="65" s="1"/>
  <c r="F22" i="65"/>
  <c r="K21" i="65"/>
  <c r="J21" i="65"/>
  <c r="H21" i="65"/>
  <c r="L21" i="65" s="1"/>
  <c r="M21" i="65" s="1"/>
  <c r="F21" i="65"/>
  <c r="L20" i="65"/>
  <c r="M20" i="65" s="1"/>
  <c r="K20" i="65"/>
  <c r="J20" i="65"/>
  <c r="H20" i="65"/>
  <c r="F20" i="65"/>
  <c r="K19" i="65"/>
  <c r="J19" i="65"/>
  <c r="H19" i="65"/>
  <c r="L19" i="65" s="1"/>
  <c r="M19" i="65" s="1"/>
  <c r="F19" i="65"/>
  <c r="K18" i="65"/>
  <c r="J18" i="65"/>
  <c r="H18" i="65"/>
  <c r="L18" i="65" s="1"/>
  <c r="M18" i="65" s="1"/>
  <c r="F18" i="65"/>
  <c r="K17" i="65"/>
  <c r="J17" i="65"/>
  <c r="H17" i="65"/>
  <c r="L17" i="65" s="1"/>
  <c r="M17" i="65" s="1"/>
  <c r="F17" i="65"/>
  <c r="K16" i="65"/>
  <c r="J16" i="65"/>
  <c r="H16" i="65"/>
  <c r="L16" i="65" s="1"/>
  <c r="M16" i="65" s="1"/>
  <c r="F16" i="65"/>
  <c r="K15" i="65"/>
  <c r="J15" i="65"/>
  <c r="L15" i="65" s="1"/>
  <c r="M15" i="65" s="1"/>
  <c r="H15" i="65"/>
  <c r="F15" i="65"/>
  <c r="K14" i="65"/>
  <c r="J14" i="65"/>
  <c r="H14" i="65"/>
  <c r="L14" i="65" s="1"/>
  <c r="M14" i="65" s="1"/>
  <c r="F14" i="65"/>
  <c r="K13" i="65"/>
  <c r="J13" i="65"/>
  <c r="H13" i="65"/>
  <c r="L13" i="65" s="1"/>
  <c r="M13" i="65" s="1"/>
  <c r="F13" i="65"/>
  <c r="L12" i="65"/>
  <c r="M12" i="65" s="1"/>
  <c r="K12" i="65"/>
  <c r="J12" i="65"/>
  <c r="H12" i="65"/>
  <c r="F12" i="65"/>
  <c r="K11" i="65"/>
  <c r="J11" i="65"/>
  <c r="H11" i="65"/>
  <c r="L11" i="65" s="1"/>
  <c r="M11" i="65" s="1"/>
  <c r="F11" i="65"/>
  <c r="K10" i="65"/>
  <c r="J10" i="65"/>
  <c r="H10" i="65"/>
  <c r="L10" i="65" s="1"/>
  <c r="M10" i="65" s="1"/>
  <c r="F10" i="65"/>
  <c r="K9" i="65"/>
  <c r="J9" i="65"/>
  <c r="H9" i="65"/>
  <c r="L9" i="65" s="1"/>
  <c r="M9" i="65" s="1"/>
  <c r="F9" i="65"/>
  <c r="K8" i="65"/>
  <c r="J8" i="65"/>
  <c r="H8" i="65"/>
  <c r="L8" i="65" s="1"/>
  <c r="M8" i="65" s="1"/>
  <c r="F8" i="65"/>
  <c r="K7" i="65"/>
  <c r="J7" i="65"/>
  <c r="L7" i="65" s="1"/>
  <c r="M7" i="65" s="1"/>
  <c r="H7" i="65"/>
  <c r="F7" i="65"/>
  <c r="A2" i="65"/>
  <c r="J6" i="65"/>
  <c r="H6" i="65"/>
  <c r="K6" i="65"/>
  <c r="J27" i="65" l="1"/>
  <c r="L6" i="65"/>
  <c r="H16" i="67"/>
  <c r="D16" i="67" s="1"/>
  <c r="F6" i="65"/>
  <c r="M6" i="65" l="1"/>
  <c r="L27" i="65" l="1"/>
  <c r="J28" i="65" l="1"/>
  <c r="J29" i="65" l="1"/>
  <c r="H20" i="67" s="1"/>
  <c r="D20" i="67" s="1"/>
  <c r="F27" i="65" l="1"/>
  <c r="F28" i="65" s="1"/>
  <c r="F29" i="65" s="1"/>
  <c r="H14" i="67" l="1"/>
  <c r="D14" i="67" s="1"/>
  <c r="H27" i="65"/>
  <c r="H28" i="65" s="1"/>
  <c r="H29" i="65" l="1"/>
  <c r="L28" i="65"/>
  <c r="H18" i="67" l="1"/>
  <c r="D18" i="67" s="1"/>
  <c r="L29" i="65"/>
  <c r="H27" i="67" l="1"/>
  <c r="D27" i="67" s="1"/>
  <c r="H23" i="67"/>
  <c r="D23" i="67" s="1"/>
  <c r="M29" i="65"/>
</calcChain>
</file>

<file path=xl/sharedStrings.xml><?xml version="1.0" encoding="utf-8"?>
<sst xmlns="http://schemas.openxmlformats.org/spreadsheetml/2006/main" count="97" uniqueCount="54">
  <si>
    <t/>
  </si>
  <si>
    <t>합      계</t>
  </si>
  <si>
    <t>단  가</t>
  </si>
  <si>
    <t>금  액</t>
  </si>
  <si>
    <t>전 회 기 성</t>
    <phoneticPr fontId="4" type="noConversion"/>
  </si>
  <si>
    <t>금 회 기 성</t>
    <phoneticPr fontId="4" type="noConversion"/>
  </si>
  <si>
    <t>선급금</t>
    <phoneticPr fontId="4" type="noConversion"/>
  </si>
  <si>
    <t>계 약 금 액</t>
    <phoneticPr fontId="4" type="noConversion"/>
  </si>
  <si>
    <t>품   명</t>
    <phoneticPr fontId="4" type="noConversion"/>
  </si>
  <si>
    <t>규   격</t>
    <phoneticPr fontId="4" type="noConversion"/>
  </si>
  <si>
    <t>단  위</t>
    <phoneticPr fontId="4" type="noConversion"/>
  </si>
  <si>
    <t>수  량</t>
    <phoneticPr fontId="4" type="noConversion"/>
  </si>
  <si>
    <t>비  고</t>
    <phoneticPr fontId="4" type="noConversion"/>
  </si>
  <si>
    <t>유리공사</t>
    <phoneticPr fontId="4" type="noConversion"/>
  </si>
  <si>
    <t>총원가</t>
    <phoneticPr fontId="4" type="noConversion"/>
  </si>
  <si>
    <t>부가가치세</t>
    <phoneticPr fontId="4" type="noConversion"/>
  </si>
  <si>
    <t>총   계</t>
    <phoneticPr fontId="4" type="noConversion"/>
  </si>
  <si>
    <t>상 호 : 천 우 건 업(주)</t>
  </si>
  <si>
    <t>기성금내역서</t>
    <phoneticPr fontId="4" type="noConversion"/>
  </si>
  <si>
    <t>:</t>
    <phoneticPr fontId="4" type="noConversion"/>
  </si>
  <si>
    <t>)</t>
    <phoneticPr fontId="4" type="noConversion"/>
  </si>
  <si>
    <t>(\</t>
    <phoneticPr fontId="4" type="noConversion"/>
  </si>
  <si>
    <t>V.A.T포함</t>
    <phoneticPr fontId="4" type="noConversion"/>
  </si>
  <si>
    <t>대 표 이 사 : 박 찬 도  (인)</t>
    <phoneticPr fontId="4" type="noConversion"/>
  </si>
  <si>
    <t>1.</t>
    <phoneticPr fontId="4" type="noConversion"/>
  </si>
  <si>
    <t>하도급 공사명</t>
    <phoneticPr fontId="4" type="noConversion"/>
  </si>
  <si>
    <t>계약(착공)일자</t>
    <phoneticPr fontId="4" type="noConversion"/>
  </si>
  <si>
    <t>선 급 금</t>
    <phoneticPr fontId="4" type="noConversion"/>
  </si>
  <si>
    <t>기 성 누 계</t>
    <phoneticPr fontId="4" type="noConversion"/>
  </si>
  <si>
    <t>선 급 금 공 제</t>
    <phoneticPr fontId="4" type="noConversion"/>
  </si>
  <si>
    <t>잔 액</t>
    <phoneticPr fontId="4" type="noConversion"/>
  </si>
  <si>
    <t>첨 부 서 류</t>
    <phoneticPr fontId="4" type="noConversion"/>
  </si>
  <si>
    <t>2.</t>
    <phoneticPr fontId="4" type="noConversion"/>
  </si>
  <si>
    <t>3.</t>
    <phoneticPr fontId="4" type="noConversion"/>
  </si>
  <si>
    <t>4.</t>
    <phoneticPr fontId="4" type="noConversion"/>
  </si>
  <si>
    <t>5.</t>
    <phoneticPr fontId="4" type="noConversion"/>
  </si>
  <si>
    <t>6.</t>
    <phoneticPr fontId="4" type="noConversion"/>
  </si>
  <si>
    <t>7.</t>
    <phoneticPr fontId="4" type="noConversion"/>
  </si>
  <si>
    <t>8.</t>
    <phoneticPr fontId="4" type="noConversion"/>
  </si>
  <si>
    <t>9.</t>
    <phoneticPr fontId="4" type="noConversion"/>
  </si>
  <si>
    <t>10.</t>
    <phoneticPr fontId="4" type="noConversion"/>
  </si>
  <si>
    <t>11.</t>
    <phoneticPr fontId="4" type="noConversion"/>
  </si>
  <si>
    <t>12.</t>
    <phoneticPr fontId="4" type="noConversion"/>
  </si>
  <si>
    <t>13.</t>
    <phoneticPr fontId="4" type="noConversion"/>
  </si>
  <si>
    <t>공     사     명</t>
    <phoneticPr fontId="4" type="noConversion"/>
  </si>
  <si>
    <t>준  공  일  자</t>
    <phoneticPr fontId="4" type="noConversion"/>
  </si>
  <si>
    <t>위 공사의 도급 시행에 있어서 공사 전반에 걸쳐 공사 설계도서 제시방서 및 계약조건대로 어김없이 
기성 되었음을 통지 하오며, 만약 공사의 시공 감독 및 검사에 관하여 하자가 발견되는 즉시 변상 
또는 재시공할 것을 서약하고 이에 기성 검사 신청서를 제출하오니, 검사하여 주시기 바랍니다.</t>
    <phoneticPr fontId="4" type="noConversion"/>
  </si>
  <si>
    <t>기성금 내역서</t>
    <phoneticPr fontId="4" type="noConversion"/>
  </si>
  <si>
    <t>시     공     사</t>
    <phoneticPr fontId="4" type="noConversion"/>
  </si>
  <si>
    <t>주 소 : 대구광역시 달서구 상화로 15길 24-13</t>
    <phoneticPr fontId="4" type="noConversion"/>
  </si>
  <si>
    <t>0000년 00월</t>
    <phoneticPr fontId="4" type="noConversion"/>
  </si>
  <si>
    <t>0000. 00.</t>
    <phoneticPr fontId="4" type="noConversion"/>
  </si>
  <si>
    <t>0000 귀중</t>
    <phoneticPr fontId="4" type="noConversion"/>
  </si>
  <si>
    <t>0차 기성금 청구서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</si>
</sst>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######"/>
  </numFmts>
  <fonts count="26" x14ac:knownFonts="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9"/>
      <name val="Arial"/>
      <family val="2"/>
    </font>
    <font>
      <b/>
      <sz val="18"/>
      <name val="Arial"/>
      <family val="2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9"/>
      <color indexed="8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theme="1"/>
      <name val="굴림체"/>
      <family val="3"/>
      <charset val="129"/>
    </font>
    <font>
      <b/>
      <sz val="18"/>
      <name val="맑은 고딕"/>
      <family val="3"/>
      <charset val="129"/>
    </font>
    <font>
      <sz val="9"/>
      <name val="돋움"/>
      <family val="2"/>
      <charset val="129"/>
    </font>
    <font>
      <sz val="9"/>
      <name val="맑은 고딕"/>
      <family val="2"/>
      <charset val="129"/>
    </font>
    <font>
      <sz val="8"/>
      <name val="맑은 고딕"/>
      <family val="3"/>
      <charset val="129"/>
    </font>
    <font>
      <b/>
      <sz val="9"/>
      <name val="Arial"/>
      <family val="2"/>
    </font>
    <font>
      <b/>
      <sz val="9"/>
      <name val="돋움"/>
      <family val="3"/>
      <charset val="129"/>
    </font>
    <font>
      <b/>
      <sz val="9"/>
      <name val="맑은 고딕"/>
      <family val="3"/>
      <charset val="129"/>
    </font>
    <font>
      <b/>
      <sz val="10"/>
      <color rgb="FF000000"/>
      <name val="맑은 고딕"/>
      <family val="3"/>
      <charset val="129"/>
      <scheme val="minor"/>
    </font>
    <font>
      <b/>
      <u/>
      <sz val="20"/>
      <color rgb="FF000000"/>
      <name val="돋움"/>
      <family val="3"/>
      <charset val="129"/>
    </font>
    <font>
      <b/>
      <sz val="10"/>
      <color rgb="FF000000"/>
      <name val="돋움"/>
      <family val="3"/>
      <charset val="129"/>
    </font>
    <font>
      <b/>
      <sz val="11"/>
      <color rgb="FF000000"/>
      <name val="돋움"/>
      <family val="3"/>
      <charset val="129"/>
    </font>
    <font>
      <b/>
      <sz val="11"/>
      <color rgb="FF000000"/>
      <name val="맑은 고딕"/>
      <family val="3"/>
      <charset val="129"/>
      <scheme val="minor"/>
    </font>
    <font>
      <b/>
      <sz val="12"/>
      <color rgb="FF000000"/>
      <name val="돋움"/>
      <family val="3"/>
      <charset val="129"/>
    </font>
    <font>
      <b/>
      <sz val="16"/>
      <color indexed="8"/>
      <name val="맑은 고딕"/>
      <family val="3"/>
      <charset val="129"/>
      <scheme val="minor"/>
    </font>
    <font>
      <sz val="11"/>
      <color rgb="FF000000"/>
      <name val="맑은 고딕"/>
      <family val="2"/>
      <scheme val="minor"/>
    </font>
    <font>
      <b/>
      <sz val="9"/>
      <name val="돋움"/>
      <family val="2"/>
      <charset val="129"/>
    </font>
    <font>
      <b/>
      <sz val="9"/>
      <name val="맑은 고딕"/>
      <family val="2"/>
      <charset val="129"/>
    </font>
  </fonts>
  <fills count="5">
    <fill>
      <patternFill patternType="none"/>
    </fill>
    <fill>
      <patternFill patternType="gray125"/>
    </fill>
    <fill>
      <patternFill patternType="none">
        <fgColor indexed="13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9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64"/>
      </right>
      <top style="medium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medium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</borders>
  <cellStyleXfs count="6">
    <xf numFmtId="0" fontId="0" fillId="0" borderId="0">
      <alignment vertical="center"/>
    </xf>
    <xf numFmtId="9" fontId="5" fillId="2" borderId="0" applyFont="0" applyFill="0" applyBorder="0" applyAlignment="0" applyProtection="0">
      <alignment vertical="center"/>
    </xf>
    <xf numFmtId="9" fontId="6" fillId="2" borderId="0" applyFont="0" applyFill="0" applyBorder="0" applyAlignment="0" applyProtection="0">
      <alignment vertical="center"/>
    </xf>
    <xf numFmtId="0" fontId="5" fillId="2" borderId="0">
      <alignment vertical="center"/>
    </xf>
    <xf numFmtId="0" fontId="1" fillId="2" borderId="0">
      <alignment vertical="center"/>
    </xf>
    <xf numFmtId="9" fontId="5" fillId="0" borderId="0" applyFont="0" applyFill="0" applyBorder="0" applyAlignment="0" applyProtection="0">
      <alignment vertical="center"/>
    </xf>
  </cellStyleXfs>
  <cellXfs count="103">
    <xf numFmtId="0" fontId="0" fillId="0" borderId="0" xfId="0">
      <alignment vertical="center"/>
    </xf>
    <xf numFmtId="3" fontId="5" fillId="2" borderId="0" xfId="3" applyNumberFormat="1">
      <alignment vertical="center"/>
    </xf>
    <xf numFmtId="0" fontId="5" fillId="2" borderId="0" xfId="3">
      <alignment vertical="center"/>
    </xf>
    <xf numFmtId="0" fontId="2" fillId="2" borderId="0" xfId="3" applyFont="1">
      <alignment vertical="center"/>
    </xf>
    <xf numFmtId="0" fontId="2" fillId="2" borderId="0" xfId="3" applyFont="1" applyAlignment="1">
      <alignment horizontal="center" vertical="center"/>
    </xf>
    <xf numFmtId="3" fontId="2" fillId="2" borderId="0" xfId="3" applyNumberFormat="1" applyFont="1">
      <alignment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 indent="11"/>
    </xf>
    <xf numFmtId="0" fontId="21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0" xfId="0" applyFont="1">
      <alignment vertical="center"/>
    </xf>
    <xf numFmtId="49" fontId="0" fillId="0" borderId="0" xfId="0" applyNumberFormat="1" applyAlignment="1">
      <alignment horizontal="right" vertical="center"/>
    </xf>
    <xf numFmtId="0" fontId="19" fillId="0" borderId="0" xfId="0" applyFont="1">
      <alignment vertical="center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31" fontId="0" fillId="0" borderId="0" xfId="0" applyNumberFormat="1">
      <alignment vertical="center"/>
    </xf>
    <xf numFmtId="0" fontId="22" fillId="0" borderId="0" xfId="0" applyFont="1">
      <alignment vertical="center"/>
    </xf>
    <xf numFmtId="0" fontId="2" fillId="2" borderId="1" xfId="3" applyFont="1" applyBorder="1" applyProtection="1">
      <alignment vertical="center"/>
      <protection locked="0"/>
    </xf>
    <xf numFmtId="0" fontId="2" fillId="2" borderId="1" xfId="3" applyFont="1" applyBorder="1" applyAlignment="1" applyProtection="1">
      <alignment horizontal="center" vertical="center"/>
      <protection locked="0"/>
    </xf>
    <xf numFmtId="3" fontId="2" fillId="2" borderId="1" xfId="3" applyNumberFormat="1" applyFont="1" applyBorder="1" applyProtection="1">
      <alignment vertical="center"/>
      <protection locked="0"/>
    </xf>
    <xf numFmtId="3" fontId="2" fillId="2" borderId="1" xfId="3" applyNumberFormat="1" applyFont="1" applyBorder="1" applyAlignment="1" applyProtection="1">
      <alignment horizontal="right" vertical="center"/>
      <protection locked="0"/>
    </xf>
    <xf numFmtId="176" fontId="2" fillId="2" borderId="1" xfId="3" applyNumberFormat="1" applyFont="1" applyBorder="1" applyAlignment="1" applyProtection="1">
      <alignment horizontal="right" vertical="center"/>
      <protection locked="0"/>
    </xf>
    <xf numFmtId="0" fontId="19" fillId="0" borderId="0" xfId="0" applyFont="1" applyAlignment="1">
      <alignment horizontal="left" vertical="center" indent="11"/>
    </xf>
    <xf numFmtId="0" fontId="20" fillId="0" borderId="0" xfId="0" applyFont="1" applyAlignment="1">
      <alignment horizontal="justify" vertical="center"/>
    </xf>
    <xf numFmtId="0" fontId="16" fillId="0" borderId="0" xfId="0" applyFont="1" applyAlignment="1">
      <alignment horizontal="justify" vertical="center"/>
    </xf>
    <xf numFmtId="0" fontId="19" fillId="0" borderId="0" xfId="0" applyFont="1" applyAlignment="1">
      <alignment horizontal="distributed" vertical="center"/>
    </xf>
    <xf numFmtId="0" fontId="18" fillId="0" borderId="0" xfId="0" applyFont="1" applyAlignment="1">
      <alignment horizontal="justify" vertical="center"/>
    </xf>
    <xf numFmtId="0" fontId="0" fillId="0" borderId="0" xfId="0" applyAlignment="1">
      <alignment horizontal="left" vertical="center"/>
    </xf>
    <xf numFmtId="3" fontId="0" fillId="0" borderId="0" xfId="0" applyNumberFormat="1" applyAlignment="1">
      <alignment horizontal="left" vertical="center"/>
    </xf>
    <xf numFmtId="0" fontId="19" fillId="0" borderId="0" xfId="0" applyFont="1" applyAlignment="1">
      <alignment horizontal="justify" vertical="center"/>
    </xf>
    <xf numFmtId="0" fontId="2" fillId="2" borderId="2" xfId="3" applyFont="1" applyBorder="1" applyProtection="1">
      <alignment vertical="center"/>
      <protection locked="0"/>
    </xf>
    <xf numFmtId="3" fontId="2" fillId="2" borderId="2" xfId="3" applyNumberFormat="1" applyFont="1" applyBorder="1" applyProtection="1">
      <alignment vertical="center"/>
      <protection locked="0"/>
    </xf>
    <xf numFmtId="0" fontId="2" fillId="2" borderId="6" xfId="3" applyFont="1" applyBorder="1" applyProtection="1">
      <alignment vertical="center"/>
      <protection locked="0"/>
    </xf>
    <xf numFmtId="3" fontId="2" fillId="2" borderId="6" xfId="3" applyNumberFormat="1" applyFont="1" applyBorder="1" applyProtection="1">
      <alignment vertical="center"/>
      <protection locked="0"/>
    </xf>
    <xf numFmtId="3" fontId="2" fillId="2" borderId="6" xfId="3" applyNumberFormat="1" applyFont="1" applyBorder="1" applyAlignment="1" applyProtection="1">
      <alignment horizontal="right" vertical="center"/>
      <protection locked="0"/>
    </xf>
    <xf numFmtId="0" fontId="2" fillId="2" borderId="10" xfId="3" applyFont="1" applyBorder="1" applyProtection="1">
      <alignment vertical="center"/>
      <protection locked="0"/>
    </xf>
    <xf numFmtId="9" fontId="2" fillId="2" borderId="11" xfId="5" applyFont="1" applyFill="1" applyBorder="1" applyProtection="1">
      <alignment vertical="center"/>
    </xf>
    <xf numFmtId="0" fontId="11" fillId="2" borderId="10" xfId="3" applyFont="1" applyBorder="1" applyProtection="1">
      <alignment vertical="center"/>
      <protection locked="0"/>
    </xf>
    <xf numFmtId="9" fontId="2" fillId="2" borderId="16" xfId="5" applyFont="1" applyFill="1" applyBorder="1" applyProtection="1">
      <alignment vertical="center"/>
    </xf>
    <xf numFmtId="9" fontId="2" fillId="4" borderId="18" xfId="5" applyFont="1" applyFill="1" applyBorder="1" applyProtection="1">
      <alignment vertical="center"/>
    </xf>
    <xf numFmtId="0" fontId="15" fillId="2" borderId="22" xfId="3" applyFont="1" applyBorder="1" applyProtection="1">
      <alignment vertical="center"/>
      <protection locked="0"/>
    </xf>
    <xf numFmtId="0" fontId="2" fillId="2" borderId="3" xfId="3" applyFont="1" applyBorder="1" applyProtection="1">
      <alignment vertical="center"/>
      <protection locked="0"/>
    </xf>
    <xf numFmtId="0" fontId="2" fillId="2" borderId="3" xfId="3" applyFont="1" applyBorder="1" applyAlignment="1" applyProtection="1">
      <alignment horizontal="center" vertical="center"/>
      <protection locked="0"/>
    </xf>
    <xf numFmtId="3" fontId="2" fillId="2" borderId="3" xfId="3" applyNumberFormat="1" applyFont="1" applyBorder="1" applyProtection="1">
      <alignment vertical="center"/>
      <protection locked="0"/>
    </xf>
    <xf numFmtId="3" fontId="2" fillId="2" borderId="3" xfId="3" applyNumberFormat="1" applyFont="1" applyBorder="1" applyAlignment="1" applyProtection="1">
      <alignment horizontal="right" vertical="center"/>
      <protection locked="0"/>
    </xf>
    <xf numFmtId="0" fontId="2" fillId="2" borderId="23" xfId="3" applyFont="1" applyBorder="1" applyProtection="1">
      <alignment vertical="center"/>
      <protection locked="0"/>
    </xf>
    <xf numFmtId="9" fontId="2" fillId="2" borderId="11" xfId="5" applyFont="1" applyFill="1" applyBorder="1" applyProtection="1">
      <alignment vertical="center"/>
      <protection locked="0"/>
    </xf>
    <xf numFmtId="0" fontId="12" fillId="2" borderId="10" xfId="3" applyFont="1" applyBorder="1" applyAlignment="1" applyProtection="1">
      <alignment vertical="center" wrapText="1"/>
      <protection locked="0"/>
    </xf>
    <xf numFmtId="0" fontId="11" fillId="2" borderId="12" xfId="3" applyFont="1" applyBorder="1" applyProtection="1">
      <alignment vertical="center"/>
      <protection locked="0"/>
    </xf>
    <xf numFmtId="0" fontId="2" fillId="2" borderId="2" xfId="3" applyFont="1" applyBorder="1" applyAlignment="1" applyProtection="1">
      <alignment horizontal="center" vertical="center"/>
      <protection locked="0"/>
    </xf>
    <xf numFmtId="0" fontId="13" fillId="2" borderId="6" xfId="3" applyFont="1" applyBorder="1" applyProtection="1">
      <alignment vertical="center"/>
      <protection locked="0"/>
    </xf>
    <xf numFmtId="0" fontId="13" fillId="2" borderId="6" xfId="3" applyFont="1" applyBorder="1" applyAlignment="1" applyProtection="1">
      <alignment horizontal="center" vertical="center"/>
      <protection locked="0"/>
    </xf>
    <xf numFmtId="9" fontId="2" fillId="2" borderId="14" xfId="5" applyFont="1" applyFill="1" applyBorder="1" applyProtection="1">
      <alignment vertical="center"/>
      <protection locked="0"/>
    </xf>
    <xf numFmtId="0" fontId="2" fillId="2" borderId="19" xfId="3" applyFont="1" applyBorder="1" applyProtection="1">
      <alignment vertical="center"/>
      <protection locked="0"/>
    </xf>
    <xf numFmtId="0" fontId="2" fillId="2" borderId="20" xfId="3" applyFont="1" applyBorder="1" applyProtection="1">
      <alignment vertical="center"/>
      <protection locked="0"/>
    </xf>
    <xf numFmtId="0" fontId="2" fillId="2" borderId="20" xfId="3" applyFont="1" applyBorder="1" applyAlignment="1" applyProtection="1">
      <alignment horizontal="center" vertical="center"/>
      <protection locked="0"/>
    </xf>
    <xf numFmtId="3" fontId="2" fillId="2" borderId="20" xfId="3" applyNumberFormat="1" applyFont="1" applyBorder="1" applyProtection="1">
      <alignment vertical="center"/>
      <protection locked="0"/>
    </xf>
    <xf numFmtId="3" fontId="13" fillId="2" borderId="20" xfId="3" applyNumberFormat="1" applyFont="1" applyBorder="1" applyProtection="1">
      <alignment vertical="center"/>
      <protection locked="0"/>
    </xf>
    <xf numFmtId="0" fontId="2" fillId="2" borderId="21" xfId="3" applyFont="1" applyBorder="1" applyProtection="1">
      <alignment vertical="center"/>
      <protection locked="0"/>
    </xf>
    <xf numFmtId="0" fontId="25" fillId="2" borderId="15" xfId="3" applyFont="1" applyBorder="1">
      <alignment vertical="center"/>
    </xf>
    <xf numFmtId="0" fontId="2" fillId="2" borderId="4" xfId="3" applyFont="1" applyBorder="1">
      <alignment vertical="center"/>
    </xf>
    <xf numFmtId="0" fontId="2" fillId="2" borderId="4" xfId="3" applyFont="1" applyBorder="1" applyAlignment="1">
      <alignment horizontal="center" vertical="center"/>
    </xf>
    <xf numFmtId="3" fontId="2" fillId="2" borderId="4" xfId="3" applyNumberFormat="1" applyFont="1" applyBorder="1">
      <alignment vertical="center"/>
    </xf>
    <xf numFmtId="3" fontId="13" fillId="2" borderId="4" xfId="3" applyNumberFormat="1" applyFont="1" applyBorder="1">
      <alignment vertical="center"/>
    </xf>
    <xf numFmtId="0" fontId="10" fillId="2" borderId="10" xfId="3" applyFont="1" applyBorder="1">
      <alignment vertical="center"/>
    </xf>
    <xf numFmtId="0" fontId="2" fillId="2" borderId="1" xfId="3" applyFont="1" applyBorder="1">
      <alignment vertical="center"/>
    </xf>
    <xf numFmtId="0" fontId="2" fillId="2" borderId="1" xfId="3" applyFont="1" applyBorder="1" applyAlignment="1">
      <alignment horizontal="center" vertical="center"/>
    </xf>
    <xf numFmtId="3" fontId="2" fillId="2" borderId="1" xfId="3" applyNumberFormat="1" applyFont="1" applyBorder="1">
      <alignment vertical="center"/>
    </xf>
    <xf numFmtId="3" fontId="2" fillId="2" borderId="1" xfId="3" applyNumberFormat="1" applyFont="1" applyBorder="1" applyAlignment="1">
      <alignment horizontal="right" vertical="center"/>
    </xf>
    <xf numFmtId="0" fontId="14" fillId="4" borderId="17" xfId="3" applyFont="1" applyFill="1" applyBorder="1" applyAlignment="1">
      <alignment horizontal="center" vertical="center"/>
    </xf>
    <xf numFmtId="0" fontId="13" fillId="4" borderId="5" xfId="3" applyFont="1" applyFill="1" applyBorder="1">
      <alignment vertical="center"/>
    </xf>
    <xf numFmtId="0" fontId="13" fillId="4" borderId="5" xfId="3" applyFont="1" applyFill="1" applyBorder="1" applyAlignment="1">
      <alignment horizontal="center" vertical="center"/>
    </xf>
    <xf numFmtId="3" fontId="13" fillId="4" borderId="5" xfId="3" applyNumberFormat="1" applyFont="1" applyFill="1" applyBorder="1">
      <alignment vertical="center"/>
    </xf>
    <xf numFmtId="3" fontId="13" fillId="4" borderId="5" xfId="3" applyNumberFormat="1" applyFont="1" applyFill="1" applyBorder="1" applyAlignment="1">
      <alignment horizontal="right" vertical="center"/>
    </xf>
    <xf numFmtId="0" fontId="24" fillId="2" borderId="13" xfId="3" applyFont="1" applyBorder="1">
      <alignment vertical="center"/>
    </xf>
    <xf numFmtId="0" fontId="8" fillId="3" borderId="25" xfId="3" quotePrefix="1" applyFont="1" applyFill="1" applyBorder="1" applyAlignment="1">
      <alignment horizontal="center" vertical="center" wrapText="1"/>
    </xf>
    <xf numFmtId="49" fontId="0" fillId="0" borderId="27" xfId="0" applyNumberFormat="1" applyBorder="1" applyAlignment="1">
      <alignment horizontal="right" vertical="center"/>
    </xf>
    <xf numFmtId="0" fontId="23" fillId="0" borderId="27" xfId="0" applyFont="1" applyBorder="1">
      <alignment vertical="center"/>
    </xf>
    <xf numFmtId="0" fontId="0" fillId="0" borderId="27" xfId="0" applyBorder="1">
      <alignment vertical="center"/>
    </xf>
    <xf numFmtId="49" fontId="0" fillId="0" borderId="28" xfId="0" applyNumberFormat="1" applyBorder="1" applyAlignment="1">
      <alignment horizontal="right" vertical="center"/>
    </xf>
    <xf numFmtId="0" fontId="20" fillId="0" borderId="28" xfId="0" applyFont="1" applyBorder="1" applyAlignment="1">
      <alignment horizontal="justify" vertical="center"/>
    </xf>
    <xf numFmtId="0" fontId="16" fillId="0" borderId="28" xfId="0" applyFont="1" applyBorder="1" applyAlignment="1">
      <alignment horizontal="justify" vertical="center"/>
    </xf>
    <xf numFmtId="0" fontId="0" fillId="0" borderId="28" xfId="0" applyBorder="1">
      <alignment vertical="center"/>
    </xf>
    <xf numFmtId="0" fontId="17" fillId="0" borderId="0" xfId="0" applyFont="1" applyAlignment="1" applyProtection="1">
      <alignment horizontal="center" vertical="center"/>
      <protection locked="0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31" fontId="0" fillId="0" borderId="0" xfId="0" applyNumberFormat="1" applyAlignment="1" applyProtection="1">
      <alignment horizontal="left" vertical="center"/>
      <protection locked="0"/>
    </xf>
    <xf numFmtId="0" fontId="0" fillId="0" borderId="0" xfId="0" applyAlignment="1">
      <alignment horizontal="left" vertical="center"/>
    </xf>
    <xf numFmtId="0" fontId="19" fillId="0" borderId="0" xfId="0" applyFont="1" applyAlignment="1" applyProtection="1">
      <alignment horizontal="center" vertical="center"/>
      <protection locked="0"/>
    </xf>
    <xf numFmtId="0" fontId="19" fillId="0" borderId="0" xfId="0" applyFont="1" applyAlignment="1">
      <alignment horizontal="left" vertical="center" indent="13"/>
    </xf>
    <xf numFmtId="0" fontId="22" fillId="0" borderId="0" xfId="0" applyFont="1" applyAlignment="1" applyProtection="1">
      <alignment horizontal="center" vertical="center"/>
      <protection locked="0"/>
    </xf>
    <xf numFmtId="0" fontId="7" fillId="3" borderId="8" xfId="3" quotePrefix="1" applyFont="1" applyFill="1" applyBorder="1" applyAlignment="1">
      <alignment horizontal="center" vertical="center"/>
    </xf>
    <xf numFmtId="0" fontId="9" fillId="2" borderId="0" xfId="3" applyFont="1" applyAlignment="1">
      <alignment horizontal="center" vertical="center"/>
    </xf>
    <xf numFmtId="0" fontId="3" fillId="2" borderId="0" xfId="3" applyFont="1" applyAlignment="1">
      <alignment horizontal="center" vertical="center"/>
    </xf>
    <xf numFmtId="0" fontId="7" fillId="3" borderId="7" xfId="3" quotePrefix="1" applyFont="1" applyFill="1" applyBorder="1" applyAlignment="1">
      <alignment horizontal="center" vertical="center"/>
    </xf>
    <xf numFmtId="0" fontId="8" fillId="3" borderId="24" xfId="3" quotePrefix="1" applyFont="1" applyFill="1" applyBorder="1" applyAlignment="1">
      <alignment horizontal="center" vertical="center" wrapText="1"/>
    </xf>
    <xf numFmtId="0" fontId="8" fillId="3" borderId="25" xfId="3" quotePrefix="1" applyFont="1" applyFill="1" applyBorder="1" applyAlignment="1">
      <alignment horizontal="center" vertical="center" wrapText="1"/>
    </xf>
    <xf numFmtId="0" fontId="7" fillId="3" borderId="9" xfId="3" quotePrefix="1" applyFont="1" applyFill="1" applyBorder="1" applyAlignment="1">
      <alignment horizontal="center" vertical="center"/>
    </xf>
    <xf numFmtId="0" fontId="8" fillId="3" borderId="26" xfId="3" quotePrefix="1" applyFont="1" applyFill="1" applyBorder="1" applyAlignment="1">
      <alignment horizontal="center" vertical="center" wrapText="1"/>
    </xf>
    <xf numFmtId="0" fontId="0" fillId="2" borderId="0" xfId="3" applyFont="1" applyAlignment="1" applyProtection="1">
      <alignment horizontal="left" vertical="center"/>
      <protection locked="0"/>
    </xf>
  </cellXfs>
  <cellStyles count="6">
    <cellStyle name="백분율" xfId="5" builtinId="5"/>
    <cellStyle name="백분율 2" xfId="1" xr:uid="{A10B7DA6-4463-4993-BEEB-48D59BF4201B}"/>
    <cellStyle name="백분율 2 2" xfId="2" xr:uid="{BB7F6D9B-5E44-4B46-B982-4CF008500E01}"/>
    <cellStyle name="표준" xfId="0" builtinId="0"/>
    <cellStyle name="표준 2" xfId="3" xr:uid="{816BD860-7B26-4DEC-AE22-2FB847F6EC60}"/>
    <cellStyle name="표준 3" xfId="4" xr:uid="{0473485B-B5C5-4A23-8A81-D007AD084A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_&#47928;&#49436;%20&#49436;&#49885;\(&#44204;&#51201;&#4943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갑지"/>
      <sheetName val="내역서"/>
      <sheetName val="세부내역서"/>
    </sheetNames>
    <sheetDataSet>
      <sheetData sheetId="0"/>
      <sheetData sheetId="1">
        <row r="31">
          <cell r="L31">
            <v>0</v>
          </cell>
        </row>
      </sheetData>
      <sheetData sheetId="2">
        <row r="3">
          <cell r="C3"/>
          <cell r="D3"/>
          <cell r="E3"/>
          <cell r="F3" t="str">
            <v>*</v>
          </cell>
          <cell r="G3"/>
          <cell r="H3"/>
          <cell r="I3"/>
          <cell r="J3">
            <v>0</v>
          </cell>
        </row>
        <row r="4">
          <cell r="C4"/>
          <cell r="D4"/>
          <cell r="E4"/>
          <cell r="F4" t="str">
            <v>*</v>
          </cell>
          <cell r="G4"/>
          <cell r="H4"/>
          <cell r="I4"/>
          <cell r="J4">
            <v>0</v>
          </cell>
        </row>
        <row r="5">
          <cell r="C5"/>
          <cell r="D5"/>
          <cell r="E5"/>
          <cell r="F5" t="str">
            <v>*</v>
          </cell>
          <cell r="G5"/>
          <cell r="H5"/>
          <cell r="I5"/>
          <cell r="J5">
            <v>0</v>
          </cell>
        </row>
        <row r="6">
          <cell r="C6"/>
          <cell r="D6"/>
          <cell r="E6"/>
          <cell r="F6" t="str">
            <v>*</v>
          </cell>
          <cell r="G6"/>
          <cell r="H6"/>
          <cell r="I6"/>
          <cell r="J6">
            <v>0</v>
          </cell>
        </row>
        <row r="7">
          <cell r="C7"/>
          <cell r="D7"/>
          <cell r="E7"/>
          <cell r="F7" t="str">
            <v>*</v>
          </cell>
          <cell r="G7"/>
          <cell r="H7"/>
          <cell r="I7"/>
          <cell r="J7">
            <v>0</v>
          </cell>
        </row>
        <row r="8">
          <cell r="C8"/>
          <cell r="D8"/>
          <cell r="E8"/>
          <cell r="F8" t="str">
            <v>*</v>
          </cell>
          <cell r="G8"/>
          <cell r="H8"/>
          <cell r="I8"/>
          <cell r="J8">
            <v>0</v>
          </cell>
        </row>
        <row r="9">
          <cell r="C9"/>
          <cell r="D9"/>
          <cell r="E9"/>
          <cell r="F9" t="str">
            <v>*</v>
          </cell>
          <cell r="G9"/>
          <cell r="H9"/>
          <cell r="I9"/>
          <cell r="J9">
            <v>0</v>
          </cell>
        </row>
        <row r="10">
          <cell r="C10"/>
          <cell r="D10"/>
          <cell r="E10"/>
          <cell r="F10" t="str">
            <v>*</v>
          </cell>
          <cell r="G10"/>
          <cell r="H10"/>
          <cell r="I10"/>
          <cell r="J10">
            <v>0</v>
          </cell>
        </row>
        <row r="11">
          <cell r="C11"/>
          <cell r="D11"/>
          <cell r="E11"/>
          <cell r="F11" t="str">
            <v>*</v>
          </cell>
          <cell r="G11"/>
          <cell r="H11"/>
          <cell r="I11"/>
          <cell r="J11">
            <v>0</v>
          </cell>
        </row>
        <row r="12">
          <cell r="C12"/>
          <cell r="D12"/>
          <cell r="E12"/>
          <cell r="F12" t="str">
            <v>*</v>
          </cell>
          <cell r="G12"/>
          <cell r="H12"/>
          <cell r="I12"/>
          <cell r="J12">
            <v>0</v>
          </cell>
        </row>
        <row r="13">
          <cell r="C13"/>
          <cell r="D13"/>
          <cell r="E13"/>
          <cell r="F13" t="str">
            <v>*</v>
          </cell>
          <cell r="G13"/>
          <cell r="H13"/>
          <cell r="I13"/>
          <cell r="J13">
            <v>0</v>
          </cell>
        </row>
        <row r="14">
          <cell r="C14"/>
          <cell r="D14"/>
          <cell r="E14"/>
          <cell r="F14" t="str">
            <v>*</v>
          </cell>
          <cell r="G14"/>
          <cell r="H14"/>
          <cell r="I14"/>
          <cell r="J14">
            <v>0</v>
          </cell>
        </row>
        <row r="15">
          <cell r="C15"/>
          <cell r="D15"/>
          <cell r="E15"/>
          <cell r="F15" t="str">
            <v>*</v>
          </cell>
          <cell r="G15"/>
          <cell r="H15"/>
          <cell r="I15"/>
          <cell r="J15">
            <v>0</v>
          </cell>
        </row>
        <row r="16">
          <cell r="C16"/>
          <cell r="D16"/>
          <cell r="E16"/>
          <cell r="F16" t="str">
            <v>*</v>
          </cell>
          <cell r="G16"/>
          <cell r="H16"/>
          <cell r="I16"/>
          <cell r="J16">
            <v>0</v>
          </cell>
        </row>
        <row r="17">
          <cell r="C17"/>
          <cell r="D17"/>
          <cell r="E17"/>
          <cell r="F17" t="str">
            <v>*</v>
          </cell>
          <cell r="G17"/>
          <cell r="H17"/>
          <cell r="I17"/>
          <cell r="J17">
            <v>0</v>
          </cell>
        </row>
        <row r="18">
          <cell r="C18"/>
          <cell r="D18"/>
          <cell r="E18"/>
          <cell r="F18" t="str">
            <v>*</v>
          </cell>
          <cell r="G18"/>
          <cell r="H18"/>
          <cell r="I18"/>
          <cell r="J18">
            <v>0</v>
          </cell>
        </row>
        <row r="19">
          <cell r="C19"/>
          <cell r="D19"/>
          <cell r="E19"/>
          <cell r="F19" t="str">
            <v>*</v>
          </cell>
          <cell r="G19"/>
          <cell r="H19"/>
          <cell r="I19"/>
          <cell r="J19">
            <v>0</v>
          </cell>
        </row>
        <row r="20">
          <cell r="C20"/>
          <cell r="D20"/>
          <cell r="E20"/>
          <cell r="F20" t="str">
            <v>*</v>
          </cell>
          <cell r="G20"/>
          <cell r="H20"/>
          <cell r="I20"/>
          <cell r="J20">
            <v>0</v>
          </cell>
        </row>
        <row r="21">
          <cell r="C21"/>
          <cell r="D21"/>
          <cell r="E21"/>
          <cell r="F21" t="str">
            <v>*</v>
          </cell>
          <cell r="G21"/>
          <cell r="H21"/>
          <cell r="I21"/>
          <cell r="J21">
            <v>0</v>
          </cell>
        </row>
        <row r="22">
          <cell r="C22"/>
          <cell r="D22"/>
          <cell r="E22"/>
          <cell r="F22" t="str">
            <v>*</v>
          </cell>
          <cell r="G22"/>
          <cell r="H22"/>
          <cell r="I22"/>
          <cell r="J22">
            <v>0</v>
          </cell>
        </row>
        <row r="23">
          <cell r="C23"/>
          <cell r="D23"/>
          <cell r="E23"/>
          <cell r="F23" t="str">
            <v>*</v>
          </cell>
          <cell r="G23"/>
          <cell r="H23"/>
          <cell r="I23"/>
          <cell r="J23">
            <v>0</v>
          </cell>
        </row>
        <row r="24">
          <cell r="C24"/>
          <cell r="D24"/>
          <cell r="E24"/>
          <cell r="F24" t="str">
            <v>*</v>
          </cell>
          <cell r="G24"/>
          <cell r="H24"/>
          <cell r="I24"/>
          <cell r="J24">
            <v>0</v>
          </cell>
        </row>
        <row r="25">
          <cell r="C25"/>
          <cell r="D25"/>
          <cell r="E25"/>
          <cell r="F25" t="str">
            <v>*</v>
          </cell>
          <cell r="G25"/>
          <cell r="H25"/>
          <cell r="I25"/>
          <cell r="J25">
            <v>0</v>
          </cell>
        </row>
        <row r="26">
          <cell r="C26"/>
          <cell r="D26"/>
          <cell r="E26"/>
          <cell r="F26" t="str">
            <v>*</v>
          </cell>
          <cell r="G26"/>
          <cell r="H26"/>
          <cell r="I26"/>
          <cell r="J26">
            <v>0</v>
          </cell>
        </row>
        <row r="27">
          <cell r="C27"/>
          <cell r="D27"/>
          <cell r="E27"/>
          <cell r="F27" t="str">
            <v>*</v>
          </cell>
          <cell r="G27"/>
          <cell r="H27"/>
          <cell r="I27"/>
          <cell r="J27">
            <v>0</v>
          </cell>
        </row>
        <row r="28">
          <cell r="C28"/>
          <cell r="D28"/>
          <cell r="E28"/>
          <cell r="F28" t="str">
            <v>*</v>
          </cell>
          <cell r="G28"/>
          <cell r="H28"/>
          <cell r="I28"/>
          <cell r="J28">
            <v>0</v>
          </cell>
        </row>
        <row r="29">
          <cell r="C29"/>
          <cell r="D29"/>
          <cell r="E29"/>
          <cell r="F29" t="str">
            <v>*</v>
          </cell>
          <cell r="G29"/>
          <cell r="H29"/>
          <cell r="I29"/>
          <cell r="J29">
            <v>0</v>
          </cell>
        </row>
        <row r="30">
          <cell r="C30"/>
          <cell r="D30"/>
          <cell r="E30"/>
          <cell r="F30" t="str">
            <v>*</v>
          </cell>
          <cell r="G30"/>
          <cell r="H30"/>
          <cell r="I30"/>
          <cell r="J30">
            <v>0</v>
          </cell>
        </row>
        <row r="31">
          <cell r="C31"/>
          <cell r="D31"/>
          <cell r="E31"/>
          <cell r="F31" t="str">
            <v>*</v>
          </cell>
          <cell r="G31"/>
          <cell r="H31"/>
          <cell r="I31"/>
          <cell r="J31">
            <v>0</v>
          </cell>
        </row>
        <row r="32">
          <cell r="C32"/>
          <cell r="D32"/>
          <cell r="E32"/>
          <cell r="F32" t="str">
            <v>*</v>
          </cell>
          <cell r="G32"/>
          <cell r="H32"/>
          <cell r="I32"/>
          <cell r="J32">
            <v>0</v>
          </cell>
        </row>
        <row r="33">
          <cell r="C33"/>
          <cell r="D33"/>
          <cell r="E33"/>
          <cell r="F33" t="str">
            <v>*</v>
          </cell>
          <cell r="G33"/>
          <cell r="H33"/>
          <cell r="I33"/>
          <cell r="J33">
            <v>0</v>
          </cell>
        </row>
        <row r="34">
          <cell r="C34"/>
          <cell r="D34"/>
          <cell r="E34"/>
          <cell r="F34" t="str">
            <v>*</v>
          </cell>
          <cell r="G34"/>
          <cell r="H34"/>
          <cell r="I34"/>
          <cell r="J34">
            <v>0</v>
          </cell>
        </row>
        <row r="35">
          <cell r="C35"/>
          <cell r="D35"/>
          <cell r="E35"/>
          <cell r="F35" t="str">
            <v>*</v>
          </cell>
          <cell r="G35"/>
          <cell r="H35"/>
          <cell r="I35"/>
          <cell r="J35">
            <v>0</v>
          </cell>
        </row>
        <row r="36">
          <cell r="C36"/>
          <cell r="D36"/>
          <cell r="E36"/>
          <cell r="F36" t="str">
            <v>*</v>
          </cell>
          <cell r="G36"/>
          <cell r="H36"/>
          <cell r="I36"/>
          <cell r="J36">
            <v>0</v>
          </cell>
        </row>
        <row r="37">
          <cell r="C37"/>
          <cell r="D37"/>
          <cell r="E37"/>
          <cell r="F37" t="str">
            <v>*</v>
          </cell>
          <cell r="G37"/>
          <cell r="H37"/>
          <cell r="I37"/>
          <cell r="J37">
            <v>0</v>
          </cell>
        </row>
        <row r="38">
          <cell r="C38"/>
          <cell r="D38"/>
          <cell r="E38"/>
          <cell r="F38" t="str">
            <v>*</v>
          </cell>
          <cell r="G38"/>
          <cell r="H38"/>
          <cell r="I38"/>
          <cell r="J38">
            <v>0</v>
          </cell>
        </row>
        <row r="39">
          <cell r="C39"/>
          <cell r="D39"/>
          <cell r="E39"/>
          <cell r="F39" t="str">
            <v>*</v>
          </cell>
          <cell r="G39"/>
          <cell r="H39"/>
          <cell r="I39"/>
          <cell r="J39">
            <v>0</v>
          </cell>
        </row>
        <row r="40">
          <cell r="C40"/>
          <cell r="D40"/>
          <cell r="E40"/>
          <cell r="F40" t="str">
            <v>*</v>
          </cell>
          <cell r="G40"/>
          <cell r="H40"/>
          <cell r="I40"/>
          <cell r="J40">
            <v>0</v>
          </cell>
        </row>
        <row r="41">
          <cell r="C41"/>
          <cell r="D41"/>
          <cell r="E41"/>
          <cell r="F41" t="str">
            <v>*</v>
          </cell>
          <cell r="G41"/>
          <cell r="H41"/>
          <cell r="I41"/>
          <cell r="J41">
            <v>0</v>
          </cell>
        </row>
        <row r="42">
          <cell r="C42"/>
          <cell r="D42"/>
          <cell r="E42"/>
          <cell r="F42" t="str">
            <v>*</v>
          </cell>
          <cell r="G42"/>
          <cell r="H42"/>
          <cell r="I42"/>
          <cell r="J42">
            <v>0</v>
          </cell>
        </row>
        <row r="43">
          <cell r="C43"/>
          <cell r="D43"/>
          <cell r="E43"/>
          <cell r="F43" t="str">
            <v>*</v>
          </cell>
          <cell r="G43"/>
          <cell r="H43"/>
          <cell r="I43"/>
          <cell r="J43">
            <v>0</v>
          </cell>
        </row>
        <row r="44">
          <cell r="C44"/>
          <cell r="D44"/>
          <cell r="E44"/>
          <cell r="F44" t="str">
            <v>*</v>
          </cell>
          <cell r="G44"/>
          <cell r="H44"/>
          <cell r="I44"/>
          <cell r="J44">
            <v>0</v>
          </cell>
        </row>
        <row r="45">
          <cell r="C45"/>
          <cell r="D45"/>
          <cell r="E45"/>
          <cell r="F45" t="str">
            <v>*</v>
          </cell>
          <cell r="G45"/>
          <cell r="H45"/>
          <cell r="I45"/>
          <cell r="J45">
            <v>0</v>
          </cell>
        </row>
        <row r="46">
          <cell r="C46"/>
          <cell r="D46"/>
          <cell r="E46"/>
          <cell r="F46" t="str">
            <v>*</v>
          </cell>
          <cell r="G46"/>
          <cell r="H46"/>
          <cell r="I46"/>
          <cell r="J46">
            <v>0</v>
          </cell>
        </row>
        <row r="47">
          <cell r="C47"/>
          <cell r="D47"/>
          <cell r="E47"/>
          <cell r="F47" t="str">
            <v>*</v>
          </cell>
          <cell r="G47"/>
          <cell r="H47"/>
          <cell r="I47"/>
          <cell r="J47">
            <v>0</v>
          </cell>
        </row>
        <row r="48">
          <cell r="C48"/>
          <cell r="D48"/>
          <cell r="E48"/>
          <cell r="F48" t="str">
            <v>*</v>
          </cell>
          <cell r="G48"/>
          <cell r="H48"/>
          <cell r="I48"/>
          <cell r="J48">
            <v>0</v>
          </cell>
        </row>
        <row r="49">
          <cell r="C49"/>
          <cell r="D49"/>
          <cell r="E49"/>
          <cell r="F49" t="str">
            <v>*</v>
          </cell>
          <cell r="G49"/>
          <cell r="H49"/>
          <cell r="I49"/>
          <cell r="J49">
            <v>0</v>
          </cell>
        </row>
        <row r="50">
          <cell r="C50"/>
          <cell r="D50"/>
          <cell r="E50"/>
          <cell r="F50" t="str">
            <v>*</v>
          </cell>
          <cell r="G50"/>
          <cell r="H50"/>
          <cell r="I50"/>
          <cell r="J50">
            <v>0</v>
          </cell>
        </row>
        <row r="51">
          <cell r="C51"/>
          <cell r="D51"/>
          <cell r="E51"/>
          <cell r="F51" t="str">
            <v>*</v>
          </cell>
          <cell r="G51"/>
          <cell r="H51"/>
          <cell r="I51"/>
          <cell r="J51">
            <v>0</v>
          </cell>
        </row>
        <row r="52">
          <cell r="C52"/>
          <cell r="D52"/>
          <cell r="E52"/>
          <cell r="F52" t="str">
            <v>*</v>
          </cell>
          <cell r="G52"/>
          <cell r="H52"/>
          <cell r="I52"/>
          <cell r="J52">
            <v>0</v>
          </cell>
        </row>
        <row r="53">
          <cell r="C53"/>
          <cell r="D53"/>
          <cell r="E53"/>
          <cell r="F53" t="str">
            <v>*</v>
          </cell>
          <cell r="G53"/>
          <cell r="H53"/>
          <cell r="I53"/>
          <cell r="J53">
            <v>0</v>
          </cell>
        </row>
        <row r="54">
          <cell r="C54"/>
          <cell r="D54"/>
          <cell r="E54"/>
          <cell r="F54" t="str">
            <v>*</v>
          </cell>
          <cell r="G54"/>
          <cell r="H54"/>
          <cell r="I54"/>
          <cell r="J54">
            <v>0</v>
          </cell>
        </row>
        <row r="55">
          <cell r="C55"/>
          <cell r="D55"/>
          <cell r="E55"/>
          <cell r="F55" t="str">
            <v>*</v>
          </cell>
          <cell r="G55"/>
          <cell r="H55"/>
          <cell r="I55"/>
          <cell r="J55">
            <v>0</v>
          </cell>
        </row>
        <row r="56">
          <cell r="C56"/>
          <cell r="D56"/>
          <cell r="E56"/>
          <cell r="F56" t="str">
            <v>*</v>
          </cell>
          <cell r="G56"/>
          <cell r="H56"/>
          <cell r="I56"/>
          <cell r="J56">
            <v>0</v>
          </cell>
        </row>
        <row r="57">
          <cell r="C57"/>
          <cell r="D57"/>
          <cell r="E57"/>
          <cell r="F57" t="str">
            <v>*</v>
          </cell>
          <cell r="G57"/>
          <cell r="H57"/>
          <cell r="I57"/>
          <cell r="J57">
            <v>0</v>
          </cell>
        </row>
        <row r="58">
          <cell r="C58"/>
          <cell r="D58"/>
          <cell r="E58"/>
          <cell r="F58" t="str">
            <v>*</v>
          </cell>
          <cell r="G58"/>
          <cell r="H58"/>
          <cell r="I58"/>
          <cell r="J58">
            <v>0</v>
          </cell>
        </row>
        <row r="59">
          <cell r="C59"/>
          <cell r="D59"/>
          <cell r="E59"/>
          <cell r="F59" t="str">
            <v>*</v>
          </cell>
          <cell r="G59"/>
          <cell r="H59"/>
          <cell r="I59"/>
          <cell r="J59">
            <v>0</v>
          </cell>
        </row>
        <row r="60">
          <cell r="C60"/>
          <cell r="D60"/>
          <cell r="E60"/>
          <cell r="F60" t="str">
            <v>*</v>
          </cell>
          <cell r="G60"/>
          <cell r="H60"/>
          <cell r="I60"/>
          <cell r="J60">
            <v>0</v>
          </cell>
        </row>
        <row r="61">
          <cell r="C61"/>
          <cell r="D61"/>
          <cell r="E61"/>
          <cell r="F61" t="str">
            <v>*</v>
          </cell>
          <cell r="G61"/>
          <cell r="H61"/>
          <cell r="I61"/>
          <cell r="J61">
            <v>0</v>
          </cell>
        </row>
        <row r="62">
          <cell r="C62"/>
          <cell r="D62"/>
          <cell r="E62"/>
          <cell r="F62" t="str">
            <v>*</v>
          </cell>
          <cell r="G62"/>
          <cell r="H62"/>
          <cell r="I62"/>
          <cell r="J62">
            <v>0</v>
          </cell>
        </row>
        <row r="63">
          <cell r="C63"/>
          <cell r="D63"/>
          <cell r="E63"/>
          <cell r="F63" t="str">
            <v>*</v>
          </cell>
          <cell r="G63"/>
          <cell r="H63"/>
          <cell r="I63"/>
          <cell r="J63">
            <v>0</v>
          </cell>
        </row>
        <row r="64">
          <cell r="C64"/>
          <cell r="D64"/>
          <cell r="E64"/>
          <cell r="F64" t="str">
            <v>*</v>
          </cell>
          <cell r="G64"/>
          <cell r="H64"/>
          <cell r="I64"/>
          <cell r="J64">
            <v>0</v>
          </cell>
        </row>
        <row r="65">
          <cell r="C65"/>
          <cell r="D65"/>
          <cell r="E65"/>
          <cell r="F65" t="str">
            <v>*</v>
          </cell>
          <cell r="G65"/>
          <cell r="H65"/>
          <cell r="I65"/>
          <cell r="J65">
            <v>0</v>
          </cell>
        </row>
        <row r="66">
          <cell r="C66"/>
          <cell r="D66"/>
          <cell r="E66"/>
          <cell r="F66" t="str">
            <v>*</v>
          </cell>
          <cell r="G66"/>
          <cell r="H66"/>
          <cell r="I66"/>
          <cell r="J66">
            <v>0</v>
          </cell>
        </row>
        <row r="67">
          <cell r="C67"/>
          <cell r="D67"/>
          <cell r="E67"/>
          <cell r="F67" t="str">
            <v>*</v>
          </cell>
          <cell r="G67"/>
          <cell r="H67"/>
          <cell r="I67"/>
          <cell r="J67">
            <v>0</v>
          </cell>
        </row>
        <row r="68">
          <cell r="C68"/>
          <cell r="D68"/>
          <cell r="E68"/>
          <cell r="F68" t="str">
            <v>*</v>
          </cell>
          <cell r="G68"/>
          <cell r="H68"/>
          <cell r="I68"/>
          <cell r="J68">
            <v>0</v>
          </cell>
        </row>
        <row r="69">
          <cell r="C69"/>
          <cell r="D69"/>
          <cell r="E69"/>
          <cell r="F69" t="str">
            <v>*</v>
          </cell>
          <cell r="G69"/>
          <cell r="H69"/>
          <cell r="I69"/>
          <cell r="J69">
            <v>0</v>
          </cell>
        </row>
        <row r="70">
          <cell r="C70"/>
          <cell r="D70"/>
          <cell r="E70"/>
          <cell r="F70" t="str">
            <v>*</v>
          </cell>
          <cell r="G70"/>
          <cell r="H70"/>
          <cell r="I70"/>
          <cell r="J70">
            <v>0</v>
          </cell>
        </row>
        <row r="71">
          <cell r="C71"/>
          <cell r="D71"/>
          <cell r="E71"/>
          <cell r="F71" t="str">
            <v>*</v>
          </cell>
          <cell r="G71"/>
          <cell r="H71"/>
          <cell r="I71"/>
          <cell r="J71">
            <v>0</v>
          </cell>
        </row>
        <row r="72">
          <cell r="C72"/>
          <cell r="D72"/>
          <cell r="E72"/>
          <cell r="F72" t="str">
            <v>*</v>
          </cell>
          <cell r="G72"/>
          <cell r="H72"/>
          <cell r="I72"/>
          <cell r="J72">
            <v>0</v>
          </cell>
        </row>
        <row r="73">
          <cell r="C73"/>
          <cell r="D73"/>
          <cell r="E73"/>
          <cell r="F73" t="str">
            <v>*</v>
          </cell>
          <cell r="G73"/>
          <cell r="H73"/>
          <cell r="I73"/>
          <cell r="J73">
            <v>0</v>
          </cell>
        </row>
        <row r="74">
          <cell r="C74"/>
          <cell r="D74"/>
          <cell r="E74"/>
          <cell r="F74" t="str">
            <v>*</v>
          </cell>
          <cell r="G74"/>
          <cell r="H74"/>
          <cell r="I74"/>
          <cell r="J74">
            <v>0</v>
          </cell>
        </row>
        <row r="75">
          <cell r="C75"/>
          <cell r="D75"/>
          <cell r="E75"/>
          <cell r="F75" t="str">
            <v>*</v>
          </cell>
          <cell r="G75"/>
          <cell r="H75"/>
          <cell r="I75"/>
          <cell r="J75">
            <v>0</v>
          </cell>
        </row>
        <row r="76">
          <cell r="C76"/>
          <cell r="D76"/>
          <cell r="E76"/>
          <cell r="F76" t="str">
            <v>*</v>
          </cell>
          <cell r="G76"/>
          <cell r="H76"/>
          <cell r="I76"/>
          <cell r="J76">
            <v>0</v>
          </cell>
        </row>
        <row r="77">
          <cell r="C77"/>
          <cell r="D77"/>
          <cell r="E77"/>
          <cell r="F77" t="str">
            <v>*</v>
          </cell>
          <cell r="G77"/>
          <cell r="H77"/>
          <cell r="I77"/>
          <cell r="J77">
            <v>0</v>
          </cell>
        </row>
        <row r="78">
          <cell r="C78"/>
          <cell r="D78"/>
          <cell r="E78"/>
          <cell r="F78" t="str">
            <v>*</v>
          </cell>
          <cell r="G78"/>
          <cell r="H78"/>
          <cell r="I78"/>
          <cell r="J78">
            <v>0</v>
          </cell>
        </row>
        <row r="79">
          <cell r="C79"/>
          <cell r="D79"/>
          <cell r="E79"/>
          <cell r="F79" t="str">
            <v>*</v>
          </cell>
          <cell r="G79"/>
          <cell r="H79"/>
          <cell r="I79"/>
          <cell r="J79">
            <v>0</v>
          </cell>
        </row>
        <row r="80">
          <cell r="C80"/>
          <cell r="D80"/>
          <cell r="E80"/>
          <cell r="F80" t="str">
            <v>*</v>
          </cell>
          <cell r="G80"/>
          <cell r="H80"/>
          <cell r="I80"/>
          <cell r="J80">
            <v>0</v>
          </cell>
        </row>
        <row r="81">
          <cell r="C81"/>
          <cell r="D81"/>
          <cell r="E81"/>
          <cell r="F81" t="str">
            <v>*</v>
          </cell>
          <cell r="G81"/>
          <cell r="H81"/>
          <cell r="I81"/>
          <cell r="J81">
            <v>0</v>
          </cell>
        </row>
        <row r="82">
          <cell r="C82"/>
          <cell r="D82"/>
          <cell r="E82"/>
          <cell r="F82" t="str">
            <v>*</v>
          </cell>
          <cell r="G82"/>
          <cell r="H82"/>
          <cell r="I82"/>
          <cell r="J82">
            <v>0</v>
          </cell>
        </row>
        <row r="83">
          <cell r="C83"/>
          <cell r="D83"/>
          <cell r="E83"/>
          <cell r="F83" t="str">
            <v>*</v>
          </cell>
          <cell r="G83"/>
          <cell r="H83"/>
          <cell r="I83"/>
          <cell r="J83">
            <v>0</v>
          </cell>
        </row>
        <row r="84">
          <cell r="C84"/>
          <cell r="D84"/>
          <cell r="E84"/>
          <cell r="F84" t="str">
            <v>*</v>
          </cell>
          <cell r="G84"/>
          <cell r="H84"/>
          <cell r="I84"/>
          <cell r="J84">
            <v>0</v>
          </cell>
        </row>
        <row r="85">
          <cell r="C85"/>
          <cell r="D85"/>
          <cell r="E85"/>
          <cell r="F85" t="str">
            <v>*</v>
          </cell>
          <cell r="G85"/>
          <cell r="H85"/>
          <cell r="I85"/>
          <cell r="J85">
            <v>0</v>
          </cell>
        </row>
        <row r="86">
          <cell r="C86"/>
          <cell r="D86"/>
          <cell r="E86"/>
          <cell r="F86" t="str">
            <v>*</v>
          </cell>
          <cell r="G86"/>
          <cell r="H86"/>
          <cell r="I86"/>
          <cell r="J86">
            <v>0</v>
          </cell>
        </row>
        <row r="87">
          <cell r="C87"/>
          <cell r="D87"/>
          <cell r="E87"/>
          <cell r="F87" t="str">
            <v>*</v>
          </cell>
          <cell r="G87"/>
          <cell r="H87"/>
          <cell r="I87"/>
          <cell r="J87">
            <v>0</v>
          </cell>
        </row>
        <row r="88">
          <cell r="C88"/>
          <cell r="D88"/>
          <cell r="E88"/>
          <cell r="F88" t="str">
            <v>*</v>
          </cell>
          <cell r="G88"/>
          <cell r="H88"/>
          <cell r="I88"/>
          <cell r="J88">
            <v>0</v>
          </cell>
        </row>
        <row r="89">
          <cell r="C89"/>
          <cell r="D89"/>
          <cell r="E89"/>
          <cell r="F89" t="str">
            <v>*</v>
          </cell>
          <cell r="G89"/>
          <cell r="H89"/>
          <cell r="I89"/>
          <cell r="J89">
            <v>0</v>
          </cell>
        </row>
        <row r="90">
          <cell r="C90"/>
          <cell r="D90"/>
          <cell r="E90"/>
          <cell r="F90" t="str">
            <v>*</v>
          </cell>
          <cell r="G90"/>
          <cell r="H90"/>
          <cell r="I90"/>
          <cell r="J90">
            <v>0</v>
          </cell>
        </row>
        <row r="91">
          <cell r="C91"/>
          <cell r="D91"/>
          <cell r="E91"/>
          <cell r="F91" t="str">
            <v>*</v>
          </cell>
          <cell r="G91"/>
          <cell r="H91"/>
          <cell r="I91"/>
          <cell r="J91">
            <v>0</v>
          </cell>
        </row>
        <row r="92">
          <cell r="C92"/>
          <cell r="D92"/>
          <cell r="E92"/>
          <cell r="F92" t="str">
            <v>*</v>
          </cell>
          <cell r="G92"/>
          <cell r="H92"/>
          <cell r="I92"/>
          <cell r="J92">
            <v>0</v>
          </cell>
        </row>
        <row r="93">
          <cell r="C93"/>
          <cell r="D93"/>
          <cell r="E93"/>
          <cell r="F93" t="str">
            <v>*</v>
          </cell>
          <cell r="G93"/>
          <cell r="H93"/>
          <cell r="I93"/>
          <cell r="J93">
            <v>0</v>
          </cell>
        </row>
        <row r="94">
          <cell r="C94"/>
          <cell r="D94"/>
          <cell r="E94"/>
          <cell r="F94" t="str">
            <v>*</v>
          </cell>
          <cell r="G94"/>
          <cell r="H94"/>
          <cell r="I94"/>
          <cell r="J94">
            <v>0</v>
          </cell>
        </row>
        <row r="95">
          <cell r="C95"/>
          <cell r="D95"/>
          <cell r="E95"/>
          <cell r="F95" t="str">
            <v>*</v>
          </cell>
          <cell r="G95"/>
          <cell r="H95"/>
          <cell r="I95"/>
          <cell r="J95">
            <v>0</v>
          </cell>
        </row>
        <row r="96">
          <cell r="C96"/>
          <cell r="D96"/>
          <cell r="E96"/>
          <cell r="F96" t="str">
            <v>*</v>
          </cell>
          <cell r="G96"/>
          <cell r="H96"/>
          <cell r="I96"/>
          <cell r="J96">
            <v>0</v>
          </cell>
        </row>
        <row r="97">
          <cell r="C97"/>
          <cell r="D97"/>
          <cell r="E97"/>
          <cell r="F97" t="str">
            <v>*</v>
          </cell>
          <cell r="G97"/>
          <cell r="H97"/>
          <cell r="I97"/>
          <cell r="J97">
            <v>0</v>
          </cell>
        </row>
        <row r="98">
          <cell r="C98"/>
          <cell r="D98"/>
          <cell r="E98"/>
          <cell r="F98" t="str">
            <v>*</v>
          </cell>
          <cell r="G98"/>
          <cell r="H98"/>
          <cell r="I98"/>
          <cell r="J98">
            <v>0</v>
          </cell>
        </row>
        <row r="99">
          <cell r="C99"/>
          <cell r="D99"/>
          <cell r="E99"/>
          <cell r="F99" t="str">
            <v>*</v>
          </cell>
          <cell r="G99"/>
          <cell r="H99"/>
          <cell r="I99"/>
          <cell r="J99">
            <v>0</v>
          </cell>
        </row>
        <row r="100">
          <cell r="C100"/>
          <cell r="D100"/>
          <cell r="E100"/>
          <cell r="F100" t="str">
            <v>*</v>
          </cell>
          <cell r="G100"/>
          <cell r="H100"/>
          <cell r="I100"/>
          <cell r="J100">
            <v>0</v>
          </cell>
        </row>
        <row r="101">
          <cell r="C101"/>
          <cell r="D101"/>
          <cell r="E101"/>
          <cell r="F101" t="str">
            <v>*</v>
          </cell>
          <cell r="G101"/>
          <cell r="H101"/>
          <cell r="I101"/>
          <cell r="J101">
            <v>0</v>
          </cell>
        </row>
        <row r="102">
          <cell r="C102"/>
          <cell r="D102"/>
          <cell r="E102"/>
          <cell r="F102" t="str">
            <v>*</v>
          </cell>
          <cell r="G102"/>
          <cell r="H102"/>
          <cell r="I102"/>
          <cell r="J102">
            <v>0</v>
          </cell>
        </row>
      </sheetData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보기1" id="{3E7C335F-96B0-4B96-B016-FB3442E8F61F}"/>
</namedSheetView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7C657-664A-4640-B1B0-1C352D9C854D}">
  <sheetPr>
    <pageSetUpPr fitToPage="1"/>
  </sheetPr>
  <dimension ref="A2:L44"/>
  <sheetViews>
    <sheetView tabSelected="1" view="pageBreakPreview" topLeftCell="A11" zoomScale="85" zoomScaleNormal="115" zoomScaleSheetLayoutView="85" workbookViewId="0">
      <selection activeCell="A36" sqref="A36:J36"/>
    </sheetView>
  </sheetViews>
  <sheetFormatPr defaultRowHeight="16.5" x14ac:dyDescent="0.3"/>
  <cols>
    <col min="1" max="1" width="3.5" style="13" customWidth="1"/>
    <col min="2" max="2" width="15" customWidth="1"/>
    <col min="3" max="3" width="1.625" customWidth="1"/>
    <col min="4" max="4" width="17.125" bestFit="1" customWidth="1"/>
    <col min="6" max="6" width="5.375" customWidth="1"/>
    <col min="7" max="7" width="3.5" customWidth="1"/>
    <col min="8" max="8" width="11.75" customWidth="1"/>
    <col min="9" max="9" width="2" customWidth="1"/>
    <col min="10" max="10" width="20.5" customWidth="1"/>
    <col min="11" max="11" width="12.375" customWidth="1"/>
  </cols>
  <sheetData>
    <row r="2" spans="1:11" ht="25.5" x14ac:dyDescent="0.3">
      <c r="A2" s="85" t="s">
        <v>53</v>
      </c>
      <c r="B2" s="85"/>
      <c r="C2" s="85"/>
      <c r="D2" s="85"/>
      <c r="E2" s="85"/>
      <c r="F2" s="85"/>
      <c r="G2" s="85"/>
      <c r="H2" s="85"/>
      <c r="I2" s="85"/>
      <c r="J2" s="85"/>
      <c r="K2" s="12"/>
    </row>
    <row r="3" spans="1:11" ht="39" customHeight="1" x14ac:dyDescent="0.3">
      <c r="B3" s="10"/>
      <c r="C3" s="10"/>
      <c r="D3" s="10"/>
      <c r="E3" s="10"/>
      <c r="F3" s="10"/>
      <c r="G3" s="10"/>
      <c r="H3" s="10"/>
      <c r="I3" s="10"/>
      <c r="J3" s="10"/>
      <c r="K3" s="10"/>
    </row>
    <row r="4" spans="1:11" x14ac:dyDescent="0.3">
      <c r="A4" s="13" t="s">
        <v>24</v>
      </c>
      <c r="B4" s="27" t="s">
        <v>44</v>
      </c>
      <c r="C4" s="28" t="s">
        <v>19</v>
      </c>
      <c r="D4" s="88"/>
      <c r="E4" s="88"/>
      <c r="F4" s="88"/>
      <c r="G4" s="88"/>
      <c r="H4" s="88"/>
      <c r="I4" s="88"/>
      <c r="J4" s="88"/>
    </row>
    <row r="5" spans="1:11" x14ac:dyDescent="0.3">
      <c r="B5" s="25"/>
      <c r="C5" s="26"/>
      <c r="D5" s="29"/>
      <c r="E5" s="29"/>
      <c r="F5" s="29"/>
      <c r="G5" s="29"/>
      <c r="H5" s="29"/>
      <c r="I5" s="29"/>
      <c r="J5" s="29"/>
    </row>
    <row r="6" spans="1:11" x14ac:dyDescent="0.3">
      <c r="A6" s="13" t="s">
        <v>32</v>
      </c>
      <c r="B6" s="27" t="s">
        <v>48</v>
      </c>
      <c r="C6" s="28" t="s">
        <v>19</v>
      </c>
      <c r="D6" s="87"/>
      <c r="E6" s="87"/>
      <c r="F6" s="87"/>
      <c r="G6" s="87"/>
      <c r="H6" s="87"/>
      <c r="I6" s="87"/>
      <c r="J6" s="87"/>
      <c r="K6" s="14"/>
    </row>
    <row r="7" spans="1:11" x14ac:dyDescent="0.3">
      <c r="B7" s="25"/>
      <c r="C7" s="26"/>
      <c r="D7" s="29"/>
      <c r="E7" s="29"/>
      <c r="F7" s="29"/>
      <c r="G7" s="29"/>
      <c r="H7" s="29"/>
      <c r="I7" s="29"/>
      <c r="J7" s="29"/>
    </row>
    <row r="8" spans="1:11" x14ac:dyDescent="0.3">
      <c r="A8" s="13" t="s">
        <v>33</v>
      </c>
      <c r="B8" s="27" t="s">
        <v>25</v>
      </c>
      <c r="C8" s="28" t="s">
        <v>19</v>
      </c>
      <c r="D8" s="88"/>
      <c r="E8" s="88"/>
      <c r="F8" s="88"/>
      <c r="G8" s="88"/>
      <c r="H8" s="88"/>
      <c r="I8" s="88"/>
      <c r="J8" s="88"/>
    </row>
    <row r="9" spans="1:11" x14ac:dyDescent="0.3">
      <c r="B9" s="25"/>
      <c r="C9" s="26"/>
      <c r="D9" s="29"/>
      <c r="E9" s="29"/>
      <c r="F9" s="29"/>
      <c r="G9" s="29"/>
      <c r="H9" s="29"/>
      <c r="I9" s="29"/>
      <c r="J9" s="29"/>
    </row>
    <row r="10" spans="1:11" x14ac:dyDescent="0.3">
      <c r="A10" s="13" t="s">
        <v>34</v>
      </c>
      <c r="B10" s="27" t="s">
        <v>26</v>
      </c>
      <c r="C10" s="28" t="s">
        <v>19</v>
      </c>
      <c r="D10" s="89" t="s">
        <v>50</v>
      </c>
      <c r="E10" s="89"/>
      <c r="F10" s="89"/>
      <c r="G10" s="89"/>
      <c r="H10" s="89"/>
      <c r="I10" s="89"/>
      <c r="J10" s="89"/>
      <c r="K10" s="17"/>
    </row>
    <row r="11" spans="1:11" x14ac:dyDescent="0.3">
      <c r="B11" s="25"/>
      <c r="C11" s="26"/>
      <c r="D11" s="29"/>
      <c r="E11" s="29"/>
      <c r="F11" s="29"/>
      <c r="G11" s="29"/>
      <c r="H11" s="29"/>
      <c r="I11" s="29"/>
      <c r="J11" s="29"/>
    </row>
    <row r="12" spans="1:11" x14ac:dyDescent="0.3">
      <c r="A12" s="13" t="s">
        <v>35</v>
      </c>
      <c r="B12" s="27" t="s">
        <v>45</v>
      </c>
      <c r="C12" s="28" t="s">
        <v>19</v>
      </c>
      <c r="D12" s="89" t="s">
        <v>50</v>
      </c>
      <c r="E12" s="89"/>
      <c r="F12" s="89"/>
      <c r="G12" s="89"/>
      <c r="H12" s="89"/>
      <c r="I12" s="89"/>
      <c r="J12" s="89"/>
      <c r="K12" s="17"/>
    </row>
    <row r="13" spans="1:11" x14ac:dyDescent="0.3">
      <c r="B13" s="25"/>
      <c r="C13" s="26"/>
    </row>
    <row r="14" spans="1:11" x14ac:dyDescent="0.3">
      <c r="A14" s="13" t="s">
        <v>36</v>
      </c>
      <c r="B14" s="27" t="s">
        <v>7</v>
      </c>
      <c r="C14" s="28" t="s">
        <v>19</v>
      </c>
      <c r="D14" s="90" t="str">
        <f>"일금 "&amp;(NUMBERSTRING(H14,1)&amp;"원정")</f>
        <v>일금 영원정</v>
      </c>
      <c r="E14" s="90"/>
      <c r="F14" s="90"/>
      <c r="G14" t="s">
        <v>21</v>
      </c>
      <c r="H14" s="30">
        <f>'기성금 내역서'!F29</f>
        <v>0</v>
      </c>
      <c r="I14" t="s">
        <v>20</v>
      </c>
      <c r="J14" t="s">
        <v>22</v>
      </c>
    </row>
    <row r="15" spans="1:11" x14ac:dyDescent="0.3">
      <c r="B15" s="25"/>
      <c r="C15" s="26"/>
    </row>
    <row r="16" spans="1:11" x14ac:dyDescent="0.3">
      <c r="A16" s="13" t="s">
        <v>37</v>
      </c>
      <c r="B16" s="27" t="s">
        <v>27</v>
      </c>
      <c r="C16" s="28" t="s">
        <v>19</v>
      </c>
      <c r="D16" s="90" t="str">
        <f>"일금 "&amp;(NUMBERSTRING(H16,1)&amp;"원정")</f>
        <v>일금 영원정</v>
      </c>
      <c r="E16" s="90"/>
      <c r="F16" s="90"/>
      <c r="G16" t="s">
        <v>21</v>
      </c>
      <c r="H16" s="30">
        <f>'기성금 내역서'!H26</f>
        <v>0</v>
      </c>
      <c r="I16" t="s">
        <v>20</v>
      </c>
      <c r="J16" t="s">
        <v>22</v>
      </c>
    </row>
    <row r="17" spans="1:11" x14ac:dyDescent="0.3">
      <c r="B17" s="31"/>
      <c r="C17" s="28"/>
    </row>
    <row r="18" spans="1:11" x14ac:dyDescent="0.3">
      <c r="A18" s="13" t="s">
        <v>38</v>
      </c>
      <c r="B18" s="27" t="s">
        <v>4</v>
      </c>
      <c r="C18" s="28" t="s">
        <v>19</v>
      </c>
      <c r="D18" s="90" t="str">
        <f>"일금 "&amp;(NUMBERSTRING(H18,1)&amp;"원정")</f>
        <v>일금 영원정</v>
      </c>
      <c r="E18" s="90"/>
      <c r="F18" s="90"/>
      <c r="G18" t="s">
        <v>21</v>
      </c>
      <c r="H18" s="30">
        <f>'기성금 내역서'!H29</f>
        <v>0</v>
      </c>
      <c r="I18" t="s">
        <v>20</v>
      </c>
      <c r="J18" t="s">
        <v>22</v>
      </c>
    </row>
    <row r="19" spans="1:11" x14ac:dyDescent="0.3">
      <c r="B19" s="25"/>
      <c r="C19" s="26"/>
    </row>
    <row r="20" spans="1:11" x14ac:dyDescent="0.3">
      <c r="A20" s="13" t="s">
        <v>39</v>
      </c>
      <c r="B20" s="27" t="s">
        <v>5</v>
      </c>
      <c r="C20" s="28" t="s">
        <v>19</v>
      </c>
      <c r="D20" s="90" t="str">
        <f>"일금 "&amp;(NUMBERSTRING(H20,1)&amp;"원정")</f>
        <v>일금 영원정</v>
      </c>
      <c r="E20" s="90"/>
      <c r="F20" s="90"/>
      <c r="G20" t="s">
        <v>21</v>
      </c>
      <c r="H20" s="30">
        <f>'기성금 내역서'!J29</f>
        <v>0</v>
      </c>
      <c r="I20" t="s">
        <v>20</v>
      </c>
      <c r="J20" t="s">
        <v>22</v>
      </c>
    </row>
    <row r="21" spans="1:11" ht="17.25" thickBot="1" x14ac:dyDescent="0.35">
      <c r="A21" s="78"/>
      <c r="B21" s="79"/>
      <c r="C21" s="80"/>
      <c r="D21" s="80"/>
      <c r="E21" s="80"/>
      <c r="F21" s="80"/>
      <c r="G21" s="80"/>
      <c r="H21" s="80"/>
      <c r="I21" s="80"/>
    </row>
    <row r="22" spans="1:11" x14ac:dyDescent="0.3">
      <c r="A22" s="81"/>
      <c r="B22" s="82"/>
      <c r="C22" s="83"/>
      <c r="D22" s="84"/>
      <c r="E22" s="84"/>
      <c r="F22" s="84"/>
      <c r="G22" s="84"/>
      <c r="H22" s="84"/>
      <c r="I22" s="84"/>
    </row>
    <row r="23" spans="1:11" x14ac:dyDescent="0.3">
      <c r="A23" s="13" t="s">
        <v>40</v>
      </c>
      <c r="B23" s="27" t="s">
        <v>28</v>
      </c>
      <c r="C23" s="28" t="s">
        <v>19</v>
      </c>
      <c r="D23" s="90" t="str">
        <f>"일금 "&amp;(NUMBERSTRING(H23,1)&amp;"원정")</f>
        <v>일금 영원정</v>
      </c>
      <c r="E23" s="90"/>
      <c r="F23" s="90"/>
      <c r="G23" t="s">
        <v>21</v>
      </c>
      <c r="H23" s="30">
        <f>'기성금 내역서'!L29</f>
        <v>0</v>
      </c>
      <c r="I23" t="s">
        <v>20</v>
      </c>
      <c r="J23" t="s">
        <v>22</v>
      </c>
    </row>
    <row r="24" spans="1:11" x14ac:dyDescent="0.3">
      <c r="B24" s="25"/>
      <c r="C24" s="26"/>
    </row>
    <row r="25" spans="1:11" x14ac:dyDescent="0.3">
      <c r="A25" s="13" t="s">
        <v>41</v>
      </c>
      <c r="B25" s="27" t="s">
        <v>29</v>
      </c>
      <c r="C25" s="28" t="s">
        <v>19</v>
      </c>
    </row>
    <row r="26" spans="1:11" x14ac:dyDescent="0.3">
      <c r="B26" s="25"/>
      <c r="C26" s="26"/>
    </row>
    <row r="27" spans="1:11" x14ac:dyDescent="0.3">
      <c r="A27" s="13" t="s">
        <v>42</v>
      </c>
      <c r="B27" s="27" t="s">
        <v>30</v>
      </c>
      <c r="C27" s="28" t="s">
        <v>19</v>
      </c>
      <c r="D27" s="90" t="str">
        <f>"일금 "&amp;(NUMBERSTRING(H27,1)&amp;"원정")</f>
        <v>일금 영원정</v>
      </c>
      <c r="E27" s="90"/>
      <c r="F27" s="90"/>
      <c r="G27" t="s">
        <v>21</v>
      </c>
      <c r="H27" s="30">
        <f>'기성금 내역서'!F29-'기성금 내역서'!L29</f>
        <v>0</v>
      </c>
      <c r="I27" t="s">
        <v>20</v>
      </c>
      <c r="J27" t="s">
        <v>22</v>
      </c>
    </row>
    <row r="28" spans="1:11" x14ac:dyDescent="0.3">
      <c r="B28" s="25"/>
      <c r="C28" s="26"/>
    </row>
    <row r="29" spans="1:11" x14ac:dyDescent="0.3">
      <c r="A29" s="13" t="s">
        <v>43</v>
      </c>
      <c r="B29" s="27" t="s">
        <v>31</v>
      </c>
      <c r="C29" s="28" t="s">
        <v>19</v>
      </c>
      <c r="D29" t="s">
        <v>18</v>
      </c>
    </row>
    <row r="30" spans="1:11" x14ac:dyDescent="0.3">
      <c r="B30" s="25"/>
      <c r="C30" s="26"/>
    </row>
    <row r="31" spans="1:11" ht="17.45" customHeight="1" x14ac:dyDescent="0.3">
      <c r="A31" s="86" t="s">
        <v>46</v>
      </c>
      <c r="B31" s="86"/>
      <c r="C31" s="86"/>
      <c r="D31" s="86"/>
      <c r="E31" s="86"/>
      <c r="F31" s="86"/>
      <c r="G31" s="86"/>
      <c r="H31" s="86"/>
      <c r="I31" s="86"/>
      <c r="J31" s="86"/>
      <c r="K31" s="16"/>
    </row>
    <row r="32" spans="1:11" x14ac:dyDescent="0.3">
      <c r="A32" s="86"/>
      <c r="B32" s="86"/>
      <c r="C32" s="86"/>
      <c r="D32" s="86"/>
      <c r="E32" s="86"/>
      <c r="F32" s="86"/>
      <c r="G32" s="86"/>
      <c r="H32" s="86"/>
      <c r="I32" s="86"/>
      <c r="J32" s="86"/>
      <c r="K32" s="16"/>
    </row>
    <row r="33" spans="1:12" x14ac:dyDescent="0.3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16"/>
    </row>
    <row r="34" spans="1:12" x14ac:dyDescent="0.3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16"/>
      <c r="L34" s="6"/>
    </row>
    <row r="35" spans="1:12" x14ac:dyDescent="0.3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6"/>
    </row>
    <row r="36" spans="1:12" x14ac:dyDescent="0.3">
      <c r="A36" s="91" t="s">
        <v>51</v>
      </c>
      <c r="B36" s="91"/>
      <c r="C36" s="91"/>
      <c r="D36" s="91"/>
      <c r="E36" s="91"/>
      <c r="F36" s="91"/>
      <c r="G36" s="91"/>
      <c r="H36" s="91"/>
      <c r="I36" s="91"/>
      <c r="J36" s="91"/>
      <c r="K36" s="14"/>
      <c r="L36" s="7"/>
    </row>
    <row r="37" spans="1:12" x14ac:dyDescent="0.3"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7"/>
    </row>
    <row r="38" spans="1:12" x14ac:dyDescent="0.3">
      <c r="C38" s="24"/>
    </row>
    <row r="39" spans="1:12" x14ac:dyDescent="0.3">
      <c r="A39" s="92" t="s">
        <v>49</v>
      </c>
      <c r="B39" s="92"/>
      <c r="C39" s="92"/>
      <c r="D39" s="92"/>
      <c r="E39" s="92"/>
      <c r="F39" s="92"/>
      <c r="G39" s="92"/>
      <c r="H39" s="92"/>
      <c r="I39" s="92"/>
      <c r="J39" s="92"/>
      <c r="K39" s="14"/>
    </row>
    <row r="40" spans="1:12" x14ac:dyDescent="0.3">
      <c r="A40" s="92" t="s">
        <v>17</v>
      </c>
      <c r="B40" s="92"/>
      <c r="C40" s="92"/>
      <c r="D40" s="92"/>
      <c r="E40" s="92"/>
      <c r="F40" s="92"/>
      <c r="G40" s="92"/>
      <c r="H40" s="92"/>
      <c r="I40" s="92"/>
      <c r="J40" s="92"/>
      <c r="K40" s="14"/>
    </row>
    <row r="41" spans="1:12" x14ac:dyDescent="0.3">
      <c r="A41" s="92" t="s">
        <v>23</v>
      </c>
      <c r="B41" s="92"/>
      <c r="C41" s="92"/>
      <c r="D41" s="92"/>
      <c r="E41" s="92"/>
      <c r="F41" s="92"/>
      <c r="G41" s="92"/>
      <c r="H41" s="92"/>
      <c r="I41" s="92"/>
      <c r="J41" s="92"/>
      <c r="K41" s="14"/>
      <c r="L41" s="8"/>
    </row>
    <row r="42" spans="1:12" x14ac:dyDescent="0.3">
      <c r="L42" s="9"/>
    </row>
    <row r="43" spans="1:12" x14ac:dyDescent="0.3">
      <c r="L43" s="9"/>
    </row>
    <row r="44" spans="1:12" ht="26.25" x14ac:dyDescent="0.3">
      <c r="A44" s="93" t="s">
        <v>52</v>
      </c>
      <c r="B44" s="93"/>
      <c r="C44" s="93"/>
      <c r="D44" s="93"/>
      <c r="E44" s="93"/>
      <c r="F44" s="93"/>
      <c r="G44" s="93"/>
      <c r="H44" s="93"/>
      <c r="I44" s="93"/>
      <c r="J44" s="93"/>
      <c r="K44" s="18"/>
    </row>
  </sheetData>
  <sheetProtection sheet="1" formatCells="0" formatColumns="0" formatRows="0" insertColumns="0" insertRows="0" insertHyperlinks="0" deleteColumns="0" deleteRows="0" selectLockedCells="1" sort="0" autoFilter="0" pivotTables="0"/>
  <protectedRanges>
    <protectedRange sqref="D4 D6 D8 A2 A36 A44 D10 D12" name="범위1"/>
  </protectedRanges>
  <mergeCells count="18">
    <mergeCell ref="A36:J36"/>
    <mergeCell ref="A39:J39"/>
    <mergeCell ref="A40:J40"/>
    <mergeCell ref="A41:J41"/>
    <mergeCell ref="A44:J44"/>
    <mergeCell ref="A2:J2"/>
    <mergeCell ref="A31:J34"/>
    <mergeCell ref="D6:J6"/>
    <mergeCell ref="D8:J8"/>
    <mergeCell ref="D10:J10"/>
    <mergeCell ref="D12:J12"/>
    <mergeCell ref="D4:J4"/>
    <mergeCell ref="D18:F18"/>
    <mergeCell ref="D14:F14"/>
    <mergeCell ref="D23:F23"/>
    <mergeCell ref="D27:F27"/>
    <mergeCell ref="D16:F16"/>
    <mergeCell ref="D20:F20"/>
  </mergeCells>
  <phoneticPr fontId="4" type="noConversion"/>
  <pageMargins left="0.7" right="0.7" top="0.75" bottom="0.75" header="0.3" footer="0.3"/>
  <pageSetup paperSize="9" scale="90" fitToHeight="0" orientation="portrait" r:id="rId1"/>
  <rowBreaks count="1" manualBreakCount="1">
    <brk id="46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F9BC-48B2-42BC-9BAD-C03357562BB1}">
  <sheetPr>
    <pageSetUpPr fitToPage="1"/>
  </sheetPr>
  <dimension ref="A1:P35"/>
  <sheetViews>
    <sheetView view="pageBreakPreview" zoomScaleNormal="100" zoomScaleSheetLayoutView="100" workbookViewId="0">
      <selection activeCell="F7" sqref="F7"/>
    </sheetView>
  </sheetViews>
  <sheetFormatPr defaultColWidth="9" defaultRowHeight="16.5" x14ac:dyDescent="0.3"/>
  <cols>
    <col min="1" max="1" width="25.75" style="2" customWidth="1"/>
    <col min="2" max="2" width="25.25" style="2" customWidth="1"/>
    <col min="3" max="4" width="8.625" style="2" customWidth="1"/>
    <col min="5" max="12" width="11" style="2" customWidth="1"/>
    <col min="13" max="15" width="9" style="2"/>
    <col min="16" max="16" width="11.375" style="2" bestFit="1" customWidth="1"/>
    <col min="17" max="16384" width="9" style="2"/>
  </cols>
  <sheetData>
    <row r="1" spans="1:16" ht="24.75" customHeight="1" x14ac:dyDescent="0.3">
      <c r="A1" s="95" t="s">
        <v>47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</row>
    <row r="2" spans="1:16" ht="18" customHeight="1" thickBot="1" x14ac:dyDescent="0.35">
      <c r="A2" s="102" t="str">
        <f>"공사명 : "&amp;갑지!D4&amp;" 중 유리공사"</f>
        <v>공사명 :  중 유리공사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</row>
    <row r="3" spans="1:16" ht="20.45" customHeight="1" x14ac:dyDescent="0.3">
      <c r="A3" s="97" t="s">
        <v>8</v>
      </c>
      <c r="B3" s="94" t="s">
        <v>9</v>
      </c>
      <c r="C3" s="94" t="s">
        <v>10</v>
      </c>
      <c r="D3" s="94" t="s">
        <v>11</v>
      </c>
      <c r="E3" s="94" t="s">
        <v>7</v>
      </c>
      <c r="F3" s="94"/>
      <c r="G3" s="94" t="s">
        <v>4</v>
      </c>
      <c r="H3" s="94"/>
      <c r="I3" s="94" t="s">
        <v>5</v>
      </c>
      <c r="J3" s="94"/>
      <c r="K3" s="94" t="s">
        <v>1</v>
      </c>
      <c r="L3" s="94"/>
      <c r="M3" s="100" t="s">
        <v>12</v>
      </c>
    </row>
    <row r="4" spans="1:16" ht="20.45" customHeight="1" thickBot="1" x14ac:dyDescent="0.35">
      <c r="A4" s="98"/>
      <c r="B4" s="99"/>
      <c r="C4" s="99"/>
      <c r="D4" s="99"/>
      <c r="E4" s="77" t="s">
        <v>2</v>
      </c>
      <c r="F4" s="77" t="s">
        <v>3</v>
      </c>
      <c r="G4" s="77" t="s">
        <v>11</v>
      </c>
      <c r="H4" s="77" t="s">
        <v>3</v>
      </c>
      <c r="I4" s="77" t="s">
        <v>11</v>
      </c>
      <c r="J4" s="77" t="s">
        <v>3</v>
      </c>
      <c r="K4" s="77" t="s">
        <v>11</v>
      </c>
      <c r="L4" s="77" t="s">
        <v>3</v>
      </c>
      <c r="M4" s="101"/>
    </row>
    <row r="5" spans="1:16" ht="22.15" customHeight="1" x14ac:dyDescent="0.3">
      <c r="A5" s="42" t="s">
        <v>13</v>
      </c>
      <c r="B5" s="43" t="s">
        <v>0</v>
      </c>
      <c r="C5" s="44" t="s">
        <v>0</v>
      </c>
      <c r="D5" s="43" t="s">
        <v>0</v>
      </c>
      <c r="E5" s="45"/>
      <c r="F5" s="45"/>
      <c r="G5" s="45"/>
      <c r="H5" s="45"/>
      <c r="I5" s="45"/>
      <c r="J5" s="45"/>
      <c r="K5" s="45" t="s">
        <v>0</v>
      </c>
      <c r="L5" s="46"/>
      <c r="M5" s="47" t="s">
        <v>0</v>
      </c>
    </row>
    <row r="6" spans="1:16" ht="22.15" customHeight="1" x14ac:dyDescent="0.3">
      <c r="A6" s="37"/>
      <c r="B6" s="19"/>
      <c r="C6" s="20"/>
      <c r="D6" s="23"/>
      <c r="E6" s="22"/>
      <c r="F6" s="21">
        <f t="shared" ref="F6:F13" si="0">D6*E6</f>
        <v>0</v>
      </c>
      <c r="G6" s="22"/>
      <c r="H6" s="21">
        <f>G6*E6</f>
        <v>0</v>
      </c>
      <c r="I6" s="22"/>
      <c r="J6" s="21">
        <f>E6*I6</f>
        <v>0</v>
      </c>
      <c r="K6" s="22">
        <f>G6+I6</f>
        <v>0</v>
      </c>
      <c r="L6" s="22">
        <f>H6+J6</f>
        <v>0</v>
      </c>
      <c r="M6" s="48" t="e">
        <f>L6/F6</f>
        <v>#DIV/0!</v>
      </c>
    </row>
    <row r="7" spans="1:16" ht="22.15" customHeight="1" x14ac:dyDescent="0.3">
      <c r="A7" s="37"/>
      <c r="B7" s="19"/>
      <c r="C7" s="20"/>
      <c r="D7" s="23"/>
      <c r="E7" s="22"/>
      <c r="F7" s="21">
        <f t="shared" ref="F7:F25" si="1">D7*E7</f>
        <v>0</v>
      </c>
      <c r="G7" s="22"/>
      <c r="H7" s="21">
        <f t="shared" ref="H7:H25" si="2">G7*E7</f>
        <v>0</v>
      </c>
      <c r="I7" s="22"/>
      <c r="J7" s="21">
        <f t="shared" ref="J7:J25" si="3">E7*I7</f>
        <v>0</v>
      </c>
      <c r="K7" s="22">
        <f t="shared" ref="K7:K25" si="4">G7+I7</f>
        <v>0</v>
      </c>
      <c r="L7" s="22">
        <f t="shared" ref="L7:L25" si="5">H7+J7</f>
        <v>0</v>
      </c>
      <c r="M7" s="48" t="e">
        <f t="shared" ref="M7:M25" si="6">L7/F7</f>
        <v>#DIV/0!</v>
      </c>
    </row>
    <row r="8" spans="1:16" ht="22.15" customHeight="1" x14ac:dyDescent="0.3">
      <c r="A8" s="37"/>
      <c r="B8" s="19"/>
      <c r="C8" s="20"/>
      <c r="D8" s="23"/>
      <c r="E8" s="22"/>
      <c r="F8" s="21">
        <f t="shared" si="1"/>
        <v>0</v>
      </c>
      <c r="G8" s="22"/>
      <c r="H8" s="21">
        <f t="shared" si="2"/>
        <v>0</v>
      </c>
      <c r="I8" s="22"/>
      <c r="J8" s="21">
        <f t="shared" si="3"/>
        <v>0</v>
      </c>
      <c r="K8" s="22">
        <f t="shared" si="4"/>
        <v>0</v>
      </c>
      <c r="L8" s="22">
        <f t="shared" si="5"/>
        <v>0</v>
      </c>
      <c r="M8" s="48" t="e">
        <f t="shared" si="6"/>
        <v>#DIV/0!</v>
      </c>
    </row>
    <row r="9" spans="1:16" ht="22.15" customHeight="1" x14ac:dyDescent="0.3">
      <c r="A9" s="37"/>
      <c r="B9" s="19"/>
      <c r="C9" s="20"/>
      <c r="D9" s="23"/>
      <c r="E9" s="22"/>
      <c r="F9" s="21">
        <f t="shared" si="1"/>
        <v>0</v>
      </c>
      <c r="G9" s="22"/>
      <c r="H9" s="21">
        <f t="shared" si="2"/>
        <v>0</v>
      </c>
      <c r="I9" s="22"/>
      <c r="J9" s="21">
        <f t="shared" si="3"/>
        <v>0</v>
      </c>
      <c r="K9" s="22">
        <f t="shared" si="4"/>
        <v>0</v>
      </c>
      <c r="L9" s="22">
        <f t="shared" si="5"/>
        <v>0</v>
      </c>
      <c r="M9" s="48" t="e">
        <f t="shared" si="6"/>
        <v>#DIV/0!</v>
      </c>
    </row>
    <row r="10" spans="1:16" ht="22.15" customHeight="1" x14ac:dyDescent="0.3">
      <c r="A10" s="37"/>
      <c r="B10" s="19"/>
      <c r="C10" s="20"/>
      <c r="D10" s="23"/>
      <c r="E10" s="22"/>
      <c r="F10" s="21">
        <f t="shared" si="1"/>
        <v>0</v>
      </c>
      <c r="G10" s="22"/>
      <c r="H10" s="21">
        <f t="shared" si="2"/>
        <v>0</v>
      </c>
      <c r="I10" s="22"/>
      <c r="J10" s="21">
        <f t="shared" si="3"/>
        <v>0</v>
      </c>
      <c r="K10" s="22">
        <f t="shared" si="4"/>
        <v>0</v>
      </c>
      <c r="L10" s="22">
        <f t="shared" si="5"/>
        <v>0</v>
      </c>
      <c r="M10" s="48" t="e">
        <f t="shared" si="6"/>
        <v>#DIV/0!</v>
      </c>
      <c r="P10" s="1"/>
    </row>
    <row r="11" spans="1:16" ht="22.15" customHeight="1" x14ac:dyDescent="0.3">
      <c r="A11" s="37"/>
      <c r="B11" s="19"/>
      <c r="C11" s="20"/>
      <c r="D11" s="23"/>
      <c r="E11" s="22"/>
      <c r="F11" s="21">
        <f t="shared" si="1"/>
        <v>0</v>
      </c>
      <c r="G11" s="22"/>
      <c r="H11" s="21">
        <f t="shared" si="2"/>
        <v>0</v>
      </c>
      <c r="I11" s="22"/>
      <c r="J11" s="21">
        <f t="shared" si="3"/>
        <v>0</v>
      </c>
      <c r="K11" s="22">
        <f t="shared" si="4"/>
        <v>0</v>
      </c>
      <c r="L11" s="22">
        <f t="shared" si="5"/>
        <v>0</v>
      </c>
      <c r="M11" s="48" t="e">
        <f t="shared" si="6"/>
        <v>#DIV/0!</v>
      </c>
    </row>
    <row r="12" spans="1:16" ht="22.15" customHeight="1" x14ac:dyDescent="0.3">
      <c r="A12" s="37"/>
      <c r="B12" s="19"/>
      <c r="C12" s="20"/>
      <c r="D12" s="23"/>
      <c r="E12" s="22"/>
      <c r="F12" s="21">
        <f t="shared" si="1"/>
        <v>0</v>
      </c>
      <c r="G12" s="22"/>
      <c r="H12" s="21">
        <f t="shared" si="2"/>
        <v>0</v>
      </c>
      <c r="I12" s="22"/>
      <c r="J12" s="21">
        <f t="shared" si="3"/>
        <v>0</v>
      </c>
      <c r="K12" s="22">
        <f t="shared" si="4"/>
        <v>0</v>
      </c>
      <c r="L12" s="22">
        <f t="shared" si="5"/>
        <v>0</v>
      </c>
      <c r="M12" s="48" t="e">
        <f t="shared" si="6"/>
        <v>#DIV/0!</v>
      </c>
    </row>
    <row r="13" spans="1:16" ht="22.15" customHeight="1" x14ac:dyDescent="0.3">
      <c r="A13" s="37"/>
      <c r="B13" s="19"/>
      <c r="C13" s="20"/>
      <c r="D13" s="23"/>
      <c r="E13" s="22"/>
      <c r="F13" s="21">
        <f t="shared" si="1"/>
        <v>0</v>
      </c>
      <c r="G13" s="22"/>
      <c r="H13" s="21">
        <f t="shared" si="2"/>
        <v>0</v>
      </c>
      <c r="I13" s="22"/>
      <c r="J13" s="21">
        <f t="shared" si="3"/>
        <v>0</v>
      </c>
      <c r="K13" s="22">
        <f t="shared" si="4"/>
        <v>0</v>
      </c>
      <c r="L13" s="22">
        <f t="shared" si="5"/>
        <v>0</v>
      </c>
      <c r="M13" s="48" t="e">
        <f t="shared" si="6"/>
        <v>#DIV/0!</v>
      </c>
      <c r="P13" s="1"/>
    </row>
    <row r="14" spans="1:16" ht="22.15" customHeight="1" x14ac:dyDescent="0.3">
      <c r="A14" s="37"/>
      <c r="B14" s="19"/>
      <c r="C14" s="20"/>
      <c r="D14" s="23"/>
      <c r="E14" s="22"/>
      <c r="F14" s="21">
        <f t="shared" si="1"/>
        <v>0</v>
      </c>
      <c r="G14" s="22"/>
      <c r="H14" s="21">
        <f t="shared" si="2"/>
        <v>0</v>
      </c>
      <c r="I14" s="22"/>
      <c r="J14" s="21">
        <f t="shared" si="3"/>
        <v>0</v>
      </c>
      <c r="K14" s="22">
        <f t="shared" si="4"/>
        <v>0</v>
      </c>
      <c r="L14" s="22">
        <f t="shared" si="5"/>
        <v>0</v>
      </c>
      <c r="M14" s="48" t="e">
        <f t="shared" si="6"/>
        <v>#DIV/0!</v>
      </c>
      <c r="P14" s="1"/>
    </row>
    <row r="15" spans="1:16" ht="22.15" customHeight="1" x14ac:dyDescent="0.3">
      <c r="A15" s="37"/>
      <c r="B15" s="19"/>
      <c r="C15" s="20"/>
      <c r="D15" s="23"/>
      <c r="E15" s="22"/>
      <c r="F15" s="21">
        <f t="shared" si="1"/>
        <v>0</v>
      </c>
      <c r="G15" s="22"/>
      <c r="H15" s="21">
        <f t="shared" si="2"/>
        <v>0</v>
      </c>
      <c r="I15" s="22"/>
      <c r="J15" s="21">
        <f t="shared" si="3"/>
        <v>0</v>
      </c>
      <c r="K15" s="22">
        <f t="shared" si="4"/>
        <v>0</v>
      </c>
      <c r="L15" s="22">
        <f t="shared" si="5"/>
        <v>0</v>
      </c>
      <c r="M15" s="48" t="e">
        <f t="shared" si="6"/>
        <v>#DIV/0!</v>
      </c>
    </row>
    <row r="16" spans="1:16" ht="22.15" customHeight="1" x14ac:dyDescent="0.3">
      <c r="A16" s="37"/>
      <c r="B16" s="19"/>
      <c r="C16" s="20"/>
      <c r="D16" s="23"/>
      <c r="E16" s="22"/>
      <c r="F16" s="21">
        <f t="shared" si="1"/>
        <v>0</v>
      </c>
      <c r="G16" s="22"/>
      <c r="H16" s="21">
        <f t="shared" si="2"/>
        <v>0</v>
      </c>
      <c r="I16" s="22"/>
      <c r="J16" s="21">
        <f t="shared" si="3"/>
        <v>0</v>
      </c>
      <c r="K16" s="22">
        <f t="shared" si="4"/>
        <v>0</v>
      </c>
      <c r="L16" s="22">
        <f t="shared" si="5"/>
        <v>0</v>
      </c>
      <c r="M16" s="48" t="e">
        <f t="shared" si="6"/>
        <v>#DIV/0!</v>
      </c>
    </row>
    <row r="17" spans="1:13" ht="22.15" customHeight="1" x14ac:dyDescent="0.3">
      <c r="A17" s="37"/>
      <c r="B17" s="19"/>
      <c r="C17" s="20"/>
      <c r="D17" s="23"/>
      <c r="E17" s="22"/>
      <c r="F17" s="21">
        <f t="shared" si="1"/>
        <v>0</v>
      </c>
      <c r="G17" s="22"/>
      <c r="H17" s="21">
        <f t="shared" si="2"/>
        <v>0</v>
      </c>
      <c r="I17" s="22"/>
      <c r="J17" s="21">
        <f t="shared" si="3"/>
        <v>0</v>
      </c>
      <c r="K17" s="22">
        <f t="shared" si="4"/>
        <v>0</v>
      </c>
      <c r="L17" s="22">
        <f t="shared" si="5"/>
        <v>0</v>
      </c>
      <c r="M17" s="48" t="e">
        <f t="shared" si="6"/>
        <v>#DIV/0!</v>
      </c>
    </row>
    <row r="18" spans="1:13" ht="22.15" customHeight="1" x14ac:dyDescent="0.3">
      <c r="A18" s="39"/>
      <c r="B18" s="19"/>
      <c r="C18" s="20"/>
      <c r="D18" s="19"/>
      <c r="E18" s="21"/>
      <c r="F18" s="21">
        <f t="shared" si="1"/>
        <v>0</v>
      </c>
      <c r="G18" s="22"/>
      <c r="H18" s="21">
        <f t="shared" si="2"/>
        <v>0</v>
      </c>
      <c r="I18" s="22"/>
      <c r="J18" s="21">
        <f t="shared" si="3"/>
        <v>0</v>
      </c>
      <c r="K18" s="22">
        <f t="shared" si="4"/>
        <v>0</v>
      </c>
      <c r="L18" s="22">
        <f t="shared" si="5"/>
        <v>0</v>
      </c>
      <c r="M18" s="48" t="e">
        <f t="shared" si="6"/>
        <v>#DIV/0!</v>
      </c>
    </row>
    <row r="19" spans="1:13" ht="22.15" customHeight="1" x14ac:dyDescent="0.3">
      <c r="A19" s="39"/>
      <c r="B19" s="19"/>
      <c r="C19" s="20"/>
      <c r="D19" s="19"/>
      <c r="E19" s="21"/>
      <c r="F19" s="21">
        <f t="shared" si="1"/>
        <v>0</v>
      </c>
      <c r="G19" s="22"/>
      <c r="H19" s="21">
        <f t="shared" si="2"/>
        <v>0</v>
      </c>
      <c r="I19" s="22"/>
      <c r="J19" s="21">
        <f t="shared" si="3"/>
        <v>0</v>
      </c>
      <c r="K19" s="22">
        <f t="shared" si="4"/>
        <v>0</v>
      </c>
      <c r="L19" s="22">
        <f t="shared" si="5"/>
        <v>0</v>
      </c>
      <c r="M19" s="48" t="e">
        <f t="shared" si="6"/>
        <v>#DIV/0!</v>
      </c>
    </row>
    <row r="20" spans="1:13" ht="22.15" customHeight="1" x14ac:dyDescent="0.3">
      <c r="A20" s="39"/>
      <c r="B20" s="19"/>
      <c r="C20" s="20"/>
      <c r="D20" s="19"/>
      <c r="E20" s="21"/>
      <c r="F20" s="21">
        <f t="shared" si="1"/>
        <v>0</v>
      </c>
      <c r="G20" s="22"/>
      <c r="H20" s="21">
        <f t="shared" si="2"/>
        <v>0</v>
      </c>
      <c r="I20" s="22"/>
      <c r="J20" s="21">
        <f t="shared" si="3"/>
        <v>0</v>
      </c>
      <c r="K20" s="22">
        <f t="shared" si="4"/>
        <v>0</v>
      </c>
      <c r="L20" s="22">
        <f t="shared" si="5"/>
        <v>0</v>
      </c>
      <c r="M20" s="48" t="e">
        <f t="shared" si="6"/>
        <v>#DIV/0!</v>
      </c>
    </row>
    <row r="21" spans="1:13" ht="22.15" customHeight="1" x14ac:dyDescent="0.3">
      <c r="A21" s="39"/>
      <c r="B21" s="19"/>
      <c r="C21" s="20"/>
      <c r="D21" s="19"/>
      <c r="E21" s="21"/>
      <c r="F21" s="21">
        <f t="shared" si="1"/>
        <v>0</v>
      </c>
      <c r="G21" s="22"/>
      <c r="H21" s="21">
        <f t="shared" si="2"/>
        <v>0</v>
      </c>
      <c r="I21" s="22"/>
      <c r="J21" s="21">
        <f t="shared" si="3"/>
        <v>0</v>
      </c>
      <c r="K21" s="22">
        <f t="shared" si="4"/>
        <v>0</v>
      </c>
      <c r="L21" s="22">
        <f t="shared" si="5"/>
        <v>0</v>
      </c>
      <c r="M21" s="48" t="e">
        <f t="shared" si="6"/>
        <v>#DIV/0!</v>
      </c>
    </row>
    <row r="22" spans="1:13" ht="22.15" customHeight="1" x14ac:dyDescent="0.3">
      <c r="A22" s="39"/>
      <c r="B22" s="19"/>
      <c r="C22" s="20"/>
      <c r="D22" s="19"/>
      <c r="E22" s="21"/>
      <c r="F22" s="21">
        <f t="shared" si="1"/>
        <v>0</v>
      </c>
      <c r="G22" s="22"/>
      <c r="H22" s="21">
        <f t="shared" si="2"/>
        <v>0</v>
      </c>
      <c r="I22" s="22"/>
      <c r="J22" s="21">
        <f t="shared" si="3"/>
        <v>0</v>
      </c>
      <c r="K22" s="22">
        <f t="shared" si="4"/>
        <v>0</v>
      </c>
      <c r="L22" s="22">
        <f t="shared" si="5"/>
        <v>0</v>
      </c>
      <c r="M22" s="48" t="e">
        <f t="shared" si="6"/>
        <v>#DIV/0!</v>
      </c>
    </row>
    <row r="23" spans="1:13" ht="22.15" customHeight="1" x14ac:dyDescent="0.3">
      <c r="A23" s="39"/>
      <c r="B23" s="19"/>
      <c r="C23" s="20"/>
      <c r="D23" s="19"/>
      <c r="E23" s="21"/>
      <c r="F23" s="21">
        <f t="shared" si="1"/>
        <v>0</v>
      </c>
      <c r="G23" s="22"/>
      <c r="H23" s="21">
        <f t="shared" si="2"/>
        <v>0</v>
      </c>
      <c r="I23" s="22"/>
      <c r="J23" s="21">
        <f t="shared" si="3"/>
        <v>0</v>
      </c>
      <c r="K23" s="22">
        <f t="shared" si="4"/>
        <v>0</v>
      </c>
      <c r="L23" s="22">
        <f t="shared" si="5"/>
        <v>0</v>
      </c>
      <c r="M23" s="48" t="e">
        <f t="shared" si="6"/>
        <v>#DIV/0!</v>
      </c>
    </row>
    <row r="24" spans="1:13" ht="22.15" customHeight="1" x14ac:dyDescent="0.3">
      <c r="A24" s="49"/>
      <c r="B24" s="19"/>
      <c r="C24" s="20"/>
      <c r="D24" s="19"/>
      <c r="E24" s="21"/>
      <c r="F24" s="21">
        <f t="shared" si="1"/>
        <v>0</v>
      </c>
      <c r="G24" s="22"/>
      <c r="H24" s="21">
        <f t="shared" si="2"/>
        <v>0</v>
      </c>
      <c r="I24" s="22"/>
      <c r="J24" s="21">
        <f t="shared" si="3"/>
        <v>0</v>
      </c>
      <c r="K24" s="22">
        <f t="shared" si="4"/>
        <v>0</v>
      </c>
      <c r="L24" s="22">
        <f t="shared" si="5"/>
        <v>0</v>
      </c>
      <c r="M24" s="48" t="e">
        <f t="shared" si="6"/>
        <v>#DIV/0!</v>
      </c>
    </row>
    <row r="25" spans="1:13" ht="22.15" customHeight="1" thickBot="1" x14ac:dyDescent="0.35">
      <c r="A25" s="50"/>
      <c r="B25" s="32"/>
      <c r="C25" s="51"/>
      <c r="D25" s="32"/>
      <c r="E25" s="33"/>
      <c r="F25" s="21">
        <f t="shared" si="1"/>
        <v>0</v>
      </c>
      <c r="G25" s="22"/>
      <c r="H25" s="21">
        <f t="shared" si="2"/>
        <v>0</v>
      </c>
      <c r="I25" s="22"/>
      <c r="J25" s="21">
        <f t="shared" si="3"/>
        <v>0</v>
      </c>
      <c r="K25" s="22">
        <f t="shared" si="4"/>
        <v>0</v>
      </c>
      <c r="L25" s="22">
        <f t="shared" si="5"/>
        <v>0</v>
      </c>
      <c r="M25" s="48" t="e">
        <f t="shared" si="6"/>
        <v>#DIV/0!</v>
      </c>
    </row>
    <row r="26" spans="1:13" ht="22.15" customHeight="1" thickBot="1" x14ac:dyDescent="0.35">
      <c r="A26" s="76" t="s">
        <v>6</v>
      </c>
      <c r="B26" s="52" t="s">
        <v>0</v>
      </c>
      <c r="C26" s="53" t="s">
        <v>0</v>
      </c>
      <c r="D26" s="34"/>
      <c r="E26" s="35"/>
      <c r="F26" s="35"/>
      <c r="G26" s="36"/>
      <c r="H26" s="35"/>
      <c r="I26" s="36"/>
      <c r="J26" s="35"/>
      <c r="K26" s="36"/>
      <c r="L26" s="36"/>
      <c r="M26" s="54"/>
    </row>
    <row r="27" spans="1:13" ht="22.15" customHeight="1" x14ac:dyDescent="0.3">
      <c r="A27" s="61" t="s">
        <v>14</v>
      </c>
      <c r="B27" s="62"/>
      <c r="C27" s="63"/>
      <c r="D27" s="62"/>
      <c r="E27" s="64"/>
      <c r="F27" s="65">
        <f>SUM(F6:F25)</f>
        <v>0</v>
      </c>
      <c r="G27" s="64"/>
      <c r="H27" s="65">
        <f>SUM(H6:H25)+F26</f>
        <v>0</v>
      </c>
      <c r="I27" s="64"/>
      <c r="J27" s="65">
        <f>SUM(J6:J25)</f>
        <v>0</v>
      </c>
      <c r="K27" s="64"/>
      <c r="L27" s="65">
        <f>SUM(L6:L25)</f>
        <v>0</v>
      </c>
      <c r="M27" s="40"/>
    </row>
    <row r="28" spans="1:13" ht="22.15" customHeight="1" x14ac:dyDescent="0.3">
      <c r="A28" s="66" t="s">
        <v>15</v>
      </c>
      <c r="B28" s="67"/>
      <c r="C28" s="68"/>
      <c r="D28" s="67"/>
      <c r="E28" s="69"/>
      <c r="F28" s="69">
        <f>F27*0.1</f>
        <v>0</v>
      </c>
      <c r="G28" s="69"/>
      <c r="H28" s="69">
        <f>H27*0.1</f>
        <v>0</v>
      </c>
      <c r="I28" s="69"/>
      <c r="J28" s="69">
        <f>J27*0.1</f>
        <v>0</v>
      </c>
      <c r="K28" s="69"/>
      <c r="L28" s="70">
        <f t="shared" ref="L7:L29" si="7">H28+J28</f>
        <v>0</v>
      </c>
      <c r="M28" s="38"/>
    </row>
    <row r="29" spans="1:13" ht="22.15" customHeight="1" thickBot="1" x14ac:dyDescent="0.35">
      <c r="A29" s="71" t="s">
        <v>16</v>
      </c>
      <c r="B29" s="72"/>
      <c r="C29" s="73"/>
      <c r="D29" s="72"/>
      <c r="E29" s="74"/>
      <c r="F29" s="74">
        <f>F27+F28</f>
        <v>0</v>
      </c>
      <c r="G29" s="74"/>
      <c r="H29" s="74">
        <f>SUM(H27:H28)</f>
        <v>0</v>
      </c>
      <c r="I29" s="74"/>
      <c r="J29" s="74">
        <f>SUM(J27:J28)</f>
        <v>0</v>
      </c>
      <c r="K29" s="74"/>
      <c r="L29" s="75">
        <f t="shared" si="7"/>
        <v>0</v>
      </c>
      <c r="M29" s="41" t="e">
        <f t="shared" ref="M29" si="8">L29/F29</f>
        <v>#DIV/0!</v>
      </c>
    </row>
    <row r="30" spans="1:13" ht="20.45" customHeight="1" thickBot="1" x14ac:dyDescent="0.35">
      <c r="A30" s="55"/>
      <c r="B30" s="56"/>
      <c r="C30" s="57"/>
      <c r="D30" s="56"/>
      <c r="E30" s="58"/>
      <c r="F30" s="58"/>
      <c r="G30" s="58"/>
      <c r="H30" s="58"/>
      <c r="I30" s="58"/>
      <c r="J30" s="59"/>
      <c r="K30" s="58"/>
      <c r="L30" s="56"/>
      <c r="M30" s="60"/>
    </row>
    <row r="31" spans="1:13" ht="18" customHeight="1" x14ac:dyDescent="0.3">
      <c r="A31" s="3"/>
      <c r="B31" s="3"/>
      <c r="C31" s="4"/>
      <c r="D31" s="3"/>
      <c r="E31" s="5"/>
      <c r="F31" s="5"/>
      <c r="G31" s="5"/>
      <c r="H31" s="5"/>
      <c r="I31" s="5"/>
      <c r="J31" s="5"/>
      <c r="K31" s="5"/>
      <c r="L31" s="5"/>
      <c r="M31" s="3"/>
    </row>
    <row r="32" spans="1:13" ht="18" customHeight="1" x14ac:dyDescent="0.3">
      <c r="A32" s="3"/>
      <c r="B32" s="3"/>
      <c r="C32" s="4"/>
      <c r="D32" s="3"/>
      <c r="E32" s="5"/>
      <c r="F32" s="5"/>
      <c r="G32" s="5"/>
      <c r="H32" s="5"/>
      <c r="I32" s="5"/>
      <c r="J32" s="5"/>
      <c r="K32" s="5"/>
      <c r="L32" s="3"/>
      <c r="M32" s="3"/>
    </row>
    <row r="33" spans="1:13" ht="18" customHeight="1" x14ac:dyDescent="0.3">
      <c r="A33" s="3"/>
      <c r="B33" s="3"/>
      <c r="C33" s="4"/>
      <c r="D33" s="3"/>
      <c r="E33" s="5"/>
      <c r="F33" s="5"/>
      <c r="G33" s="5"/>
      <c r="H33" s="5"/>
      <c r="I33" s="5"/>
      <c r="J33" s="5"/>
      <c r="K33" s="5"/>
      <c r="L33" s="3"/>
      <c r="M33" s="3"/>
    </row>
    <row r="34" spans="1:13" ht="18" customHeight="1" x14ac:dyDescent="0.3">
      <c r="A34" s="3"/>
      <c r="B34" s="3"/>
      <c r="C34" s="4"/>
      <c r="D34" s="3"/>
      <c r="E34" s="5"/>
      <c r="F34" s="5"/>
      <c r="G34" s="5"/>
      <c r="H34" s="5"/>
      <c r="I34" s="5"/>
      <c r="J34" s="5"/>
      <c r="K34" s="5"/>
      <c r="L34" s="3"/>
      <c r="M34" s="3"/>
    </row>
    <row r="35" spans="1:13" ht="18" customHeight="1" x14ac:dyDescent="0.3">
      <c r="A35" s="3"/>
      <c r="B35" s="3"/>
      <c r="C35" s="4"/>
      <c r="D35" s="3"/>
      <c r="E35" s="5"/>
      <c r="F35" s="5"/>
      <c r="G35" s="5"/>
      <c r="H35" s="5"/>
      <c r="I35" s="5"/>
      <c r="J35" s="5"/>
      <c r="K35" s="5"/>
      <c r="L35" s="3"/>
      <c r="M35" s="3"/>
    </row>
  </sheetData>
  <sheetProtection sheet="1" formatCells="0" formatColumns="0" formatRows="0" insertColumns="0" insertRows="0" insertHyperlinks="0" deleteColumns="0" deleteRows="0" selectLockedCells="1" sort="0" autoFilter="0" pivotTables="0"/>
  <protectedRanges>
    <protectedRange sqref="A2:M2 A6:E22 G6:G26 I6:I26 D23:E26" name="범위1"/>
  </protectedRanges>
  <mergeCells count="11">
    <mergeCell ref="K3:L3"/>
    <mergeCell ref="A1:M1"/>
    <mergeCell ref="A3:A4"/>
    <mergeCell ref="B3:B4"/>
    <mergeCell ref="C3:C4"/>
    <mergeCell ref="D3:D4"/>
    <mergeCell ref="M3:M4"/>
    <mergeCell ref="E3:F3"/>
    <mergeCell ref="G3:H3"/>
    <mergeCell ref="I3:J3"/>
    <mergeCell ref="A2:M2"/>
  </mergeCells>
  <phoneticPr fontId="4" type="noConversion"/>
  <pageMargins left="0.70866141732283472" right="0.70866141732283472" top="0.74803149606299213" bottom="0.74803149606299213" header="0.31496062992125984" footer="0.31496062992125984"/>
  <pageSetup paperSize="9" scale="7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갑지</vt:lpstr>
      <vt:lpstr>기성금 내역서</vt:lpstr>
      <vt:lpstr>갑지!Print_Area</vt:lpstr>
      <vt:lpstr>'기성금 내역서'!Print_Area</vt:lpstr>
      <vt:lpstr>'기성금 내역서'!Print_Titles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현준 성</cp:lastModifiedBy>
  <cp:lastPrinted>2021-06-23T22:59:49Z</cp:lastPrinted>
  <dcterms:created xsi:type="dcterms:W3CDTF">2020-08-27T07:00:09Z</dcterms:created>
  <dcterms:modified xsi:type="dcterms:W3CDTF">2025-08-15T08:09:18Z</dcterms:modified>
</cp:coreProperties>
</file>