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Project\MyProject\public\"/>
    </mc:Choice>
  </mc:AlternateContent>
  <xr:revisionPtr revIDLastSave="0" documentId="13_ncr:1_{F42CDAA9-9ED8-49C5-96C1-AA9950AB44ED}" xr6:coauthVersionLast="47" xr6:coauthVersionMax="47" xr10:uidLastSave="{00000000-0000-0000-0000-000000000000}"/>
  <bookViews>
    <workbookView xWindow="-120" yWindow="-120" windowWidth="29040" windowHeight="15720" xr2:uid="{A6D0C5CE-3BE4-4E85-BD8F-4EBC4EBA5613}"/>
  </bookViews>
  <sheets>
    <sheet name="원장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definedNames>
    <definedName name="________Etc2" localSheetId="0">#REF!</definedName>
    <definedName name="________Etc2">#REF!</definedName>
    <definedName name="________NEW1">#N/A</definedName>
    <definedName name="________NEW2">#N/A</definedName>
    <definedName name="________NEW3">#N/A</definedName>
    <definedName name="________NEW5">#N/A</definedName>
    <definedName name="_______NEW1">#N/A</definedName>
    <definedName name="_______NEW2">#N/A</definedName>
    <definedName name="_______NEW3">#N/A</definedName>
    <definedName name="_______NEW5">#N/A</definedName>
    <definedName name="______Etc2" localSheetId="0">#REF!</definedName>
    <definedName name="______Etc2">#REF!</definedName>
    <definedName name="______NEW1">#N/A</definedName>
    <definedName name="______NEW2">#N/A</definedName>
    <definedName name="______NEW3">#N/A</definedName>
    <definedName name="______NEW5">#N/A</definedName>
    <definedName name="_____Etc2" localSheetId="0">#REF!</definedName>
    <definedName name="_____Etc2">#REF!</definedName>
    <definedName name="_____NEW1">#N/A</definedName>
    <definedName name="_____NEW2">#N/A</definedName>
    <definedName name="_____NEW3">#N/A</definedName>
    <definedName name="_____NEW5">#N/A</definedName>
    <definedName name="____HSH1">'[1]#REF'!$F$40</definedName>
    <definedName name="____HSH2">'[1]#REF'!$F$41</definedName>
    <definedName name="____NP1">'[1]#REF'!$F$57</definedName>
    <definedName name="____NP2">'[1]#REF'!$F$58</definedName>
    <definedName name="____NSH1">'[1]#REF'!$L$40</definedName>
    <definedName name="____NSH2">'[1]#REF'!$L$41</definedName>
    <definedName name="____sh2">[1]SG!$A$1:$G$961</definedName>
    <definedName name="___Etc2" localSheetId="0">#REF!</definedName>
    <definedName name="___Etc2">#REF!</definedName>
    <definedName name="___FL3">[2]!BlankMacro1</definedName>
    <definedName name="___HSH1">'[1]#REF'!$F$40</definedName>
    <definedName name="___HSH2">'[1]#REF'!$F$41</definedName>
    <definedName name="___NET2">[2]!BlankMacro1</definedName>
    <definedName name="___NEW1">#N/A</definedName>
    <definedName name="___NEW2">#N/A</definedName>
    <definedName name="___NEW3">#N/A</definedName>
    <definedName name="___NEW5">#N/A</definedName>
    <definedName name="___NP1">'[1]#REF'!$F$57</definedName>
    <definedName name="___NP2">'[1]#REF'!$F$58</definedName>
    <definedName name="___NSH1">'[1]#REF'!$L$40</definedName>
    <definedName name="___NSH2">'[1]#REF'!$L$41</definedName>
    <definedName name="___sh2">[1]SG!$A$1:$G$961</definedName>
    <definedName name="__123Graph_A" localSheetId="0" hidden="1">#REF!</definedName>
    <definedName name="__123Graph_A" hidden="1">#REF!</definedName>
    <definedName name="__123Graph_B" hidden="1">#REF!</definedName>
    <definedName name="__123Graph_X" hidden="1">#REF!</definedName>
    <definedName name="__FL3">[2]!BlankMacro1</definedName>
    <definedName name="__HSH1">'[1]#REF'!$F$40</definedName>
    <definedName name="__HSH2">'[1]#REF'!$F$41</definedName>
    <definedName name="__IntlFixup" hidden="1">TRUE</definedName>
    <definedName name="__NET2">[2]!BlankMacro1</definedName>
    <definedName name="__NP1">'[1]#REF'!$F$57</definedName>
    <definedName name="__NP2">'[1]#REF'!$F$58</definedName>
    <definedName name="__NSH1">'[1]#REF'!$L$40</definedName>
    <definedName name="__NSH2">'[1]#REF'!$L$41</definedName>
    <definedName name="__sh2">[1]SG!$A$1:$G$961</definedName>
    <definedName name="_1">#N/A</definedName>
    <definedName name="_1_" localSheetId="0">#REF!</definedName>
    <definedName name="_1_">#REF!</definedName>
    <definedName name="_10">#N/A</definedName>
    <definedName name="_10_0__123Grap" localSheetId="0" hidden="1">#REF!</definedName>
    <definedName name="_10_0__123Grap" hidden="1">#REF!</definedName>
    <definedName name="_10_123Grap" hidden="1">#REF!</definedName>
    <definedName name="_11">#N/A</definedName>
    <definedName name="_12">#N/A</definedName>
    <definedName name="_12_0_0_S" localSheetId="0" hidden="1">#REF!</definedName>
    <definedName name="_12_0_0_S" hidden="1">#REF!</definedName>
    <definedName name="_13">#N/A</definedName>
    <definedName name="_14">#N/A</definedName>
    <definedName name="_15">#N/A</definedName>
    <definedName name="_15A">[3]금액내역서!$D$3:$D$10</definedName>
    <definedName name="_16">#N/A</definedName>
    <definedName name="_17">#N/A</definedName>
    <definedName name="_18">#N/A</definedName>
    <definedName name="_19">#N/A</definedName>
    <definedName name="_2">#N/A</definedName>
    <definedName name="_20">#N/A</definedName>
    <definedName name="_20_0__123Grap" localSheetId="0" hidden="1">#REF!</definedName>
    <definedName name="_20_0__123Grap" hidden="1">#REF!</definedName>
    <definedName name="_21">#N/A</definedName>
    <definedName name="_22">#N/A</definedName>
    <definedName name="_23">#N/A</definedName>
    <definedName name="_24">#N/A</definedName>
    <definedName name="_25">#N/A</definedName>
    <definedName name="_26">#N/A</definedName>
    <definedName name="_27">#N/A</definedName>
    <definedName name="_2760_0__123Grap" localSheetId="0" hidden="1">#REF!</definedName>
    <definedName name="_2760_0__123Grap" hidden="1">#REF!</definedName>
    <definedName name="_28">#N/A</definedName>
    <definedName name="_29">#N/A</definedName>
    <definedName name="_2S" localSheetId="0" hidden="1">#REF!</definedName>
    <definedName name="_2S" hidden="1">#REF!</definedName>
    <definedName name="_3">#N/A</definedName>
    <definedName name="_3_3__Crite" localSheetId="0">#REF!</definedName>
    <definedName name="_3_3__Crite">#REF!</definedName>
    <definedName name="_30">#N/A</definedName>
    <definedName name="_30_0_0_K" localSheetId="0" hidden="1">#REF!</definedName>
    <definedName name="_30_0_0_K" hidden="1">#REF!</definedName>
    <definedName name="_31">#N/A</definedName>
    <definedName name="_31_0_0_S" localSheetId="0" hidden="1">#REF!</definedName>
    <definedName name="_31_0_0_S" hidden="1">#REF!</definedName>
    <definedName name="_32">#N/A</definedName>
    <definedName name="_33">#N/A</definedName>
    <definedName name="_34">#N/A</definedName>
    <definedName name="_35">#N/A</definedName>
    <definedName name="_36">#N/A</definedName>
    <definedName name="_37">#N/A</definedName>
    <definedName name="_38">#N/A</definedName>
    <definedName name="_39">#N/A</definedName>
    <definedName name="_4">#N/A</definedName>
    <definedName name="_４._설___비____공___사" localSheetId="0">#REF!</definedName>
    <definedName name="_４._설___비____공___사">#REF!</definedName>
    <definedName name="_4_3__Criteria">#REF!</definedName>
    <definedName name="_40">#N/A</definedName>
    <definedName name="_40_123Grap" localSheetId="0" hidden="1">#REF!</definedName>
    <definedName name="_40_123Grap" hidden="1">#REF!</definedName>
    <definedName name="_41">#N/A</definedName>
    <definedName name="_42">#N/A</definedName>
    <definedName name="_43">#N/A</definedName>
    <definedName name="_44">#N/A</definedName>
    <definedName name="_45">#N/A</definedName>
    <definedName name="_46">#N/A</definedName>
    <definedName name="_47">#N/A</definedName>
    <definedName name="_48">#N/A</definedName>
    <definedName name="_49">#N/A</definedName>
    <definedName name="_5">#N/A</definedName>
    <definedName name="_5_0__123Grap" localSheetId="0" hidden="1">#REF!</definedName>
    <definedName name="_5_0__123Grap" hidden="1">#REF!</definedName>
    <definedName name="_5_123Grap" hidden="1">#REF!</definedName>
    <definedName name="_50">#N/A</definedName>
    <definedName name="_51">#N/A</definedName>
    <definedName name="_52">#N/A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G__Extr" localSheetId="0">#REF!</definedName>
    <definedName name="_5G__Extr">#REF!</definedName>
    <definedName name="_6">#N/A</definedName>
    <definedName name="_6_0_0_K" localSheetId="0" hidden="1">#REF!</definedName>
    <definedName name="_6_0_0_K" hidden="1">#REF!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99_0__123Grap" localSheetId="0" hidden="1">#REF!</definedName>
    <definedName name="_699_0__123Grap" hidden="1">#REF!</definedName>
    <definedName name="_6G__Extract">#REF!</definedName>
    <definedName name="_7">#N/A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#N/A</definedName>
    <definedName name="_8_0_0_S" localSheetId="0" hidden="1">#REF!</definedName>
    <definedName name="_8_0_0_S" hidden="1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4_0_0_F" localSheetId="0" hidden="1">#REF!</definedName>
    <definedName name="_84_0_0_F" hidden="1">#REF!</definedName>
    <definedName name="_85">#N/A</definedName>
    <definedName name="_86">#N/A</definedName>
    <definedName name="_87">#N/A</definedName>
    <definedName name="_88">#N/A</definedName>
    <definedName name="_89">#N/A</definedName>
    <definedName name="_9">#N/A</definedName>
    <definedName name="_9_0_0_K" localSheetId="0" hidden="1">#REF!</definedName>
    <definedName name="_9_0_0_K" hidden="1">#REF!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B22">[4]일위대가!$A$1400:$IV$1413=[4]일위대가!$A$1400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Fill" localSheetId="0" hidden="1">#REF!</definedName>
    <definedName name="_Fill" hidden="1">#REF!</definedName>
    <definedName name="_xlnm._FilterDatabase" hidden="1">#REF!</definedName>
    <definedName name="_FL3">[2]!BlankMacro1</definedName>
    <definedName name="_HSH1">'[1]#REF'!$F$40</definedName>
    <definedName name="_HSH2">'[1]#REF'!$F$41</definedName>
    <definedName name="_K02">[4]일위대가!$A$732:$IV$745=[4]일위대가!$A$732</definedName>
    <definedName name="_Key1" localSheetId="0" hidden="1">[5]정렬!#REF!</definedName>
    <definedName name="_Key1" hidden="1">[5]정렬!#REF!</definedName>
    <definedName name="_Key2" localSheetId="0" hidden="1">#REF!</definedName>
    <definedName name="_Key2" hidden="1">#REF!</definedName>
    <definedName name="_Key3" hidden="1">#REF!</definedName>
    <definedName name="_NET2">[2]!BlankMacro1</definedName>
    <definedName name="_NEW1">#N/A</definedName>
    <definedName name="_NEW2">#N/A</definedName>
    <definedName name="_NEW3">#N/A</definedName>
    <definedName name="_NEW5">#N/A</definedName>
    <definedName name="_NP1">'[1]#REF'!$F$57</definedName>
    <definedName name="_NP2">'[1]#REF'!$F$58</definedName>
    <definedName name="_NSH1">'[1]#REF'!$L$40</definedName>
    <definedName name="_NSH2">'[1]#REF'!$L$41</definedName>
    <definedName name="_O03">[4]일위대가!$A$1516:$IV$1529=[4]일위대가!$A$1516</definedName>
    <definedName name="_Order1" hidden="1">255</definedName>
    <definedName name="_Order2" hidden="1">255</definedName>
    <definedName name="_ordr2" hidden="1">0</definedName>
    <definedName name="_ordwre2" hidden="1">0</definedName>
    <definedName name="_Parse_In" localSheetId="0" hidden="1">#REF!</definedName>
    <definedName name="_Parse_In" hidden="1">#REF!</definedName>
    <definedName name="_Parse_Out" hidden="1">#REF!</definedName>
    <definedName name="_Regression_Int">1</definedName>
    <definedName name="_Regression_Out" localSheetId="0" hidden="1">#REF!</definedName>
    <definedName name="_Regression_Out" hidden="1">#REF!</definedName>
    <definedName name="_Regression_X" hidden="1">#REF!</definedName>
    <definedName name="_Regression_Y" hidden="1">#REF!</definedName>
    <definedName name="_sh2">[1]SG!$A$1:$G$961</definedName>
    <definedName name="_Sort" localSheetId="0" hidden="1">#REF!</definedName>
    <definedName name="_Sort" hidden="1">#REF!</definedName>
    <definedName name="_SORT1" hidden="1">#REF!</definedName>
    <definedName name="_Table1_In1" hidden="1">#REF!</definedName>
    <definedName name="_Table1_Out" hidden="1">#REF!</definedName>
    <definedName name="_UBF125">#REF!</definedName>
    <definedName name="\0">#N/A</definedName>
    <definedName name="\A" localSheetId="0">#REF!</definedName>
    <definedName name="\A">#REF!</definedName>
    <definedName name="\b" localSheetId="0">#REF!</definedName>
    <definedName name="\b">#REF!</definedName>
    <definedName name="\c" localSheetId="0">#REF!</definedName>
    <definedName name="\c">#REF!</definedName>
    <definedName name="\d" localSheetId="0">#REF!</definedName>
    <definedName name="\d">#REF!</definedName>
    <definedName name="\i" localSheetId="0">#REF!</definedName>
    <definedName name="\i">#REF!</definedName>
    <definedName name="\m">#N/A</definedName>
    <definedName name="\p">#N/A</definedName>
    <definedName name="\q">#N/A</definedName>
    <definedName name="\x" localSheetId="0">[6]내역!#REF!</definedName>
    <definedName name="\x">[6]내역!#REF!</definedName>
    <definedName name="\z" localSheetId="0">#REF!</definedName>
    <definedName name="\z">#REF!</definedName>
    <definedName name="a" localSheetId="0">#REF!</definedName>
    <definedName name="a">#REF!</definedName>
    <definedName name="A1C1" hidden="1">#REF!</definedName>
    <definedName name="aa" localSheetId="0">#REF!</definedName>
    <definedName name="aa">#REF!</definedName>
    <definedName name="AAA" localSheetId="0">[7]직노!#REF!</definedName>
    <definedName name="AAA">[7]직노!#REF!</definedName>
    <definedName name="AAAA" localSheetId="0">BlankMacro1</definedName>
    <definedName name="AAAA">BlankMacro1</definedName>
    <definedName name="aaaaaaaaaaaaaaaa" localSheetId="0">BlankMacro1</definedName>
    <definedName name="aaaaaaaaaaaaaaaa">BlankMacro1</definedName>
    <definedName name="aacv">[2]!BlankMacro1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ti_day" localSheetId="0">#REF!</definedName>
    <definedName name="acti_day">#REF!</definedName>
    <definedName name="acti_month">#REF!</definedName>
    <definedName name="acti_monthday">#REF!</definedName>
    <definedName name="acti_year">#REF!</definedName>
    <definedName name="ActiLen">#REF!</definedName>
    <definedName name="Activity">#REF!</definedName>
    <definedName name="ActR">#REF!</definedName>
    <definedName name="ActR_h">#REF!</definedName>
    <definedName name="ACWP">#REF!</definedName>
    <definedName name="ADC" hidden="1">#REF!</definedName>
    <definedName name="AE_LB_pnt">#REF!</definedName>
    <definedName name="AE_ListBlk">#REF!</definedName>
    <definedName name="ak" hidden="1">#REF!</definedName>
    <definedName name="Amount_h">#REF!</definedName>
    <definedName name="anal_ij">#REF!</definedName>
    <definedName name="anscount" hidden="1">1</definedName>
    <definedName name="APT">'[1]#REF'!$B$4:$I$499</definedName>
    <definedName name="ARRR" localSheetId="0">{"서울냉천 3차( 5. 6-7).xls","Sheet1"}</definedName>
    <definedName name="ARRR">{"서울냉천 3차( 5. 6-7).xls","Sheet1"}</definedName>
    <definedName name="AS" localSheetId="0" hidden="1">#REF!</definedName>
    <definedName name="AS" hidden="1">#REF!</definedName>
    <definedName name="ASSS" hidden="1">#REF!</definedName>
    <definedName name="B" localSheetId="0">[8]Sheet3!#REF!</definedName>
    <definedName name="B">[8]Sheet3!#REF!</definedName>
    <definedName name="B_3">'[1]#REF'!$H$21</definedName>
    <definedName name="B_4">'[1]#REF'!$D$21</definedName>
    <definedName name="B10GJamount" localSheetId="0">#REF!</definedName>
    <definedName name="B10GJamount">#REF!</definedName>
    <definedName name="B11GJamount">#REF!</definedName>
    <definedName name="B12GJamount">#REF!</definedName>
    <definedName name="B13GJamount">#REF!</definedName>
    <definedName name="B14GJamount">#REF!</definedName>
    <definedName name="B15GJamount">#REF!</definedName>
    <definedName name="B16GJamount">#REF!</definedName>
    <definedName name="B17GJamount">#REF!</definedName>
    <definedName name="B18GJamount">#REF!</definedName>
    <definedName name="B19GJamount">#REF!</definedName>
    <definedName name="B1A">'[1]#REF'!$L$3</definedName>
    <definedName name="B1GJamount" localSheetId="0">#REF!</definedName>
    <definedName name="B1GJamount">#REF!</definedName>
    <definedName name="B1WL">'[1]#REF'!$L$23</definedName>
    <definedName name="B1WR">'[1]#REF'!$N$23</definedName>
    <definedName name="B2A">'[1]#REF'!$L$4</definedName>
    <definedName name="B2GJamount" localSheetId="0">#REF!</definedName>
    <definedName name="B2GJamount">#REF!</definedName>
    <definedName name="B2WL">'[1]#REF'!$L$24</definedName>
    <definedName name="B2WR">'[1]#REF'!$N$24</definedName>
    <definedName name="B3A">'[1]#REF'!$L$5</definedName>
    <definedName name="B3GJamount" localSheetId="0">#REF!</definedName>
    <definedName name="B3GJamount">#REF!</definedName>
    <definedName name="B4A">'[1]#REF'!$L$6</definedName>
    <definedName name="B4GJamount" localSheetId="0">#REF!</definedName>
    <definedName name="B4GJamount">#REF!</definedName>
    <definedName name="B5A">'[1]#REF'!$L$7</definedName>
    <definedName name="B5GJamount" localSheetId="0">#REF!</definedName>
    <definedName name="B5GJamount">#REF!</definedName>
    <definedName name="B6A">'[1]#REF'!$L$8</definedName>
    <definedName name="B6GJamount" localSheetId="0">#REF!</definedName>
    <definedName name="B6GJamount">#REF!</definedName>
    <definedName name="B7A">'[1]#REF'!$F$19</definedName>
    <definedName name="B7GJamount" localSheetId="0">#REF!</definedName>
    <definedName name="B7GJamount">#REF!</definedName>
    <definedName name="B8A">'[1]#REF'!$N$7</definedName>
    <definedName name="B8GJamount" localSheetId="0">#REF!</definedName>
    <definedName name="B8GJamount">#REF!</definedName>
    <definedName name="B9GJamount">#REF!</definedName>
    <definedName name="BA">'[1]#REF'!$N$8</definedName>
    <definedName name="bbb" localSheetId="0">BlankMacro1</definedName>
    <definedName name="bbb">BlankMacro1</definedName>
    <definedName name="BCWP" localSheetId="0">#REF!</definedName>
    <definedName name="BCWP">#REF!</definedName>
    <definedName name="BCWS">#REF!</definedName>
    <definedName name="BF자재명">#REF!</definedName>
    <definedName name="BF종류">"목록!$A$2:$A$10"</definedName>
    <definedName name="BHU">'[1]#REF'!$N$31</definedName>
    <definedName name="BMO">'[1]#REF'!$F$50</definedName>
    <definedName name="BSH">'[1]#REF'!$F$39</definedName>
    <definedName name="CA" localSheetId="0">{"서울냉천 3차( 5. 6-7).xls","Sheet1"}</definedName>
    <definedName name="CA">{"서울냉천 3차( 5. 6-7).xls","Sheet1"}</definedName>
    <definedName name="cal_f_day" localSheetId="0">#REF!</definedName>
    <definedName name="cal_f_day">#REF!</definedName>
    <definedName name="caldurEFD">#REF!</definedName>
    <definedName name="caldurESD">#REF!</definedName>
    <definedName name="ChnRate">#REF!</definedName>
    <definedName name="CO" localSheetId="0">[9]직공비!#REF!</definedName>
    <definedName name="CO">[9]직공비!#REF!</definedName>
    <definedName name="code" localSheetId="0">#REF!</definedName>
    <definedName name="code">#REF!</definedName>
    <definedName name="COPY" localSheetId="0">[9]직공비!#REF!</definedName>
    <definedName name="COPY">[9]직공비!#REF!</definedName>
    <definedName name="cordaddr" localSheetId="0">#REF!</definedName>
    <definedName name="cordaddr">#REF!</definedName>
    <definedName name="cordaddr1">#REF!</definedName>
    <definedName name="costr">'[1]#REF'!$A$1:$P$246</definedName>
    <definedName name="CP" localSheetId="0">#REF!</definedName>
    <definedName name="CP">#REF!</definedName>
    <definedName name="cp_fnc">#REF!</definedName>
    <definedName name="cp_i_blk">#REF!</definedName>
    <definedName name="CPcheckcell">#REF!</definedName>
    <definedName name="cpi">#REF!</definedName>
    <definedName name="cpmprojaddr">#REF!</definedName>
    <definedName name="cpmprojapprover">#REF!</definedName>
    <definedName name="cpmprojcompoday">#REF!</definedName>
    <definedName name="cpmprojcomposer">#REF!</definedName>
    <definedName name="cpmprojduration">#REF!</definedName>
    <definedName name="cpmprojname">#REF!</definedName>
    <definedName name="cri_01">#REF!</definedName>
    <definedName name="cri_02">#REF!</definedName>
    <definedName name="cri_03">#REF!</definedName>
    <definedName name="cri_CP_is_CA">#REF!</definedName>
    <definedName name="cri_gjtitle">#REF!</definedName>
    <definedName name="cri_i">#REF!</definedName>
    <definedName name="cri_i_pnt">#REF!</definedName>
    <definedName name="cri_ii">#REF!</definedName>
    <definedName name="cri_ii_pnt">#REF!</definedName>
    <definedName name="cri_ij_blk">#REF!</definedName>
    <definedName name="cri_ij_co">#REF!</definedName>
    <definedName name="cri_j">#REF!</definedName>
    <definedName name="cri_j_nul">#REF!</definedName>
    <definedName name="cri_j_pnt">#REF!</definedName>
    <definedName name="cri_now_iv">#REF!</definedName>
    <definedName name="cri_out">#REF!</definedName>
    <definedName name="cri_pnt">#REF!</definedName>
    <definedName name="cri_top">#REF!</definedName>
    <definedName name="_xlnm.Criteria" localSheetId="0">#REF!</definedName>
    <definedName name="_xlnm.Criteria">#REF!</definedName>
    <definedName name="Criteria_MI" localSheetId="0">[6]내역!#REF!</definedName>
    <definedName name="Criteria_MI">[6]내역!#REF!</definedName>
    <definedName name="crtrcd" localSheetId="0">#REF!</definedName>
    <definedName name="crtrcd">#REF!</definedName>
    <definedName name="cvb" localSheetId="0">{"서울냉천 3차( 5. 6-7).xls","Sheet1"}</definedName>
    <definedName name="cvb">{"서울냉천 3차( 5. 6-7).xls","Sheet1"}</definedName>
    <definedName name="D_D">[10]수량산출!$R$164</definedName>
    <definedName name="d_errchk" localSheetId="0">#REF!</definedName>
    <definedName name="d_errchk">#REF!</definedName>
    <definedName name="data">#REF!</definedName>
    <definedName name="data_block">#REF!</definedName>
    <definedName name="data_block2">#REF!</definedName>
    <definedName name="data_block3">#REF!</definedName>
    <definedName name="data_block5">#REF!</definedName>
    <definedName name="data_block68">#REF!</definedName>
    <definedName name="DATABAS" localSheetId="0">#REF!</definedName>
    <definedName name="DATABAS">#REF!</definedName>
    <definedName name="_xlnm.Database" localSheetId="0">#REF!</definedName>
    <definedName name="_xlnm.Database">#REF!</definedName>
    <definedName name="Database_MI" localSheetId="0">#REF!</definedName>
    <definedName name="Database_MI">#REF!</definedName>
    <definedName name="date_errchk">#REF!</definedName>
    <definedName name="date_errval">#REF!</definedName>
    <definedName name="dd">[2]!BlankMacro1</definedName>
    <definedName name="dddd" localSheetId="0" hidden="1">#REF!</definedName>
    <definedName name="dddd" hidden="1">#REF!</definedName>
    <definedName name="DE_blk">#REF!</definedName>
    <definedName name="DE_key">#REF!</definedName>
    <definedName name="DEnum">#REF!</definedName>
    <definedName name="DF">'[1]#REF'!$N$19</definedName>
    <definedName name="dfefdfdfd." localSheetId="0">#REF!</definedName>
    <definedName name="dfefdfdfd.">#REF!</definedName>
    <definedName name="Dij">#REF!</definedName>
    <definedName name="dlawlr" hidden="1">#REF!</definedName>
    <definedName name="dldgur" localSheetId="0">{"서울냉천 3차( 5. 6-7).xls","Sheet1"}</definedName>
    <definedName name="dldgur">{"서울냉천 3차( 5. 6-7).xls","Sheet1"}</definedName>
    <definedName name="DMsum" localSheetId="0">#REF!</definedName>
    <definedName name="DMsum">#REF!</definedName>
    <definedName name="Document_array" localSheetId="0">{"Book1","제품부두.xls"}</definedName>
    <definedName name="Document_array">{"Book1","제품부두.xls"}</definedName>
    <definedName name="DPI">'[1]#REF'!$F$55</definedName>
    <definedName name="DRIVE" localSheetId="0">#REF!</definedName>
    <definedName name="DRIVE">#REF!</definedName>
    <definedName name="DRsum">#REF!</definedName>
    <definedName name="DRTRTDKGMUKRT" localSheetId="0">[8]Sheet3!#REF!</definedName>
    <definedName name="DRTRTDKGMUKRT">[8]Sheet3!#REF!</definedName>
    <definedName name="DW">[2]!BlankMacro1</definedName>
    <definedName name="E">#N/A</definedName>
    <definedName name="Edit_ChnRate" localSheetId="0">#REF!</definedName>
    <definedName name="Edit_ChnRate">#REF!</definedName>
    <definedName name="eee" hidden="1">#REF!</definedName>
    <definedName name="EF">#REF!</definedName>
    <definedName name="ef_val">#REF!</definedName>
    <definedName name="Efd">#REF!</definedName>
    <definedName name="Efd_h">#REF!</definedName>
    <definedName name="EG_userblk">#REF!</definedName>
    <definedName name="EG_usercol">#REF!</definedName>
    <definedName name="EK" hidden="1">#REF!</definedName>
    <definedName name="end_day">#REF!</definedName>
    <definedName name="end_month">#REF!</definedName>
    <definedName name="end_year">#REF!</definedName>
    <definedName name="eowjs">#REF!</definedName>
    <definedName name="EQWE" localSheetId="0">BlankMacro1</definedName>
    <definedName name="EQWE">BlankMacro1</definedName>
    <definedName name="ErrName223261773" localSheetId="0">#REF!</definedName>
    <definedName name="ErrName223261773">#REF!</definedName>
    <definedName name="ErrName529821156">#REF!</definedName>
    <definedName name="ES">#REF!</definedName>
    <definedName name="es_block">#REF!</definedName>
    <definedName name="ES_start">#REF!</definedName>
    <definedName name="es_val">#REF!</definedName>
    <definedName name="Esd">#REF!</definedName>
    <definedName name="Esd_h">#REF!</definedName>
    <definedName name="Etc">#REF!</definedName>
    <definedName name="etcrcd">#REF!</definedName>
    <definedName name="_xlnm.Extract" localSheetId="0">#REF!</definedName>
    <definedName name="_xlnm.Extract">#REF!</definedName>
    <definedName name="Extract_MI" localSheetId="0">#REF!</definedName>
    <definedName name="Extract_MI">#REF!</definedName>
    <definedName name="F" localSheetId="0">#REF!</definedName>
    <definedName name="F">#REF!</definedName>
    <definedName name="FD">[11]가시설단위수량!$D$10</definedName>
    <definedName name="fdgz" localSheetId="0">#REF!</definedName>
    <definedName name="fdgz">#REF!</definedName>
    <definedName name="fdsafdsa">'[1]#REF'!$A$2:$K$2271</definedName>
    <definedName name="fdsgsafg" localSheetId="0">#REF!</definedName>
    <definedName name="fdsgsafg">#REF!</definedName>
    <definedName name="ff_block">#REF!</definedName>
    <definedName name="FF_h">#REF!</definedName>
    <definedName name="ff_val">#REF!</definedName>
    <definedName name="fff" localSheetId="0">[12]직노!#REF!</definedName>
    <definedName name="fff">[12]직노!#REF!</definedName>
    <definedName name="ffk" localSheetId="0" hidden="1">#REF!</definedName>
    <definedName name="ffk" hidden="1">#REF!</definedName>
    <definedName name="fghgh">[2]!영광원자력5,'[1]6호기'!$A$1</definedName>
    <definedName name="FGRKRKRKRKRKRKRKRKRKRKRKRKRKRKR" localSheetId="0">#REF!</definedName>
    <definedName name="FGRKRKRKRKRKRKRKRKRKRKRKRKRKRKR">#REF!</definedName>
    <definedName name="fgRKRKRKRKRKRKRKRKRKTBTB1RTDKDK" localSheetId="0">[8]Sheet3!#REF!</definedName>
    <definedName name="fgRKRKRKRKRKRKRKRKRKTBTB1RTDKDK">[8]Sheet3!#REF!</definedName>
    <definedName name="FGrkrkrkrkrkrkrktbtbsptbrt" localSheetId="0">[8]Sheet3!#REF!</definedName>
    <definedName name="FGrkrkrkrkrkrkrktbtbsptbrt">[8]Sheet3!#REF!</definedName>
    <definedName name="FGRKRKRKRKRKRKTBTB1RTDKDK" localSheetId="0">[8]Sheet3!#REF!</definedName>
    <definedName name="FGRKRKRKRKRKRKTBTB1RTDKDK">[8]Sheet3!#REF!</definedName>
    <definedName name="fill" localSheetId="0" hidden="1">#REF!</definedName>
    <definedName name="fill" hidden="1">#REF!</definedName>
    <definedName name="Gcord_blk">#REF!</definedName>
    <definedName name="Gcord_h">#REF!</definedName>
    <definedName name="ge" localSheetId="0">{"서울냉천 3차( 5. 6-7).xls","Sheet1"}</definedName>
    <definedName name="ge">{"서울냉천 3차( 5. 6-7).xls","Sheet1"}</definedName>
    <definedName name="GEN_K" localSheetId="0">#REF!</definedName>
    <definedName name="GEN_K">#REF!</definedName>
    <definedName name="GEN_KV">#REF!</definedName>
    <definedName name="get_gjcode">#REF!</definedName>
    <definedName name="Giho">#REF!</definedName>
    <definedName name="giho_blk">#REF!</definedName>
    <definedName name="giho_h">#REF!</definedName>
    <definedName name="gjamount_top">#REF!</definedName>
    <definedName name="gjcnt_top">#REF!</definedName>
    <definedName name="GJcord">#REF!</definedName>
    <definedName name="gjcord_stp">#REF!</definedName>
    <definedName name="gjcord_top1">#REF!</definedName>
    <definedName name="gjcord_top10">#REF!</definedName>
    <definedName name="gjcord_top11">#REF!</definedName>
    <definedName name="gjcord_top12">#REF!</definedName>
    <definedName name="gjcord_top13">#REF!</definedName>
    <definedName name="gjcord_top14">#REF!</definedName>
    <definedName name="gjcord_top15">#REF!</definedName>
    <definedName name="gjcord_top16">#REF!</definedName>
    <definedName name="gjcord_top17">#REF!</definedName>
    <definedName name="gjcord_top18">#REF!</definedName>
    <definedName name="gjcord_top19">#REF!</definedName>
    <definedName name="gjcord_top2">#REF!</definedName>
    <definedName name="gjcord_top3">#REF!</definedName>
    <definedName name="gjcord_top4">#REF!</definedName>
    <definedName name="gjcord_top5">#REF!</definedName>
    <definedName name="gjcord_top6">#REF!</definedName>
    <definedName name="gjcord_top7">#REF!</definedName>
    <definedName name="gjcord_top8">#REF!</definedName>
    <definedName name="gjcord_top9">#REF!</definedName>
    <definedName name="gjjaro">#REF!</definedName>
    <definedName name="gjkengbi">#REF!</definedName>
    <definedName name="gjname">#REF!</definedName>
    <definedName name="GJname_h">#REF!</definedName>
    <definedName name="gjnamedata">#REF!</definedName>
    <definedName name="gjnamedata1">#REF!</definedName>
    <definedName name="gjnamedata2">#REF!</definedName>
    <definedName name="gjnamedata3">#REF!</definedName>
    <definedName name="gjnamedata4">#REF!</definedName>
    <definedName name="gjnomu">#REF!</definedName>
    <definedName name="gjnomudanga">#REF!</definedName>
    <definedName name="gjrate">#REF!</definedName>
    <definedName name="GJto">#REF!</definedName>
    <definedName name="gjtotal1">#REF!</definedName>
    <definedName name="grew" hidden="1">#REF!</definedName>
    <definedName name="h_ef_val">#REF!</definedName>
    <definedName name="h_lf_val">#REF!</definedName>
    <definedName name="H1L">'[1]#REF'!$L$11</definedName>
    <definedName name="H1R">'[1]#REF'!$N$11</definedName>
    <definedName name="H1WL">'[1]#REF'!$L$25</definedName>
    <definedName name="H1WR">'[1]#REF'!$N$25</definedName>
    <definedName name="H2L">'[1]#REF'!$L$12</definedName>
    <definedName name="H2R">'[1]#REF'!$N$12</definedName>
    <definedName name="H2WL">'[1]#REF'!$L$26</definedName>
    <definedName name="H2WR">'[1]#REF'!$N$26</definedName>
    <definedName name="H3L">'[1]#REF'!$L$13</definedName>
    <definedName name="H3R">'[1]#REF'!$N$13</definedName>
    <definedName name="H3WL">'[1]#REF'!$L$27</definedName>
    <definedName name="H3WR">'[1]#REF'!$N$27</definedName>
    <definedName name="H4L">'[1]#REF'!$L$14</definedName>
    <definedName name="H4R">'[1]#REF'!$N$14</definedName>
    <definedName name="H5L">'[1]#REF'!$L$15</definedName>
    <definedName name="H5R">'[1]#REF'!$N$15</definedName>
    <definedName name="H6L">'[1]#REF'!$L$16</definedName>
    <definedName name="H6R">'[1]#REF'!$N$16</definedName>
    <definedName name="H7L">'[1]#REF'!$L$17</definedName>
    <definedName name="H7R">'[1]#REF'!$N$17</definedName>
    <definedName name="H9A">'[1]#REF'!$J$19</definedName>
    <definedName name="han" localSheetId="0" hidden="1">#REF!</definedName>
    <definedName name="han" hidden="1">#REF!</definedName>
    <definedName name="HD_allblk">#REF!</definedName>
    <definedName name="HD_num">#REF!</definedName>
    <definedName name="HD_rowblk">#REF!</definedName>
    <definedName name="HD_totblk">#REF!</definedName>
    <definedName name="HD_userblk">#REF!</definedName>
    <definedName name="HH">[1]정부노임단가!$A$5:$F$215</definedName>
    <definedName name="HHH" localSheetId="0">BlankMacro1</definedName>
    <definedName name="HHH">BlankMacro1</definedName>
    <definedName name="HI_전선관" localSheetId="0">#REF!</definedName>
    <definedName name="HI_전선관">#REF!</definedName>
    <definedName name="HL">'[1]#REF'!$L$18</definedName>
    <definedName name="HR">'[1]#REF'!$N$18</definedName>
    <definedName name="HS_allblk" localSheetId="0">#REF!</definedName>
    <definedName name="HS_allblk">#REF!</definedName>
    <definedName name="HS_lv">#REF!</definedName>
    <definedName name="HS_num">#REF!</definedName>
    <definedName name="HS_rv">#REF!</definedName>
    <definedName name="HS_table">#REF!</definedName>
    <definedName name="HS_tv">#REF!</definedName>
    <definedName name="HScrossblk">#REF!</definedName>
    <definedName name="HSH">'[1]#REF'!$F$43</definedName>
    <definedName name="HTML_CodePage" hidden="1">949</definedName>
    <definedName name="HTML_Control" localSheetId="0">{"'실행내역서 (2)'!$A$1:$O$21"}</definedName>
    <definedName name="HTML_Control">{"'실행내역서 (2)'!$A$1:$O$21"}</definedName>
    <definedName name="HTML_Description" hidden="1">""</definedName>
    <definedName name="HTML_Email" hidden="1">""</definedName>
    <definedName name="HTML_Header" hidden="1">"Sheet1"</definedName>
    <definedName name="HTML_LastUpdate" hidden="1">"2000-11-21"</definedName>
    <definedName name="HTML_LineAfter" hidden="1">FALSE</definedName>
    <definedName name="HTML_LineBefore" hidden="1">FALSE</definedName>
    <definedName name="HTML_Name" hidden="1">"최경원"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"성산시영골조"</definedName>
    <definedName name="HWL">'[1]#REF'!$L$28</definedName>
    <definedName name="HWR">'[1]#REF'!$N$28</definedName>
    <definedName name="H모래180규격">[13]SORCE1!$N$18:$Y$32</definedName>
    <definedName name="H모래90규격">[13]SORCE1!$A$18:$L$32</definedName>
    <definedName name="i" localSheetId="0">#REF!</definedName>
    <definedName name="i">#REF!</definedName>
    <definedName name="i_start">#REF!</definedName>
    <definedName name="i_val">#REF!</definedName>
    <definedName name="IA">[2]!BlankMacro1</definedName>
    <definedName name="IBLK" localSheetId="0">#REF!</definedName>
    <definedName name="IBLK">#REF!</definedName>
    <definedName name="II" localSheetId="0">BlankMacro1</definedName>
    <definedName name="II">BlankMacro1</definedName>
    <definedName name="ii_val" localSheetId="0">#REF!</definedName>
    <definedName name="ii_val">#REF!</definedName>
    <definedName name="ij_cod_blk">#REF!</definedName>
    <definedName name="inp_lenB">#REF!</definedName>
    <definedName name="ir2rtcfr3c1r4c26rtqu" localSheetId="0">#REF!</definedName>
    <definedName name="ir2rtcfr3c1r4c26rtqu">#REF!</definedName>
    <definedName name="Is_Actr">#REF!</definedName>
    <definedName name="isactirate">#REF!</definedName>
    <definedName name="iv_check">#REF!</definedName>
    <definedName name="iv_check2">#REF!</definedName>
    <definedName name="ix_v">#REF!</definedName>
    <definedName name="iy_v">#REF!</definedName>
    <definedName name="j">#REF!</definedName>
    <definedName name="j_val">#REF!</definedName>
    <definedName name="J860a1" localSheetId="0">#REF!</definedName>
    <definedName name="J860a1">#REF!</definedName>
    <definedName name="jjsub">#REF!</definedName>
    <definedName name="KA">[1]MOTOR!$B$61:$E$68</definedName>
    <definedName name="ki">'[1]#REF'!$A$7:$P$34</definedName>
    <definedName name="kk" localSheetId="0" hidden="1">#REF!</definedName>
    <definedName name="kk" hidden="1">#REF!</definedName>
    <definedName name="KKK" localSheetId="0">BlankMacro1</definedName>
    <definedName name="KKK">BlankMacro1</definedName>
    <definedName name="kva" localSheetId="0">#REF!</definedName>
    <definedName name="kva">#REF!</definedName>
    <definedName name="L">#N/A</definedName>
    <definedName name="L_M" localSheetId="0">#REF!</definedName>
    <definedName name="L_M">#REF!</definedName>
    <definedName name="LA">'[1]#REF'!$F$35</definedName>
    <definedName name="labordata" localSheetId="0">#REF!</definedName>
    <definedName name="labordata">#REF!</definedName>
    <definedName name="Lbox1">#REF!</definedName>
    <definedName name="Lbox2">#REF!</definedName>
    <definedName name="LF">#REF!</definedName>
    <definedName name="lf_block">#REF!</definedName>
    <definedName name="lf_val">#REF!</definedName>
    <definedName name="Lfd">#REF!</definedName>
    <definedName name="Lfd_h">#REF!</definedName>
    <definedName name="light">"Picture 1"</definedName>
    <definedName name="LL">#N/A</definedName>
    <definedName name="LMO">'[1]#REF'!$L$50</definedName>
    <definedName name="LOOP_1" localSheetId="0">#REF!</definedName>
    <definedName name="LOOP_1">#REF!</definedName>
    <definedName name="LPI">'[1]#REF'!$F$56</definedName>
    <definedName name="LS" localSheetId="0">#REF!</definedName>
    <definedName name="LS">#REF!</definedName>
    <definedName name="Lsd">#REF!</definedName>
    <definedName name="Lsd_h">#REF!</definedName>
    <definedName name="LSH">'[1]#REF'!$L$39</definedName>
    <definedName name="LY" localSheetId="0" hidden="1">#REF!</definedName>
    <definedName name="LY" hidden="1">#REF!</definedName>
    <definedName name="M">#N/A</definedName>
    <definedName name="m_errchk" localSheetId="0">#REF!</definedName>
    <definedName name="m_errchk">#REF!</definedName>
    <definedName name="MA_cri">#REF!</definedName>
    <definedName name="MA_cri_i">#REF!</definedName>
    <definedName name="MA_cri_ij">#REF!</definedName>
    <definedName name="ma_cri_j">#REF!</definedName>
    <definedName name="MA_cri_pnt">#REF!</definedName>
    <definedName name="ma_i_cnt">#REF!</definedName>
    <definedName name="MA_i_cri">#REF!</definedName>
    <definedName name="MA_i_cri_pnt">#REF!</definedName>
    <definedName name="ma_i_jmax">#REF!</definedName>
    <definedName name="ma_i_jmin">#REF!</definedName>
    <definedName name="ma_i_min">#REF!</definedName>
    <definedName name="MA_i_rownum">#REF!</definedName>
    <definedName name="ma_i_ser">#REF!</definedName>
    <definedName name="MA_ic_cri">#REF!</definedName>
    <definedName name="MA_ic_cri_pnt">#REF!</definedName>
    <definedName name="MA_ij_check">#REF!</definedName>
    <definedName name="ma_j_cnt">#REF!</definedName>
    <definedName name="MA_j_cri">#REF!</definedName>
    <definedName name="MA_j_cri_pnt">#REF!</definedName>
    <definedName name="ma_j_imin">#REF!</definedName>
    <definedName name="ma_j_max">#REF!</definedName>
    <definedName name="MA_j_out">#REF!</definedName>
    <definedName name="MA_j_out2">#REF!</definedName>
    <definedName name="MA_j_rownum">#REF!</definedName>
    <definedName name="ma_j_ser">#REF!</definedName>
    <definedName name="MA_max_num">#REF!</definedName>
    <definedName name="MA_min_num">#REF!</definedName>
    <definedName name="MA_num_is">#REF!</definedName>
    <definedName name="MA_num_pnt">#REF!</definedName>
    <definedName name="MA_pnt">#REF!</definedName>
    <definedName name="MA_rownum">#REF!</definedName>
    <definedName name="MA_tmp">#REF!</definedName>
    <definedName name="Macro10">[1]!Macro10</definedName>
    <definedName name="macro111">[14]!Macro5</definedName>
    <definedName name="Macro12">[1]!Macro12</definedName>
    <definedName name="Macro13">[1]!Macro13</definedName>
    <definedName name="Macro14">[1]!Macro14</definedName>
    <definedName name="macro15">[14]!Macro14</definedName>
    <definedName name="Macro2">[1]!Macro2</definedName>
    <definedName name="Macro5">[1]!Macro5</definedName>
    <definedName name="Macro6">[1]!Macro6</definedName>
    <definedName name="Macro7">[1]!Macro7</definedName>
    <definedName name="Macro8">[1]!Macro8</definedName>
    <definedName name="Macro9">[1]!Macro9</definedName>
    <definedName name="maintitle_top" localSheetId="0">#REF!</definedName>
    <definedName name="maintitle_top">#REF!</definedName>
    <definedName name="MCAB_4C">#REF!</definedName>
    <definedName name="MCB_AF">#REF!</definedName>
    <definedName name="MCB_AT">#REF!</definedName>
    <definedName name="MCT_3">#REF!</definedName>
    <definedName name="MGJ_diff">#REF!</definedName>
    <definedName name="MGJ_disp">#REF!</definedName>
    <definedName name="MGJtotal">#REF!</definedName>
    <definedName name="MOTOR__농형_전폐" localSheetId="0">#REF!</definedName>
    <definedName name="MOTOR__농형_전폐">#REF!</definedName>
    <definedName name="MPchk">#REF!</definedName>
    <definedName name="MPIP_4C">#REF!</definedName>
    <definedName name="MVA_3">#REF!</definedName>
    <definedName name="M당무게">'[1]#REF'!$E$24:$E$85</definedName>
    <definedName name="n_x" localSheetId="0">#REF!</definedName>
    <definedName name="n_x">#REF!</definedName>
    <definedName name="n_x1">#REF!</definedName>
    <definedName name="n_y">#REF!</definedName>
    <definedName name="n_y_fix">#REF!</definedName>
    <definedName name="n_y1">#REF!</definedName>
    <definedName name="N1S">'[1]#REF'!$F$46</definedName>
    <definedName name="N2S">'[1]#REF'!$F$47</definedName>
    <definedName name="N3S">'[1]#REF'!$F$48</definedName>
    <definedName name="NDO">'[1]#REF'!$F$53</definedName>
    <definedName name="newHSblk" localSheetId="0">#REF!</definedName>
    <definedName name="newHSblk">#REF!</definedName>
    <definedName name="NHI">[2]!BlankMacro1</definedName>
    <definedName name="nn" localSheetId="0">{"서울냉천 3차( 5. 6-7).xls","Sheet1"}</definedName>
    <definedName name="nn">{"서울냉천 3차( 5. 6-7).xls","Sheet1"}</definedName>
    <definedName name="NO" localSheetId="0">[9]직공비!#REF!</definedName>
    <definedName name="NO">[9]직공비!#REF!</definedName>
    <definedName name="No_Actr" localSheetId="0">#REF!</definedName>
    <definedName name="No_Actr">#REF!</definedName>
    <definedName name="now_ef">#REF!</definedName>
    <definedName name="now_iv">#REF!</definedName>
    <definedName name="NPI">'[1]#REF'!$L$58</definedName>
    <definedName name="NSH">'[1]#REF'!$L$43</definedName>
    <definedName name="NSO">'[1]#REF'!$L$48</definedName>
    <definedName name="NUM" localSheetId="0">[9]직공비!#REF!</definedName>
    <definedName name="NUM">[9]직공비!#REF!</definedName>
    <definedName name="NUMBER" localSheetId="0">#REF!</definedName>
    <definedName name="NUMBER">#REF!</definedName>
    <definedName name="OK">[2]!BlankMacro1</definedName>
    <definedName name="OPL">[2]!BlankMacro1</definedName>
    <definedName name="Order_Sheet5_List" localSheetId="0">#REF!</definedName>
    <definedName name="Order_Sheet5_List">#REF!</definedName>
    <definedName name="out_lenB">#REF!</definedName>
    <definedName name="P" localSheetId="0">[15]내역서!#REF!</definedName>
    <definedName name="P">[15]내역서!#REF!</definedName>
    <definedName name="P_1">'[1]#REF'!$H$28</definedName>
    <definedName name="P_2">'[1]#REF'!$D$28</definedName>
    <definedName name="P_3">'[1]#REF'!$H$29</definedName>
    <definedName name="P_4">'[1]#REF'!$D$29</definedName>
    <definedName name="PA">[2]!BlankMacro1</definedName>
    <definedName name="pass_x" localSheetId="0">#REF!</definedName>
    <definedName name="pass_x">#REF!</definedName>
    <definedName name="pass_x2">#REF!</definedName>
    <definedName name="pass_x3">#REF!</definedName>
    <definedName name="pass_x4">#REF!</definedName>
    <definedName name="pastcod_blk">#REF!</definedName>
    <definedName name="pastcod_pnt">#REF!</definedName>
    <definedName name="PIPE_4">#REF!</definedName>
    <definedName name="Plan_Base">#REF!</definedName>
    <definedName name="Plan_Part">#REF!</definedName>
    <definedName name="PlanRate">#REF!</definedName>
    <definedName name="PMS_BLK">#REF!</definedName>
    <definedName name="PMS_C_CHK">#REF!</definedName>
    <definedName name="PMS_CB_BLK">#REF!</definedName>
    <definedName name="PMS_CB_PNT">#REF!</definedName>
    <definedName name="PMS_CORD">#REF!</definedName>
    <definedName name="PMS_CORDBOX">#REF!</definedName>
    <definedName name="PMS_GIHO">#REF!</definedName>
    <definedName name="PMS_GJNAME">#REF!</definedName>
    <definedName name="PMS_T_CORD">#REF!</definedName>
    <definedName name="PMS_TSUM">#REF!</definedName>
    <definedName name="PMS_VAR">#REF!</definedName>
    <definedName name="POR121175C2054RTSKS15C6LRTHDLRT" localSheetId="0">#REF!</definedName>
    <definedName name="POR121175C2054RTSKS15C6LRTHDLRT">#REF!</definedName>
    <definedName name="POR3C37R54C40RTSQLBP2PRTHDLTBDL" localSheetId="0">[8]Sheet3!#REF!</definedName>
    <definedName name="POR3C37R54C40RTSQLBP2PRTHDLTBDL">[8]Sheet3!#REF!</definedName>
    <definedName name="POR3C41R52C44RTSKS13C5LRTHDLTBD" localSheetId="0">#REF!</definedName>
    <definedName name="POR3C41R52C44RTSKS13C5LRTHDLTBD">#REF!</definedName>
    <definedName name="POR3C56R44C76RTSKS15C5LRTHDLTBD" localSheetId="0">#REF!</definedName>
    <definedName name="POR3C56R44C76RTSKS15C5LRTHDLTBD">#REF!</definedName>
    <definedName name="POR3C77R61C83RTSKS15C5LRTHDLTBD" localSheetId="0">[8]Sheet3!#REF!</definedName>
    <definedName name="POR3C77R61C83RTSKS15C5LRTHDLTBD">[8]Sheet3!#REF!</definedName>
    <definedName name="POR458C2054RTSKS15C6LRTHDLRTM4T" localSheetId="0">#REF!</definedName>
    <definedName name="POR458C2054RTSKS15C6LRTHDLRTM4T">#REF!</definedName>
    <definedName name="POR6C20R55C38RTSKS13C5LRTHDLTBD" localSheetId="0">#REF!</definedName>
    <definedName name="POR6C20R55C38RTSKS13C5LRTHDLTBD">#REF!</definedName>
    <definedName name="POR7280C116RTSKS15C6LRTHR26C116" localSheetId="0">#REF!</definedName>
    <definedName name="POR7280C116RTSKS15C6LRTHR26C116">#REF!</definedName>
    <definedName name="POR7C2R55C18RTSKS13C5LRTHDLTBDL" localSheetId="0">#REF!</definedName>
    <definedName name="POR7C2R55C18RTSKS13C5LRTHDLTBDL">#REF!</definedName>
    <definedName name="POR7C2R58C18RTSKS13C5LRTHDLTBDL" localSheetId="0">[8]Sheet3!#REF!</definedName>
    <definedName name="POR7C2R58C18RTSKS13C5LRTHDLTBDL">[8]Sheet3!#REF!</definedName>
    <definedName name="POR7C77R72C83RTSKS13C5LRTHDLTBD" localSheetId="0">#REF!</definedName>
    <definedName name="POR7C77R72C83RTSKS13C5LRTHDLTBD">#REF!</definedName>
    <definedName name="por840c3542RTsks12c4lRTm1TB0TB5" localSheetId="0">#REF!</definedName>
    <definedName name="por840c3542RTsks12c4lRTm1TB0TB5">#REF!</definedName>
    <definedName name="POR8C46R200C54RTSKS13C6LRTHR3C4" localSheetId="0">#REF!</definedName>
    <definedName name="POR8C46R200C54RTSKS13C6LRTHR3C4">#REF!</definedName>
    <definedName name="PR">'[1]5.전사투자계획종함안'!$B$3:$W$34</definedName>
    <definedName name="Prac_Base" localSheetId="0">#REF!</definedName>
    <definedName name="Prac_Base">#REF!</definedName>
    <definedName name="Prac_Part">#REF!</definedName>
    <definedName name="PracRate">#REF!</definedName>
    <definedName name="prg">#REF!</definedName>
    <definedName name="PRI" localSheetId="0">BlankMacro1</definedName>
    <definedName name="PRI">BlankMacro1</definedName>
    <definedName name="_xlnm.Print_Area" localSheetId="0">원장!$A$1444:$N$1677</definedName>
    <definedName name="_xlnm.Print_Area">#REF!</definedName>
    <definedName name="PRINT_AREA_MI" localSheetId="0">#REF!</definedName>
    <definedName name="PRINT_AREA_MI">#REF!</definedName>
    <definedName name="_xlnm.Print_Titles" localSheetId="0">#REF!</definedName>
    <definedName name="_xlnm.Print_Titles">#REF!</definedName>
    <definedName name="PRINT_TITLES_MI" localSheetId="0">#REF!</definedName>
    <definedName name="PRINT_TITLES_MI">#REF!</definedName>
    <definedName name="Printed_Titles">'[1]#REF'!$A$1:$IV$1</definedName>
    <definedName name="projactiday" localSheetId="0">#REF!</definedName>
    <definedName name="projactiday">#REF!</definedName>
    <definedName name="projactiday1">#REF!</definedName>
    <definedName name="projactiday2">#REF!</definedName>
    <definedName name="projactiday3">#REF!</definedName>
    <definedName name="projaddr">#REF!</definedName>
    <definedName name="projapprover">#REF!</definedName>
    <definedName name="projbuf_0">#REF!</definedName>
    <definedName name="projbuf_1">#REF!</definedName>
    <definedName name="projbuf_2">#REF!</definedName>
    <definedName name="projcalday">#REF!</definedName>
    <definedName name="projcompoday">#REF!</definedName>
    <definedName name="projcompoday1">#REF!</definedName>
    <definedName name="projcomposer">#REF!</definedName>
    <definedName name="projduration">#REF!</definedName>
    <definedName name="projendday">#REF!</definedName>
    <definedName name="projname">#REF!</definedName>
    <definedName name="projname1">#REF!</definedName>
    <definedName name="projstday">#REF!</definedName>
    <definedName name="projstday2">#REF!</definedName>
    <definedName name="projstday22">#REF!</definedName>
    <definedName name="projstday3">#REF!</definedName>
    <definedName name="PS15C4LRTOR5C1R1000C10RTHR3C1R4" localSheetId="0">[8]Sheet3!#REF!</definedName>
    <definedName name="PS15C4LRTOR5C1R1000C10RTHR3C1R4">[8]Sheet3!#REF!</definedName>
    <definedName name="PSKS12C4LRTOR6C73R45C74RTHDLRTM" localSheetId="0">#REF!</definedName>
    <definedName name="PSKS12C4LRTOR6C73R45C74RTHDLRTM">#REF!</definedName>
    <definedName name="PSKS12C4LRTOR9C1R47C10RTHDLRTM3" localSheetId="0">#REF!</definedName>
    <definedName name="PSKS12C4LRTOR9C1R47C10RTHDLRTM3">#REF!</definedName>
    <definedName name="PSKS15C6LRTOR3C76R62C88RTM1TB0T" localSheetId="0">#REF!</definedName>
    <definedName name="PSKS15C6LRTOR3C76R62C88RTM1TB0T">#REF!</definedName>
    <definedName name="Psqlbp4lRTOR6C15R45C16RTHDLRTM0" localSheetId="0">#REF!</definedName>
    <definedName name="Psqlbp4lRTOR6C15R45C16RTHDLRTM0">#REF!</definedName>
    <definedName name="Psqlbp4lRTOR6C15R45C16RTHDLRTM7" localSheetId="0">#REF!</definedName>
    <definedName name="Psqlbp4lRTOR6C15R45C16RTHDLRTM7">#REF!</definedName>
    <definedName name="PW">[2]!BlankMacro1</definedName>
    <definedName name="PWS">[2]!BlankMacro1</definedName>
    <definedName name="px_1" localSheetId="0">#REF!</definedName>
    <definedName name="px_1">#REF!</definedName>
    <definedName name="px_2">#REF!</definedName>
    <definedName name="PYA">#REF!</definedName>
    <definedName name="PYB">#REF!</definedName>
    <definedName name="PYC">#REF!</definedName>
    <definedName name="PYD">#REF!</definedName>
    <definedName name="PYE">#REF!</definedName>
    <definedName name="PYF">#REF!</definedName>
    <definedName name="PYG">#REF!</definedName>
    <definedName name="q" hidden="1">#REF!</definedName>
    <definedName name="qewqwe">[2]!영광원자력5,'[1]6호기'!$A$1</definedName>
    <definedName name="qqq" localSheetId="0" hidden="1">#REF!</definedName>
    <definedName name="qqq" hidden="1">#REF!</definedName>
    <definedName name="QWS" hidden="1">#REF!</definedName>
    <definedName name="rate_top">#REF!</definedName>
    <definedName name="Real_Base">#REF!</definedName>
    <definedName name="Real_Part">#REF!</definedName>
    <definedName name="RealRate">#REF!</definedName>
    <definedName name="RefBlock">#REF!</definedName>
    <definedName name="Remark">#REF!</definedName>
    <definedName name="rf" localSheetId="0">{"서울냉천 3차( 5. 6-7).xls","Sheet1"}</definedName>
    <definedName name="rf">{"서울냉천 3차( 5. 6-7).xls","Sheet1"}</definedName>
    <definedName name="RFYIFIOYGOPIO" localSheetId="0" hidden="1">#REF!</definedName>
    <definedName name="RFYIFIOYGOPIO" hidden="1">#REF!</definedName>
    <definedName name="RR" localSheetId="0">'[16]2000전체분'!#REF!</definedName>
    <definedName name="RR">'[16]2000전체분'!#REF!</definedName>
    <definedName name="rrrrrr" localSheetId="0">{"서울냉천 3차( 5. 6-7).xls","Sheet1"}</definedName>
    <definedName name="rrrrrr">{"서울냉천 3차( 5. 6-7).xls","Sheet1"}</definedName>
    <definedName name="rth" localSheetId="0" hidden="1">#REF!</definedName>
    <definedName name="rth" hidden="1">#REF!</definedName>
    <definedName name="RTYUTRTYYRT">#REF!</definedName>
    <definedName name="SADADASD" localSheetId="0">BlankMacro1</definedName>
    <definedName name="SADADASD">BlankMacro1</definedName>
    <definedName name="sadfadf" localSheetId="0">#REF!</definedName>
    <definedName name="sadfadf">#REF!</definedName>
    <definedName name="SAO_pnt">#REF!</definedName>
    <definedName name="sasas" hidden="1">#REF!</definedName>
    <definedName name="SC">[2]!BlankMacro1</definedName>
    <definedName name="SC_pnt" localSheetId="0">#REF!</definedName>
    <definedName name="SC_pnt">#REF!</definedName>
    <definedName name="SC_pnt_blk">#REF!</definedName>
    <definedName name="sche_buf1">#REF!</definedName>
    <definedName name="sche_buf2">#REF!</definedName>
    <definedName name="sche_buf3">#REF!</definedName>
    <definedName name="sche_duration">#REF!</definedName>
    <definedName name="sche_endday">#REF!</definedName>
    <definedName name="sche_projname">#REF!</definedName>
    <definedName name="sche_stday">#REF!</definedName>
    <definedName name="ScheChange_Cri">#REF!</definedName>
    <definedName name="ScheChange_Out">#REF!</definedName>
    <definedName name="SCO_acti_addr">#REF!</definedName>
    <definedName name="SCO_acti_pnt">#REF!</definedName>
    <definedName name="SCO_Acti_row">#REF!</definedName>
    <definedName name="SCO_i_row">#REF!</definedName>
    <definedName name="SCO_J_row">#REF!</definedName>
    <definedName name="SCO_pnt">#REF!</definedName>
    <definedName name="scri_out">#REF!</definedName>
    <definedName name="scri_top">#REF!</definedName>
    <definedName name="sdfs">[2]!BlankMacro1</definedName>
    <definedName name="sdg" localSheetId="0" hidden="1">#REF!</definedName>
    <definedName name="sdg" hidden="1">#REF!</definedName>
    <definedName name="SearchActi_Out">#REF!</definedName>
    <definedName name="sf" localSheetId="0">{"서울냉천 3차( 5. 6-7).xls","Sheet1"}</definedName>
    <definedName name="sf">{"서울냉천 3차( 5. 6-7).xls","Sheet1"}</definedName>
    <definedName name="SF자재명" localSheetId="0">#REF!</definedName>
    <definedName name="SF자재명">#REF!</definedName>
    <definedName name="SGJ_diff">#REF!</definedName>
    <definedName name="SGJtotal">#REF!</definedName>
    <definedName name="SKE">'[1]#REF'!$L$36</definedName>
    <definedName name="SM">[2]!BlankMacro1</definedName>
    <definedName name="sp_i_blk" localSheetId="0">#REF!</definedName>
    <definedName name="sp_i_blk">#REF!</definedName>
    <definedName name="spi_pnt">#REF!</definedName>
    <definedName name="SSD" localSheetId="0" hidden="1">{"'Sheet1'!$A$4:$M$21","'Sheet1'!$J$17:$K$19"}</definedName>
    <definedName name="SSD" hidden="1">{"'Sheet1'!$A$4:$M$21","'Sheet1'!$J$17:$K$19"}</definedName>
    <definedName name="st_day" localSheetId="0">#REF!</definedName>
    <definedName name="st_day">#REF!</definedName>
    <definedName name="st_month">#REF!</definedName>
    <definedName name="st_monthday">#REF!</definedName>
    <definedName name="st_year">#REF!</definedName>
    <definedName name="stp_1">#REF!</definedName>
    <definedName name="stp_10">#REF!</definedName>
    <definedName name="stp_100">#REF!</definedName>
    <definedName name="stp_101">#REF!</definedName>
    <definedName name="stp_102">#REF!</definedName>
    <definedName name="stp_103">#REF!</definedName>
    <definedName name="stp_104">#REF!</definedName>
    <definedName name="stp_105">#REF!</definedName>
    <definedName name="stp_106">#REF!</definedName>
    <definedName name="stp_107">#REF!</definedName>
    <definedName name="stp_108">#REF!</definedName>
    <definedName name="stp_109">#REF!</definedName>
    <definedName name="stp_11">#REF!</definedName>
    <definedName name="stp_110">#REF!</definedName>
    <definedName name="stp_111">#REF!</definedName>
    <definedName name="stp_112">#REF!</definedName>
    <definedName name="stp_113">#REF!</definedName>
    <definedName name="stp_114">#REF!</definedName>
    <definedName name="stp_115">#REF!</definedName>
    <definedName name="stp_116">#REF!</definedName>
    <definedName name="stp_117">#REF!</definedName>
    <definedName name="stp_118">#REF!</definedName>
    <definedName name="stp_119">#REF!</definedName>
    <definedName name="stp_12">#REF!</definedName>
    <definedName name="stp_120">#REF!</definedName>
    <definedName name="stp_121">#REF!</definedName>
    <definedName name="stp_122">#REF!</definedName>
    <definedName name="stp_123">#REF!</definedName>
    <definedName name="stp_124">#REF!</definedName>
    <definedName name="stp_125">#REF!</definedName>
    <definedName name="stp_126">#REF!</definedName>
    <definedName name="stp_127">#REF!</definedName>
    <definedName name="stp_128">#REF!</definedName>
    <definedName name="stp_129">#REF!</definedName>
    <definedName name="stp_13">#REF!</definedName>
    <definedName name="stp_130">#REF!</definedName>
    <definedName name="stp_131">#REF!</definedName>
    <definedName name="stp_132">#REF!</definedName>
    <definedName name="stp_133">#REF!</definedName>
    <definedName name="stp_134">#REF!</definedName>
    <definedName name="stp_135">#REF!</definedName>
    <definedName name="stp_136">#REF!</definedName>
    <definedName name="stp_137">#REF!</definedName>
    <definedName name="stp_138">#REF!</definedName>
    <definedName name="stp_139">#REF!</definedName>
    <definedName name="stp_14">#REF!</definedName>
    <definedName name="stp_140">#REF!</definedName>
    <definedName name="stp_141">#REF!</definedName>
    <definedName name="stp_142">#REF!</definedName>
    <definedName name="stp_143">#REF!</definedName>
    <definedName name="stp_144">#REF!</definedName>
    <definedName name="stp_145">#REF!</definedName>
    <definedName name="stp_146">#REF!</definedName>
    <definedName name="stp_147">#REF!</definedName>
    <definedName name="stp_148">#REF!</definedName>
    <definedName name="stp_149">#REF!</definedName>
    <definedName name="stp_15">#REF!</definedName>
    <definedName name="stp_150">#REF!</definedName>
    <definedName name="stp_151">#REF!</definedName>
    <definedName name="stp_152">#REF!</definedName>
    <definedName name="stp_153">#REF!</definedName>
    <definedName name="stp_154">#REF!</definedName>
    <definedName name="stp_155">#REF!</definedName>
    <definedName name="stp_156">#REF!</definedName>
    <definedName name="stp_157">#REF!</definedName>
    <definedName name="stp_158">#REF!</definedName>
    <definedName name="stp_159">#REF!</definedName>
    <definedName name="stp_16">#REF!</definedName>
    <definedName name="stp_160">#REF!</definedName>
    <definedName name="stp_161">#REF!</definedName>
    <definedName name="stp_162">#REF!</definedName>
    <definedName name="stp_163">#REF!</definedName>
    <definedName name="stp_164">#REF!</definedName>
    <definedName name="stp_165">#REF!</definedName>
    <definedName name="stp_166">#REF!</definedName>
    <definedName name="stp_167">#REF!</definedName>
    <definedName name="stp_168">#REF!</definedName>
    <definedName name="stp_169">#REF!</definedName>
    <definedName name="stp_17">#REF!</definedName>
    <definedName name="stp_170">#REF!</definedName>
    <definedName name="stp_171">#REF!</definedName>
    <definedName name="stp_172">#REF!</definedName>
    <definedName name="stp_173">#REF!</definedName>
    <definedName name="stp_174">#REF!</definedName>
    <definedName name="stp_175">#REF!</definedName>
    <definedName name="stp_176">#REF!</definedName>
    <definedName name="stp_177">#REF!</definedName>
    <definedName name="stp_178">#REF!</definedName>
    <definedName name="stp_179">#REF!</definedName>
    <definedName name="stp_18">#REF!</definedName>
    <definedName name="stp_180">#REF!</definedName>
    <definedName name="stp_181">#REF!</definedName>
    <definedName name="stp_182">#REF!</definedName>
    <definedName name="stp_183">#REF!</definedName>
    <definedName name="stp_184">#REF!</definedName>
    <definedName name="stp_185">#REF!</definedName>
    <definedName name="stp_186">#REF!</definedName>
    <definedName name="stp_187">#REF!</definedName>
    <definedName name="stp_188">#REF!</definedName>
    <definedName name="stp_189">#REF!</definedName>
    <definedName name="stp_19">#REF!</definedName>
    <definedName name="stp_190">#REF!</definedName>
    <definedName name="stp_191">#REF!</definedName>
    <definedName name="stp_192">#REF!</definedName>
    <definedName name="stp_193">#REF!</definedName>
    <definedName name="stp_194">#REF!</definedName>
    <definedName name="stp_195">#REF!</definedName>
    <definedName name="stp_196">#REF!</definedName>
    <definedName name="stp_197">#REF!</definedName>
    <definedName name="stp_198">#REF!</definedName>
    <definedName name="stp_199">#REF!</definedName>
    <definedName name="stp_2">#REF!</definedName>
    <definedName name="stp_20">#REF!</definedName>
    <definedName name="stp_21">#REF!</definedName>
    <definedName name="stp_22">#REF!</definedName>
    <definedName name="stp_23">#REF!</definedName>
    <definedName name="stp_24">#REF!</definedName>
    <definedName name="stp_25">#REF!</definedName>
    <definedName name="stp_26">#REF!</definedName>
    <definedName name="stp_27">#REF!</definedName>
    <definedName name="stp_28">#REF!</definedName>
    <definedName name="stp_29">#REF!</definedName>
    <definedName name="stp_3">#REF!</definedName>
    <definedName name="stp_30">#REF!</definedName>
    <definedName name="stp_31">#REF!</definedName>
    <definedName name="stp_32">#REF!</definedName>
    <definedName name="stp_33">#REF!</definedName>
    <definedName name="stp_34">#REF!</definedName>
    <definedName name="stp_35">#REF!</definedName>
    <definedName name="stp_36">#REF!</definedName>
    <definedName name="stp_37">#REF!</definedName>
    <definedName name="stp_38">#REF!</definedName>
    <definedName name="stp_39">#REF!</definedName>
    <definedName name="stp_4">#REF!</definedName>
    <definedName name="stp_40">#REF!</definedName>
    <definedName name="stp_41">#REF!</definedName>
    <definedName name="stp_42">#REF!</definedName>
    <definedName name="stp_43">#REF!</definedName>
    <definedName name="stp_44">#REF!</definedName>
    <definedName name="stp_45">#REF!</definedName>
    <definedName name="stp_46">#REF!</definedName>
    <definedName name="stp_47">#REF!</definedName>
    <definedName name="stp_48">#REF!</definedName>
    <definedName name="stp_49">#REF!</definedName>
    <definedName name="stp_5">#REF!</definedName>
    <definedName name="stp_50">#REF!</definedName>
    <definedName name="stp_51">#REF!</definedName>
    <definedName name="stp_52">#REF!</definedName>
    <definedName name="stp_53">#REF!</definedName>
    <definedName name="stp_54">#REF!</definedName>
    <definedName name="stp_55">#REF!</definedName>
    <definedName name="stp_56">#REF!</definedName>
    <definedName name="stp_57">#REF!</definedName>
    <definedName name="stp_58">#REF!</definedName>
    <definedName name="stp_59">#REF!</definedName>
    <definedName name="stp_6">#REF!</definedName>
    <definedName name="stp_60">#REF!</definedName>
    <definedName name="stp_61">#REF!</definedName>
    <definedName name="stp_62">#REF!</definedName>
    <definedName name="stp_63">#REF!</definedName>
    <definedName name="stp_64">#REF!</definedName>
    <definedName name="stp_65">#REF!</definedName>
    <definedName name="stp_66">#REF!</definedName>
    <definedName name="stp_67">#REF!</definedName>
    <definedName name="stp_68">#REF!</definedName>
    <definedName name="stp_69">#REF!</definedName>
    <definedName name="stp_7">#REF!</definedName>
    <definedName name="stp_70">#REF!</definedName>
    <definedName name="stp_71">#REF!</definedName>
    <definedName name="stp_72">#REF!</definedName>
    <definedName name="stp_73">#REF!</definedName>
    <definedName name="stp_74">#REF!</definedName>
    <definedName name="stp_75">#REF!</definedName>
    <definedName name="stp_76">#REF!</definedName>
    <definedName name="stp_77">#REF!</definedName>
    <definedName name="stp_78">#REF!</definedName>
    <definedName name="stp_79">#REF!</definedName>
    <definedName name="stp_8">#REF!</definedName>
    <definedName name="stp_80">#REF!</definedName>
    <definedName name="stp_81">#REF!</definedName>
    <definedName name="stp_82">#REF!</definedName>
    <definedName name="stp_83">#REF!</definedName>
    <definedName name="stp_84">#REF!</definedName>
    <definedName name="stp_85">#REF!</definedName>
    <definedName name="stp_86">#REF!</definedName>
    <definedName name="stp_87">#REF!</definedName>
    <definedName name="stp_88">#REF!</definedName>
    <definedName name="stp_89">#REF!</definedName>
    <definedName name="stp_9">#REF!</definedName>
    <definedName name="stp_90">#REF!</definedName>
    <definedName name="stp_91">#REF!</definedName>
    <definedName name="stp_92">#REF!</definedName>
    <definedName name="stp_93">#REF!</definedName>
    <definedName name="stp_94">#REF!</definedName>
    <definedName name="stp_95">#REF!</definedName>
    <definedName name="stp_96">#REF!</definedName>
    <definedName name="stp_97">#REF!</definedName>
    <definedName name="stp_98">#REF!</definedName>
    <definedName name="stp_99">#REF!</definedName>
    <definedName name="stp0_">#REF!</definedName>
    <definedName name="stp1_">#REF!</definedName>
    <definedName name="stp10_">#REF!</definedName>
    <definedName name="stp100_">#REF!</definedName>
    <definedName name="stp101_">#REF!</definedName>
    <definedName name="stp102_">#REF!</definedName>
    <definedName name="stp103_">#REF!</definedName>
    <definedName name="stp104_">#REF!</definedName>
    <definedName name="stp105_">#REF!</definedName>
    <definedName name="stp106_">#REF!</definedName>
    <definedName name="stp107_">#REF!</definedName>
    <definedName name="stp108_">#REF!</definedName>
    <definedName name="stp109_">#REF!</definedName>
    <definedName name="stp11_">#REF!</definedName>
    <definedName name="stp110_">#REF!</definedName>
    <definedName name="stp111_">#REF!</definedName>
    <definedName name="stp112_">#REF!</definedName>
    <definedName name="stp113_">#REF!</definedName>
    <definedName name="stp114_">#REF!</definedName>
    <definedName name="stp115_">#REF!</definedName>
    <definedName name="stp116_">#REF!</definedName>
    <definedName name="stp117_">#REF!</definedName>
    <definedName name="stp118_">#REF!</definedName>
    <definedName name="stp119_">#REF!</definedName>
    <definedName name="stp12_">#REF!</definedName>
    <definedName name="stp120_">#REF!</definedName>
    <definedName name="stp121_">#REF!</definedName>
    <definedName name="stp122_">#REF!</definedName>
    <definedName name="stp123_">#REF!</definedName>
    <definedName name="stp124_">#REF!</definedName>
    <definedName name="stp125_">#REF!</definedName>
    <definedName name="stp126_">#REF!</definedName>
    <definedName name="stp127_">#REF!</definedName>
    <definedName name="stp128_">#REF!</definedName>
    <definedName name="stp129_">#REF!</definedName>
    <definedName name="stp13_">#REF!</definedName>
    <definedName name="stp130_">#REF!</definedName>
    <definedName name="stp131_">#REF!</definedName>
    <definedName name="stp132_">#REF!</definedName>
    <definedName name="stp133_">#REF!</definedName>
    <definedName name="stp134_">#REF!</definedName>
    <definedName name="stp135_">#REF!</definedName>
    <definedName name="stp136_">#REF!</definedName>
    <definedName name="stp137_">#REF!</definedName>
    <definedName name="stp138_">#REF!</definedName>
    <definedName name="stp139_">#REF!</definedName>
    <definedName name="stp14_">#REF!</definedName>
    <definedName name="stp140_">#REF!</definedName>
    <definedName name="stp141_">#REF!</definedName>
    <definedName name="stp142_">#REF!</definedName>
    <definedName name="stp143_">#REF!</definedName>
    <definedName name="stp144_">#REF!</definedName>
    <definedName name="stp145_">#REF!</definedName>
    <definedName name="stp146_">#REF!</definedName>
    <definedName name="stp147_">#REF!</definedName>
    <definedName name="stp148_">#REF!</definedName>
    <definedName name="stp149_">#REF!</definedName>
    <definedName name="stp15_">#REF!</definedName>
    <definedName name="stp150_">#REF!</definedName>
    <definedName name="stp151_">#REF!</definedName>
    <definedName name="stp152_">#REF!</definedName>
    <definedName name="stp153_">#REF!</definedName>
    <definedName name="stp154_">#REF!</definedName>
    <definedName name="stp155_">#REF!</definedName>
    <definedName name="stp156_">#REF!</definedName>
    <definedName name="stp157_">#REF!</definedName>
    <definedName name="stp158_">#REF!</definedName>
    <definedName name="stp159_">#REF!</definedName>
    <definedName name="stp16_">#REF!</definedName>
    <definedName name="stp160_">#REF!</definedName>
    <definedName name="stp161_">#REF!</definedName>
    <definedName name="stp162_">#REF!</definedName>
    <definedName name="stp163_">#REF!</definedName>
    <definedName name="stp164_">#REF!</definedName>
    <definedName name="stp165_">#REF!</definedName>
    <definedName name="stp166_">#REF!</definedName>
    <definedName name="stp167_">#REF!</definedName>
    <definedName name="stp168_">#REF!</definedName>
    <definedName name="stp169_">#REF!</definedName>
    <definedName name="stp17_">#REF!</definedName>
    <definedName name="stp170_">#REF!</definedName>
    <definedName name="stp171_">#REF!</definedName>
    <definedName name="stp172_">#REF!</definedName>
    <definedName name="stp173_">#REF!</definedName>
    <definedName name="stp174_">#REF!</definedName>
    <definedName name="stp175_">#REF!</definedName>
    <definedName name="stp176_">#REF!</definedName>
    <definedName name="stp177_">#REF!</definedName>
    <definedName name="stp178_">#REF!</definedName>
    <definedName name="stp179_">#REF!</definedName>
    <definedName name="stp18_">#REF!</definedName>
    <definedName name="stp180_">#REF!</definedName>
    <definedName name="stp181_">#REF!</definedName>
    <definedName name="stp182_">#REF!</definedName>
    <definedName name="stp183_">#REF!</definedName>
    <definedName name="stp184_">#REF!</definedName>
    <definedName name="stp185_">#REF!</definedName>
    <definedName name="stp186_">#REF!</definedName>
    <definedName name="stp187_">#REF!</definedName>
    <definedName name="stp188_">#REF!</definedName>
    <definedName name="stp189_">#REF!</definedName>
    <definedName name="stp19_">#REF!</definedName>
    <definedName name="stp190_">#REF!</definedName>
    <definedName name="stp191_">#REF!</definedName>
    <definedName name="stp192_">#REF!</definedName>
    <definedName name="stp193_">#REF!</definedName>
    <definedName name="stp194_">#REF!</definedName>
    <definedName name="stp195_">#REF!</definedName>
    <definedName name="stp196_">#REF!</definedName>
    <definedName name="stp197_">#REF!</definedName>
    <definedName name="stp198_">#REF!</definedName>
    <definedName name="stp199_">#REF!</definedName>
    <definedName name="stp2_">#REF!</definedName>
    <definedName name="stp20_">#REF!</definedName>
    <definedName name="stp200_">#REF!</definedName>
    <definedName name="stp201_">#REF!</definedName>
    <definedName name="stp202_">#REF!</definedName>
    <definedName name="stp203_">#REF!</definedName>
    <definedName name="stp204_">#REF!</definedName>
    <definedName name="stp205_">#REF!</definedName>
    <definedName name="stp206_">#REF!</definedName>
    <definedName name="stp207_">#REF!</definedName>
    <definedName name="stp208_">#REF!</definedName>
    <definedName name="stp209_">#REF!</definedName>
    <definedName name="stp21_">#REF!</definedName>
    <definedName name="stp210_">#REF!</definedName>
    <definedName name="stp211_">#REF!</definedName>
    <definedName name="stp212_">#REF!</definedName>
    <definedName name="stp213_">#REF!</definedName>
    <definedName name="stp214_">#REF!</definedName>
    <definedName name="stp215_">#REF!</definedName>
    <definedName name="stp216_">#REF!</definedName>
    <definedName name="stp217_">#REF!</definedName>
    <definedName name="stp218_">#REF!</definedName>
    <definedName name="stp219_">#REF!</definedName>
    <definedName name="stp22_">#REF!</definedName>
    <definedName name="stp220_">#REF!</definedName>
    <definedName name="stp221_">#REF!</definedName>
    <definedName name="stp222_">#REF!</definedName>
    <definedName name="stp223_">#REF!</definedName>
    <definedName name="stp224_">#REF!</definedName>
    <definedName name="stp225_">#REF!</definedName>
    <definedName name="stp226_">#REF!</definedName>
    <definedName name="stp227_">#REF!</definedName>
    <definedName name="stp228_">#REF!</definedName>
    <definedName name="stp229_">#REF!</definedName>
    <definedName name="stp23_">#REF!</definedName>
    <definedName name="stp230_">#REF!</definedName>
    <definedName name="stp231_">#REF!</definedName>
    <definedName name="stp232_">#REF!</definedName>
    <definedName name="stp233_">#REF!</definedName>
    <definedName name="stp234_">#REF!</definedName>
    <definedName name="stp235_">#REF!</definedName>
    <definedName name="stp236_">#REF!</definedName>
    <definedName name="stp237_">#REF!</definedName>
    <definedName name="stp238_">#REF!</definedName>
    <definedName name="stp239_">#REF!</definedName>
    <definedName name="stp24_">#REF!</definedName>
    <definedName name="stp240_">#REF!</definedName>
    <definedName name="stp241_">#REF!</definedName>
    <definedName name="stp242_">#REF!</definedName>
    <definedName name="stp243_">#REF!</definedName>
    <definedName name="stp244_">#REF!</definedName>
    <definedName name="stp245_">#REF!</definedName>
    <definedName name="stp246_">#REF!</definedName>
    <definedName name="stp247_">#REF!</definedName>
    <definedName name="stp248_">#REF!</definedName>
    <definedName name="stp249_">#REF!</definedName>
    <definedName name="stp25_">#REF!</definedName>
    <definedName name="stp250_">#REF!</definedName>
    <definedName name="stp251_">#REF!</definedName>
    <definedName name="stp252_">#REF!</definedName>
    <definedName name="stp253_">#REF!</definedName>
    <definedName name="stp254_">#REF!</definedName>
    <definedName name="stp255_">#REF!</definedName>
    <definedName name="stp256_">#REF!</definedName>
    <definedName name="stp257_">#REF!</definedName>
    <definedName name="stp258_">#REF!</definedName>
    <definedName name="stp259_">#REF!</definedName>
    <definedName name="stp26_">#REF!</definedName>
    <definedName name="stp260_">#REF!</definedName>
    <definedName name="stp261_">#REF!</definedName>
    <definedName name="stp262_">#REF!</definedName>
    <definedName name="stp263_">#REF!</definedName>
    <definedName name="stp264_">#REF!</definedName>
    <definedName name="stp265_">#REF!</definedName>
    <definedName name="stp266_">#REF!</definedName>
    <definedName name="stp267_">#REF!</definedName>
    <definedName name="stp268_">#REF!</definedName>
    <definedName name="stp269_">#REF!</definedName>
    <definedName name="stp27_">#REF!</definedName>
    <definedName name="stp270_">#REF!</definedName>
    <definedName name="stp271_">#REF!</definedName>
    <definedName name="stp272_">#REF!</definedName>
    <definedName name="stp273_">#REF!</definedName>
    <definedName name="stp274_">#REF!</definedName>
    <definedName name="stp275_">#REF!</definedName>
    <definedName name="stp276_">#REF!</definedName>
    <definedName name="stp277_">#REF!</definedName>
    <definedName name="stp278_">#REF!</definedName>
    <definedName name="stp279_">#REF!</definedName>
    <definedName name="stp28_">#REF!</definedName>
    <definedName name="stp280_">#REF!</definedName>
    <definedName name="stp281_">#REF!</definedName>
    <definedName name="stp282_">#REF!</definedName>
    <definedName name="stp283_">#REF!</definedName>
    <definedName name="stp284_">#REF!</definedName>
    <definedName name="stp285_">#REF!</definedName>
    <definedName name="stp286_">#REF!</definedName>
    <definedName name="stp287_">#REF!</definedName>
    <definedName name="stp288_">#REF!</definedName>
    <definedName name="stp289_">#REF!</definedName>
    <definedName name="stp29_">#REF!</definedName>
    <definedName name="stp290_">#REF!</definedName>
    <definedName name="stp291_">#REF!</definedName>
    <definedName name="stp292_">#REF!</definedName>
    <definedName name="stp293_">#REF!</definedName>
    <definedName name="stp294_">#REF!</definedName>
    <definedName name="stp295_">#REF!</definedName>
    <definedName name="stp296_">#REF!</definedName>
    <definedName name="stp297_">#REF!</definedName>
    <definedName name="stp298_">#REF!</definedName>
    <definedName name="stp299_">#REF!</definedName>
    <definedName name="stp3_">#REF!</definedName>
    <definedName name="stp30_">#REF!</definedName>
    <definedName name="stp31_">#REF!</definedName>
    <definedName name="stp32_">#REF!</definedName>
    <definedName name="stp33_">#REF!</definedName>
    <definedName name="stp34_">#REF!</definedName>
    <definedName name="stp35_">#REF!</definedName>
    <definedName name="stp36_">#REF!</definedName>
    <definedName name="stp37_">#REF!</definedName>
    <definedName name="stp38_">#REF!</definedName>
    <definedName name="stp39_">#REF!</definedName>
    <definedName name="stp4_">#REF!</definedName>
    <definedName name="stp40_">#REF!</definedName>
    <definedName name="stp41_">#REF!</definedName>
    <definedName name="stp42_">#REF!</definedName>
    <definedName name="stp43_">#REF!</definedName>
    <definedName name="stp44_">#REF!</definedName>
    <definedName name="stp45_">#REF!</definedName>
    <definedName name="stp46_">#REF!</definedName>
    <definedName name="stp47_">#REF!</definedName>
    <definedName name="stp48_">#REF!</definedName>
    <definedName name="stp49_">#REF!</definedName>
    <definedName name="stp5_">#REF!</definedName>
    <definedName name="stp50_">#REF!</definedName>
    <definedName name="stp51_">#REF!</definedName>
    <definedName name="stp52_">#REF!</definedName>
    <definedName name="stp53_">#REF!</definedName>
    <definedName name="stp54_">#REF!</definedName>
    <definedName name="stp55_">#REF!</definedName>
    <definedName name="stp56_">#REF!</definedName>
    <definedName name="stp57_">#REF!</definedName>
    <definedName name="stp58_">#REF!</definedName>
    <definedName name="stp59_">#REF!</definedName>
    <definedName name="stp6_">#REF!</definedName>
    <definedName name="stp60_">#REF!</definedName>
    <definedName name="stp61_">#REF!</definedName>
    <definedName name="stp62_">#REF!</definedName>
    <definedName name="stp63_">#REF!</definedName>
    <definedName name="stp64_">#REF!</definedName>
    <definedName name="stp65_">#REF!</definedName>
    <definedName name="stp66_">#REF!</definedName>
    <definedName name="stp67_">#REF!</definedName>
    <definedName name="stp68_">#REF!</definedName>
    <definedName name="stp69_">#REF!</definedName>
    <definedName name="stp7_">#REF!</definedName>
    <definedName name="stp70_">#REF!</definedName>
    <definedName name="stp71_">#REF!</definedName>
    <definedName name="stp72_">#REF!</definedName>
    <definedName name="stp73_">#REF!</definedName>
    <definedName name="stp74_">#REF!</definedName>
    <definedName name="stp75_">#REF!</definedName>
    <definedName name="stp76_">#REF!</definedName>
    <definedName name="stp77_">#REF!</definedName>
    <definedName name="stp78_">#REF!</definedName>
    <definedName name="stp79_">#REF!</definedName>
    <definedName name="stp8_">#REF!</definedName>
    <definedName name="stp80_">#REF!</definedName>
    <definedName name="stp81_">#REF!</definedName>
    <definedName name="stp82_">#REF!</definedName>
    <definedName name="stp83_">#REF!</definedName>
    <definedName name="stp84_">#REF!</definedName>
    <definedName name="stp85_">#REF!</definedName>
    <definedName name="stp86_">#REF!</definedName>
    <definedName name="stp87_">#REF!</definedName>
    <definedName name="stp88_">#REF!</definedName>
    <definedName name="stp89_">#REF!</definedName>
    <definedName name="stp9_">#REF!</definedName>
    <definedName name="stp90_">#REF!</definedName>
    <definedName name="stp91_">#REF!</definedName>
    <definedName name="stp92_">#REF!</definedName>
    <definedName name="stp93_">#REF!</definedName>
    <definedName name="stp94_">#REF!</definedName>
    <definedName name="stp95_">#REF!</definedName>
    <definedName name="stp96_">#REF!</definedName>
    <definedName name="stp97_">#REF!</definedName>
    <definedName name="stp98_">#REF!</definedName>
    <definedName name="stp99_">#REF!</definedName>
    <definedName name="su" localSheetId="0">BlankMacro1</definedName>
    <definedName name="su">BlankMacro1</definedName>
    <definedName name="subCri_out" localSheetId="0">#REF!</definedName>
    <definedName name="subCri_out">#REF!</definedName>
    <definedName name="subCri_top">#REF!</definedName>
    <definedName name="subs_pnt">#REF!</definedName>
    <definedName name="subs_tn">#REF!</definedName>
    <definedName name="subtitle_top">#REF!</definedName>
    <definedName name="sum_cri">#REF!</definedName>
    <definedName name="sum_out">#REF!</definedName>
    <definedName name="SW">[2]!BlankMacro1</definedName>
    <definedName name="SWL">'[1]#REF'!$N$32</definedName>
    <definedName name="SWR">'[1]#REF'!$N$33</definedName>
    <definedName name="T._A._B_____공___사" localSheetId="0">#REF!</definedName>
    <definedName name="T._A._B_____공___사">#REF!</definedName>
    <definedName name="T1S">'[1]#REF'!$D$46</definedName>
    <definedName name="T2S">'[1]#REF'!$D$47</definedName>
    <definedName name="T3S">'[1]#REF'!$D$48</definedName>
    <definedName name="TEAM">[17]계정!$E$3:$F$102</definedName>
    <definedName name="tem_val" localSheetId="0">#REF!</definedName>
    <definedName name="tem_val">#REF!</definedName>
    <definedName name="temp_end_day">#REF!</definedName>
    <definedName name="temp_end_month">#REF!</definedName>
    <definedName name="temp_end_year">#REF!</definedName>
    <definedName name="temp_projendday">#REF!</definedName>
    <definedName name="tempActiAmount">#REF!</definedName>
    <definedName name="tempAmount">#REF!</definedName>
    <definedName name="TempDur">#REF!</definedName>
    <definedName name="TempRate">#REF!</definedName>
    <definedName name="TempRate1">#REF!</definedName>
    <definedName name="TempRate2">#REF!</definedName>
    <definedName name="TempRate3">#REF!</definedName>
    <definedName name="tempRealAmount">#REF!</definedName>
    <definedName name="test">#REF!</definedName>
    <definedName name="TF">#REF!</definedName>
    <definedName name="TMO">'[1]#REF'!$F$51</definedName>
    <definedName name="TodayUnit" localSheetId="0">#REF!</definedName>
    <definedName name="TodayUnit">#REF!</definedName>
    <definedName name="total_diff">#REF!</definedName>
    <definedName name="totrcd">#REF!</definedName>
    <definedName name="tr" hidden="1">#REF!</definedName>
    <definedName name="ttgj_blk">#REF!</definedName>
    <definedName name="ttgj_top">#REF!</definedName>
    <definedName name="TW">'[1]#REF'!$J$33</definedName>
    <definedName name="TWL">'[1]#REF'!$N$29</definedName>
    <definedName name="TWR">'[1]#REF'!$N$30</definedName>
    <definedName name="TYRTYRTYTYR" localSheetId="0">#REF!</definedName>
    <definedName name="TYRTYRTYTYR">#REF!</definedName>
    <definedName name="TYRTYU">#REF!</definedName>
    <definedName name="TYRTYYUURT">#REF!</definedName>
    <definedName name="U19042704">#REF!</definedName>
    <definedName name="UBcri">#REF!</definedName>
    <definedName name="UJI">[18]DATE!$I$24:$I$85</definedName>
    <definedName name="unit_top" localSheetId="0">#REF!</definedName>
    <definedName name="unit_top">#REF!</definedName>
    <definedName name="unitcol">#REF!</definedName>
    <definedName name="used_xv">#REF!</definedName>
    <definedName name="userzm">#REF!</definedName>
    <definedName name="userzmcol">#REF!</definedName>
    <definedName name="Value">401.106502805424</definedName>
    <definedName name="W4_P3" localSheetId="0">#REF!</definedName>
    <definedName name="W4_P3">#REF!</definedName>
    <definedName name="who_are" hidden="1">#REF!</definedName>
    <definedName name="who_are2" hidden="1">#REF!</definedName>
    <definedName name="whoo1" hidden="1">#REF!</definedName>
    <definedName name="whoo2" hidden="1">#REF!</definedName>
    <definedName name="whoo3" hidden="1">#REF!</definedName>
    <definedName name="whooo1" hidden="1">#REF!</definedName>
    <definedName name="whooo2" hidden="1">#REF!</definedName>
    <definedName name="whooo3" hidden="1">#REF!</definedName>
    <definedName name="WHTN">[19]맨홀수량산출!$A$2</definedName>
    <definedName name="WSO">'[1]#REF'!$F$45</definedName>
    <definedName name="WWW">[2]!BlankMacro1</definedName>
    <definedName name="W행" localSheetId="0">#REF!</definedName>
    <definedName name="W행">#REF!</definedName>
    <definedName name="xx" localSheetId="0">BlankMacro1</definedName>
    <definedName name="xx">BlankMacro1</definedName>
    <definedName name="xxx" localSheetId="0" hidden="1">#REF!</definedName>
    <definedName name="xxx" hidden="1">#REF!</definedName>
    <definedName name="xy_cod_blk">#REF!</definedName>
    <definedName name="y_errchk">#REF!</definedName>
    <definedName name="YT" localSheetId="0">BlankMacro1</definedName>
    <definedName name="YT">BlankMacro1</definedName>
    <definedName name="YUJJJ">[18]기초자료입력!$B$5</definedName>
    <definedName name="YY" localSheetId="0">BlankMacro1</definedName>
    <definedName name="YY">BlankMacro1</definedName>
    <definedName name="zoomcolumn" localSheetId="0">#REF!</definedName>
    <definedName name="zoomcolumn">#REF!</definedName>
    <definedName name="zoomrate">#REF!</definedName>
    <definedName name="zz" localSheetId="0">BlankMacro1</definedName>
    <definedName name="zz">BlankMacro1</definedName>
    <definedName name="ㄱㄱ" localSheetId="0">{"서울냉천 3차( 5. 6-7).xls","Sheet1"}</definedName>
    <definedName name="ㄱㄱ">{"서울냉천 3차( 5. 6-7).xls","Sheet1"}</definedName>
    <definedName name="ㄱㅀ">[2]!BlankMacro1</definedName>
    <definedName name="ㄱ쇼ㅜㄷㄱ">[2]!BlankMacro1</definedName>
    <definedName name="ㄱㅈㅎ" localSheetId="0" hidden="1">#REF!</definedName>
    <definedName name="ㄱㅈㅎ" hidden="1">#REF!</definedName>
    <definedName name="가" localSheetId="0">#REF!</definedName>
    <definedName name="가">#REF!</definedName>
    <definedName name="가10층">#REF!</definedName>
    <definedName name="가11층">#REF!</definedName>
    <definedName name="가12층">#REF!</definedName>
    <definedName name="가13층">#REF!</definedName>
    <definedName name="가14층">#REF!</definedName>
    <definedName name="가15층">#REF!</definedName>
    <definedName name="가16층">#REF!</definedName>
    <definedName name="가17층">#REF!</definedName>
    <definedName name="가18층">#REF!</definedName>
    <definedName name="가19층">#REF!</definedName>
    <definedName name="가20층">#REF!</definedName>
    <definedName name="가21층">#REF!</definedName>
    <definedName name="가22층">#REF!</definedName>
    <definedName name="가23층">#REF!</definedName>
    <definedName name="가24층">#REF!</definedName>
    <definedName name="가25층">#REF!</definedName>
    <definedName name="가2층">#REF!</definedName>
    <definedName name="가3층">#REF!</definedName>
    <definedName name="가4층">#REF!</definedName>
    <definedName name="가5층">#REF!</definedName>
    <definedName name="가6층">#REF!</definedName>
    <definedName name="가7층">#REF!</definedName>
    <definedName name="가8층">#REF!</definedName>
    <definedName name="가9층">#REF!</definedName>
    <definedName name="가격비교" localSheetId="0">BlankMacro1</definedName>
    <definedName name="가격비교">BlankMacro1</definedName>
    <definedName name="가나" localSheetId="0">{"서울냉천 3차( 5. 6-7).xls","Sheet1"}</definedName>
    <definedName name="가나">{"서울냉천 3차( 5. 6-7).xls","Sheet1"}</definedName>
    <definedName name="가나다" localSheetId="0">#REF!</definedName>
    <definedName name="가나다">#REF!</definedName>
    <definedName name="가승" localSheetId="0">{"서울냉천 3차( 5. 6-7).xls","Sheet1"}</definedName>
    <definedName name="가승">{"서울냉천 3차( 5. 6-7).xls","Sheet1"}</definedName>
    <definedName name="간접경비" localSheetId="0" hidden="1">#REF!</definedName>
    <definedName name="간접경비" hidden="1">#REF!</definedName>
    <definedName name="간접노무비요율">'[1]#REF'!$G$3</definedName>
    <definedName name="간접노무비율">'[1]#REF'!$F$5</definedName>
    <definedName name="간접노무비표">'[1]#REF'!$B$7</definedName>
    <definedName name="갑">[20]산출내역서집계표!$AB$2:$AR$143</definedName>
    <definedName name="갑지" localSheetId="0">BlankMacro1</definedName>
    <definedName name="갑지">BlankMacro1</definedName>
    <definedName name="갑지1">[20]산출내역서집계표!$D$3:$L$116</definedName>
    <definedName name="갑지2">[2]!BlankMacro1</definedName>
    <definedName name="갑지도급비교">[2]!영광원자력5,'[1]6호기'!$A$1</definedName>
    <definedName name="강릉교동" localSheetId="0" hidden="1">#REF!</definedName>
    <definedName name="강릉교동" hidden="1">#REF!</definedName>
    <definedName name="강릉교동터파기" hidden="1">#REF!</definedName>
    <definedName name="강릉교동토목" hidden="1">#REF!</definedName>
    <definedName name="강릉교동흙막이" hidden="1">#REF!</definedName>
    <definedName name="강릉토공사" hidden="1">#REF!</definedName>
    <definedName name="강릉토목공사" hidden="1">#REF!</definedName>
    <definedName name="강릉토목임" hidden="1">#REF!</definedName>
    <definedName name="강재DATA">[13]가시설단위수량!$A$4:$Z$7</definedName>
    <definedName name="강재규격">[13]가시설단위수량!$B$4:$B$7</definedName>
    <definedName name="개_보_수_증_축_공_사_비" localSheetId="0">[8]Sheet3!#REF!</definedName>
    <definedName name="개_보_수_증_축_공_사_비">[8]Sheet3!#REF!</definedName>
    <definedName name="개거" localSheetId="0" hidden="1">#REF!</definedName>
    <definedName name="개거" hidden="1">#REF!</definedName>
    <definedName name="개선">[2]!BlankMacro1</definedName>
    <definedName name="개요2" localSheetId="0">[8]Sheet3!#REF!</definedName>
    <definedName name="개요2">[8]Sheet3!#REF!</definedName>
    <definedName name="거진" localSheetId="0">{"서울냉천 3차( 5. 6-7).xls","Sheet1"}</definedName>
    <definedName name="거진">{"서울냉천 3차( 5. 6-7).xls","Sheet1"}</definedName>
    <definedName name="견적" localSheetId="0">#REF!</definedName>
    <definedName name="견적">#REF!</definedName>
    <definedName name="견적대비표" hidden="1">#REF!</definedName>
    <definedName name="견적대비표1" hidden="1">#REF!</definedName>
    <definedName name="견적조건3" localSheetId="0">{"Book1","도곡1실행.xls"}</definedName>
    <definedName name="견적조건3">{"Book1","도곡1실행.xls"}</definedName>
    <definedName name="견적탱크" localSheetId="0">#REF!</definedName>
    <definedName name="견적탱크">#REF!</definedName>
    <definedName name="경비1" hidden="1">#REF!</definedName>
    <definedName name="경비율">'[1]#REF'!$F$6</definedName>
    <definedName name="경비합">'[1]#REF'!$I$30</definedName>
    <definedName name="경유">[1]자재단가!$D$5</definedName>
    <definedName name="계">[21]전등설비!$A$122</definedName>
    <definedName name="계전2" localSheetId="0" hidden="1">#REF!</definedName>
    <definedName name="계전2" hidden="1">#REF!</definedName>
    <definedName name="계정">[22]계정!$A$3:$C$119</definedName>
    <definedName name="계획도로">[2]!영광원자력5,'[1]6호기'!$A$1</definedName>
    <definedName name="계획표" localSheetId="0">#REF!</definedName>
    <definedName name="계획표">#REF!</definedName>
    <definedName name="고속" localSheetId="0">{"서울냉천 3차( 5. 6-7).xls","Sheet1"}</definedName>
    <definedName name="고속">{"서울냉천 3차( 5. 6-7).xls","Sheet1"}</definedName>
    <definedName name="골조" localSheetId="0">#REF!</definedName>
    <definedName name="골조">#REF!</definedName>
    <definedName name="곱">'[1]#REF'!$I$24:$I$85</definedName>
    <definedName name="곱곱">[23]DATE!$I$24:$I$85</definedName>
    <definedName name="공" localSheetId="0">#REF!</definedName>
    <definedName name="공">#REF!</definedName>
    <definedName name="공______사______명" localSheetId="0">#REF!</definedName>
    <definedName name="공______사______명">#REF!</definedName>
    <definedName name="공___사____원____가" localSheetId="0">#REF!</definedName>
    <definedName name="공___사____원____가">#REF!</definedName>
    <definedName name="공기">#REF!</definedName>
    <definedName name="공내역" localSheetId="0">[24]청천내!#REF!</definedName>
    <definedName name="공내역">[24]청천내!#REF!</definedName>
    <definedName name="공사감리율">[1]요율!$M$20</definedName>
    <definedName name="공사금액">[25]평가데이터!$R$6:$R$8</definedName>
    <definedName name="공사명" localSheetId="0">#REF!</definedName>
    <definedName name="공사명">#REF!</definedName>
    <definedName name="공사비분석" hidden="1">#REF!</definedName>
    <definedName name="공사비산출">#REF!</definedName>
    <definedName name="공압축3.5간재">'[26]기계경비(시간당)'!$H$248</definedName>
    <definedName name="공압축3.5노무">'[26]기계경비(시간당)'!$H$244</definedName>
    <definedName name="공압축3.5노무야간">'[26]기계경비(시간당)'!$H$245</definedName>
    <definedName name="공압축3.5손료">'[26]기계경비(시간당)'!$H$243</definedName>
    <definedName name="공압축7.1간재">'[26]기계경비(시간당)'!$H$256</definedName>
    <definedName name="공압축7.1노무">'[26]기계경비(시간당)'!$H$252</definedName>
    <definedName name="공압축7.1노무야간">'[26]기계경비(시간당)'!$H$253</definedName>
    <definedName name="공압축7.1손료">'[26]기계경비(시간당)'!$H$251</definedName>
    <definedName name="공종갯수">'[1]#REF'!$D$5</definedName>
    <definedName name="공통비" localSheetId="0" hidden="1">#REF!</definedName>
    <definedName name="공통비" hidden="1">#REF!</definedName>
    <definedName name="관급액">'[1]#REF'!$C$22</definedName>
    <definedName name="관리비" localSheetId="0" hidden="1">#REF!</definedName>
    <definedName name="관리비" hidden="1">#REF!</definedName>
    <definedName name="관사24평형4층">#REF!</definedName>
    <definedName name="관사24평형5층">#REF!</definedName>
    <definedName name="교동토" hidden="1">#REF!</definedName>
    <definedName name="구분1">#REF!</definedName>
    <definedName name="구산갑지" hidden="1">#REF!</definedName>
    <definedName name="구속1" localSheetId="0">{"서울냉천 3차( 5. 6-7).xls","Sheet1"}</definedName>
    <definedName name="구속1">{"서울냉천 3차( 5. 6-7).xls","Sheet1"}</definedName>
    <definedName name="굼동" localSheetId="0">{"서울냉천 3차( 5. 6-7).xls","Sheet1"}</definedName>
    <definedName name="굼동">{"서울냉천 3차( 5. 6-7).xls","Sheet1"}</definedName>
    <definedName name="권">[27]DATE!$I$24:$I$85</definedName>
    <definedName name="권권">[28]DATE!$I$24:$I$85</definedName>
    <definedName name="규격">'[1]#REF'!$C$24:$C$85</definedName>
    <definedName name="금액">'[1]#REF'!$Q$2:$Q$6</definedName>
    <definedName name="급여표">[2]!영광원자력5,'[1]6호기'!$A$1</definedName>
    <definedName name="급탕" localSheetId="0">{"서울냉천 3차( 5. 6-7).xls","Sheet1"}</definedName>
    <definedName name="급탕">{"서울냉천 3차( 5. 6-7).xls","Sheet1"}</definedName>
    <definedName name="기계운전사2">[1]노임!$C$21</definedName>
    <definedName name="기계하도" hidden="1">255</definedName>
    <definedName name="기기" localSheetId="0">'[29]2000년1차'!#REF!</definedName>
    <definedName name="기기">'[29]2000년1차'!#REF!</definedName>
    <definedName name="기분전" localSheetId="0">{"서울냉천 3차( 5. 6-7).xls","Sheet1"}</definedName>
    <definedName name="기분전">{"서울냉천 3차( 5. 6-7).xls","Sheet1"}</definedName>
    <definedName name="기안" localSheetId="0" hidden="1">#REF!</definedName>
    <definedName name="기안" hidden="1">#REF!</definedName>
    <definedName name="기안갑" localSheetId="0">#REF!</definedName>
    <definedName name="기안갑">#REF!</definedName>
    <definedName name="기안변경" hidden="1">#REF!</definedName>
    <definedName name="기안을" localSheetId="0">#REF!</definedName>
    <definedName name="기안을">#REF!</definedName>
    <definedName name="기초규격">[30]SORCE1!$AQ$2:$BE$14</definedName>
    <definedName name="기초액">'[1]#REF'!$I$5</definedName>
    <definedName name="기타경비">'[1]#REF'!$C$11</definedName>
    <definedName name="기타경비요율">'[1]#REF'!$G$6</definedName>
    <definedName name="기타경비표">'[1]#REF'!$B$11</definedName>
    <definedName name="김동종" localSheetId="0" hidden="1">#REF!</definedName>
    <definedName name="김동종" hidden="1">#REF!</definedName>
    <definedName name="김밥" localSheetId="0">{"서울냉천 3차( 5. 6-7).xls","Sheet1"}</definedName>
    <definedName name="김밥">{"서울냉천 3차( 5. 6-7).xls","Sheet1"}</definedName>
    <definedName name="김형일" localSheetId="0" hidden="1">#REF!</definedName>
    <definedName name="김형일" hidden="1">#REF!</definedName>
    <definedName name="ㄴ">[31]산출내역서집계표!$AB$2:$AR$143</definedName>
    <definedName name="ㄴㄱㄹ" localSheetId="0" hidden="1">#REF!</definedName>
    <definedName name="ㄴㄱㄹ" hidden="1">#REF!</definedName>
    <definedName name="ㄴㄴ" localSheetId="0">#REF!</definedName>
    <definedName name="ㄴㄴ">#REF!</definedName>
    <definedName name="ㄴㄴㄴ" localSheetId="0">#REF!</definedName>
    <definedName name="ㄴㄴㄴ">#REF!</definedName>
    <definedName name="ㄴㄴㄴㄴ">[2]!BlankMacro1</definedName>
    <definedName name="ㄴㄴㄴㄴㄴㄴ">[2]!BlankMacro1</definedName>
    <definedName name="ㄴㅁ" localSheetId="0" hidden="1">#REF!</definedName>
    <definedName name="ㄴㅁ" hidden="1">#REF!</definedName>
    <definedName name="ㄴㅁㅇㄹㄴㅁㄹ">[2]!BlankMacro1</definedName>
    <definedName name="ㄴㅁㅇㄻㄴㄻㄴㄻ" localSheetId="0">BlankMacro1</definedName>
    <definedName name="ㄴㅁㅇㄻㄴㄻㄴㄻ">BlankMacro1</definedName>
    <definedName name="ㄴㅁㅇㅁㄴ" localSheetId="0" hidden="1">#REF!</definedName>
    <definedName name="ㄴㅁㅇㅁㄴ" hidden="1">#REF!</definedName>
    <definedName name="ㄴㅁㅎㅎ">[2]!BlankMacro1</definedName>
    <definedName name="ㄴㅇㄹ">[2]!BlankMacro1</definedName>
    <definedName name="ㄴㅇㄹㅇㄴㄹ" localSheetId="0">BlankMacro1</definedName>
    <definedName name="ㄴㅇㄹㅇㄴㄹ">BlankMacro1</definedName>
    <definedName name="ㄴㅇㅎㄴㅇ" localSheetId="0" hidden="1">#REF!</definedName>
    <definedName name="ㄴㅇㅎㄴㅇ" hidden="1">#REF!</definedName>
    <definedName name="나14층">#REF!</definedName>
    <definedName name="난방" localSheetId="0">{"서울냉천 3차( 5. 6-7).xls","Sheet1"}</definedName>
    <definedName name="난방">{"서울냉천 3차( 5. 6-7).xls","Sheet1"}</definedName>
    <definedName name="난방1" localSheetId="0">{"서울냉천 3차( 5. 6-7).xls","Sheet1"}</definedName>
    <definedName name="난방1">{"서울냉천 3차( 5. 6-7).xls","Sheet1"}</definedName>
    <definedName name="내역" localSheetId="0">#REF!</definedName>
    <definedName name="내역">#REF!</definedName>
    <definedName name="내역2">[2]!BlankMacro1</definedName>
    <definedName name="내역구분" localSheetId="0">#REF!</definedName>
    <definedName name="내역구분">#REF!</definedName>
    <definedName name="내역서">[2]!BlankMacro1</definedName>
    <definedName name="내역서2">[2]!BlankMacro1</definedName>
    <definedName name="내역서3">[2]!BlankMacro1</definedName>
    <definedName name="내역서실행분계">[2]!BlankMacro1</definedName>
    <definedName name="노무비" localSheetId="0">[32]내역서!#REF!</definedName>
    <definedName name="노무비">[32]내역서!#REF!</definedName>
    <definedName name="노무비합">'[1]#REF'!$G$30</definedName>
    <definedName name="ㄷ27" localSheetId="0">#REF!</definedName>
    <definedName name="ㄷ27">#REF!</definedName>
    <definedName name="ㄷ곧뫂">[2]!BlankMacro1</definedName>
    <definedName name="ㄷ굗ㅎ">[2]!BlankMacro1</definedName>
    <definedName name="ㄷㄷ">[33]DATE!$I$24:$I$85</definedName>
    <definedName name="ㄷㄷㄷ" localSheetId="0" hidden="1">#REF!</definedName>
    <definedName name="ㄷㄷㄷ" hidden="1">#REF!</definedName>
    <definedName name="ㄷㄹㄷ" hidden="1">#REF!</definedName>
    <definedName name="ㄷㅁ곰ㅁ">[2]!BlankMacro1</definedName>
    <definedName name="ㄷㅂㅎ">[2]!BlankMacro1</definedName>
    <definedName name="ㄷ숃ㄱ" localSheetId="0" hidden="1">#REF!</definedName>
    <definedName name="ㄷ숃ㄱ" hidden="1">#REF!</definedName>
    <definedName name="다음">[2]!BlankMacro1</definedName>
    <definedName name="닥트2">[2]!BlankMacro1</definedName>
    <definedName name="단가검토">'[1]#REF'!$A$42:$T$251</definedName>
    <definedName name="단가비교" localSheetId="0" hidden="1">#REF!</definedName>
    <definedName name="단가비교" hidden="1">#REF!</definedName>
    <definedName name="단가테이블">'[26]기계경비(시간당)'!$C$1:$F$58</definedName>
    <definedName name="단관M">'[1]#REF'!$H$24:$H$85</definedName>
    <definedName name="당초계획" localSheetId="0" hidden="1">#REF!</definedName>
    <definedName name="당초계획" hidden="1">#REF!</definedName>
    <definedName name="대우" localSheetId="0">{"서울냉천 3차( 5. 6-7).xls","Sheet1"}</definedName>
    <definedName name="대우">{"서울냉천 3차( 5. 6-7).xls","Sheet1"}</definedName>
    <definedName name="대전내역서_대전추가비교표_List" localSheetId="0">#REF!</definedName>
    <definedName name="대전내역서_대전추가비교표_List">#REF!</definedName>
    <definedName name="더하기">'[1]#REF'!$J$24:$J$85</definedName>
    <definedName name="도______급______액" localSheetId="0">#REF!</definedName>
    <definedName name="도______급______액">#REF!</definedName>
    <definedName name="도급가">#REF!</definedName>
    <definedName name="도급공사비">'[1]#REF'!$C$21</definedName>
    <definedName name="도급내역서" hidden="1">255</definedName>
    <definedName name="도급액" localSheetId="0">#REF!</definedName>
    <definedName name="도급액">#REF!</definedName>
    <definedName name="도ㅛㄷㄱ">[2]!BlankMacro1</definedName>
    <definedName name="독신자숙소" localSheetId="0">#REF!</definedName>
    <definedName name="독신자숙소">#REF!</definedName>
    <definedName name="동별내역">#REF!</definedName>
    <definedName name="동별설계">#REF!</definedName>
    <definedName name="ㄹ">[10]수량산출!$R$164</definedName>
    <definedName name="ㄹㄹ">[34]INPUT!$B$4</definedName>
    <definedName name="ㄹㄹㄹ">[34]INPUT!$B$10</definedName>
    <definedName name="ㄹㅇ">[2]!BlankMacro1</definedName>
    <definedName name="ㄹㅇㄴㅁ">[33]DATE!$J$24:$J$85</definedName>
    <definedName name="ㄹㅇㄶ" localSheetId="0" hidden="1">#REF!</definedName>
    <definedName name="ㄹㅇㄶ" hidden="1">#REF!</definedName>
    <definedName name="ㄹㅇㅁㄴ">[33]DATE!$E$24:$E$85</definedName>
    <definedName name="ㄹ호" localSheetId="0" hidden="1">#REF!</definedName>
    <definedName name="ㄹ호" hidden="1">#REF!</definedName>
    <definedName name="라야러ㅜㄷ">'[1]#REF'!$A$1:$U$438</definedName>
    <definedName name="램머Q간재">[26]램머!$D$20</definedName>
    <definedName name="램머Q간재10">[26]램머!$F$20</definedName>
    <definedName name="램머Q간재야간">[26]램머!$J$20</definedName>
    <definedName name="램머Q노무">[26]램머!$D$21</definedName>
    <definedName name="램머Q노무10">[26]램머!$F$21</definedName>
    <definedName name="램머Q노무야간">[26]램머!$J$21</definedName>
    <definedName name="램머Q손료">[26]램머!$D$22</definedName>
    <definedName name="램머Q손료10">[26]램머!$F$22</definedName>
    <definedName name="램머Q손료야간">[26]램머!$J$22</definedName>
    <definedName name="램머간재">'[26]기계경비(시간당)'!$H$170</definedName>
    <definedName name="램머노무">'[26]기계경비(시간당)'!$H$166</definedName>
    <definedName name="램머노무야간">'[26]기계경비(시간당)'!$H$167</definedName>
    <definedName name="램머손료">'[26]기계경비(시간당)'!$H$165</definedName>
    <definedName name="리비" localSheetId="0" hidden="1">#REF!</definedName>
    <definedName name="리비" hidden="1">#REF!</definedName>
    <definedName name="ㅀ" hidden="1">#REF!</definedName>
    <definedName name="ㅁ">[31]산출내역서집계표!$D$3:$L$116</definedName>
    <definedName name="ㅁ1" localSheetId="0">#REF!</definedName>
    <definedName name="ㅁ1">#REF!</definedName>
    <definedName name="ㅁ60" localSheetId="0">[12]직노!#REF!</definedName>
    <definedName name="ㅁ60">[12]직노!#REF!</definedName>
    <definedName name="ㅁㄱㅁㅍ">[2]!BlankMacro1</definedName>
    <definedName name="ㅁㄱㅎ" localSheetId="0">#REF!</definedName>
    <definedName name="ㅁㄱㅎ">#REF!</definedName>
    <definedName name="ㅁㄴ" hidden="1">#REF!</definedName>
    <definedName name="ㅁㄴㅁㅇ" hidden="1">#REF!</definedName>
    <definedName name="ㅁㄴㅇ">[2]!BlankMacro1</definedName>
    <definedName name="ㅁㄴㅇㄴ">[2]!BlankMacro1</definedName>
    <definedName name="ㅁㄴㅇㄹ">[2]!BlankMacro1</definedName>
    <definedName name="ㅁㄴㅇㄹㄴㅁㅇㅎ">[2]!BlankMacro1</definedName>
    <definedName name="ㅁㄴㅇ류" localSheetId="0" hidden="1">#REF!</definedName>
    <definedName name="ㅁㄴㅇ류" hidden="1">#REF!</definedName>
    <definedName name="ㅁㄴㅇㅁㄴㅇ" hidden="1">#REF!</definedName>
    <definedName name="ㅁㄷ고ㅛㅇㅍ">[2]!BlankMacro1</definedName>
    <definedName name="ㅁㅁ" localSheetId="0">#REF!</definedName>
    <definedName name="ㅁㅁ">#REF!</definedName>
    <definedName name="ㅁㅁㅁ" hidden="1">#REF!</definedName>
    <definedName name="ㅁㅁㅁㅁ">[2]!BlankMacro1</definedName>
    <definedName name="ㅁㅁㅁㅁㅁㅁ" localSheetId="0" hidden="1">#REF!</definedName>
    <definedName name="ㅁㅁㅁㅁㅁㅁ" hidden="1">#REF!</definedName>
    <definedName name="ㅁㅂㅎ">[35]!Macro13</definedName>
    <definedName name="ㅁㅇㅎㅎㄴㅇ">[2]!BlankMacro1</definedName>
    <definedName name="마당발">[2]!BlankMacro1</definedName>
    <definedName name="매크로11">[36]!매크로11</definedName>
    <definedName name="매크로4">[36]!매크로4</definedName>
    <definedName name="맨홀규격">[37]단위수량!$A$3:$Q$7</definedName>
    <definedName name="맨홀호수">[37]맨홀수량산출!$A$2</definedName>
    <definedName name="면적표" localSheetId="0">#REF!</definedName>
    <definedName name="면적표">#REF!</definedName>
    <definedName name="명칭" localSheetId="0">#REF!</definedName>
    <definedName name="명칭">#REF!</definedName>
    <definedName name="모래180규격">[13]SORCE1!$N$1:$Y$15</definedName>
    <definedName name="모래90규격">[38]단위수량!$A$2:$L$14</definedName>
    <definedName name="목ㄱ">[1]노임!$C$24</definedName>
    <definedName name="목록" localSheetId="0">#REF!,#REF!,#REF!,#REF!,#REF!,#REF!,#REF!,#REF!,#REF!,#REF!,#REF!</definedName>
    <definedName name="목록">#REF!,#REF!,#REF!,#REF!,#REF!,#REF!,#REF!,#REF!,#REF!,#REF!,#REF!</definedName>
    <definedName name="목포공항">[2]!영광원자력5,'[1]6호기'!$A$1</definedName>
    <definedName name="문" localSheetId="0">BlankMacro1</definedName>
    <definedName name="문">BlankMacro1</definedName>
    <definedName name="물량산축">[2]!BlankMacro1</definedName>
    <definedName name="물량산출">[2]!BlankMacro1</definedName>
    <definedName name="미" localSheetId="0">{"서울냉천 3차( 5. 6-7).xls","Sheet1"}</definedName>
    <definedName name="미">{"서울냉천 3차( 5. 6-7).xls","Sheet1"}</definedName>
    <definedName name="민">[1]지급자재!$T$22</definedName>
    <definedName name="민수" localSheetId="0">{"서울냉천 3차( 5. 6-7).xls","Sheet1"}</definedName>
    <definedName name="민수">{"서울냉천 3차( 5. 6-7).xls","Sheet1"}</definedName>
    <definedName name="민자" localSheetId="0">{"서울냉천 3차( 5. 6-7).xls","Sheet1"}</definedName>
    <definedName name="민자">{"서울냉천 3차( 5. 6-7).xls","Sheet1"}</definedName>
    <definedName name="ㅂㄷㄱㅎ퓨">[2]!BlankMacro1</definedName>
    <definedName name="ㅂㅂㅂ">[2]!BlankMacro1</definedName>
    <definedName name="방화건우" localSheetId="0">{"서울냉천 3차( 5. 6-7).xls","Sheet1"}</definedName>
    <definedName name="방화건우">{"서울냉천 3차( 5. 6-7).xls","Sheet1"}</definedName>
    <definedName name="배" localSheetId="0">{"서울냉천 3차( 5. 6-7).xls","Sheet1"}</definedName>
    <definedName name="배">{"서울냉천 3차( 5. 6-7).xls","Sheet1"}</definedName>
    <definedName name="배구관">[39]종배수관!$D$21</definedName>
    <definedName name="백02간재">'[26]기계경비(시간당)'!$H$161</definedName>
    <definedName name="백02간재티스제외">'[26]기계경비(시간당)'!$H$162</definedName>
    <definedName name="백02노무">'[26]기계경비(시간당)'!$H$153</definedName>
    <definedName name="백02노무야간">'[26]기계경비(시간당)'!$H$157</definedName>
    <definedName name="백02손료">'[26]기계경비(시간당)'!$H$149</definedName>
    <definedName name="백04간재">'[26]기계경비(시간당)'!$H$145</definedName>
    <definedName name="백04간재티스제외">'[26]기계경비(시간당)'!$H$146</definedName>
    <definedName name="백04노무">'[26]기계경비(시간당)'!$H$137</definedName>
    <definedName name="백04노무야간">'[26]기계경비(시간당)'!$H$141</definedName>
    <definedName name="백04손료">'[26]기계경비(시간당)'!$H$133</definedName>
    <definedName name="백07간재">'[26]기계경비(시간당)'!$H$129</definedName>
    <definedName name="백07노무">'[26]기계경비(시간당)'!$H$121</definedName>
    <definedName name="백07손료">'[26]기계경비(시간당)'!$H$117</definedName>
    <definedName name="버팀1단">[13]가시설단위수량!$D$10</definedName>
    <definedName name="버팀2단">[13]가시설단위수량!$D$11</definedName>
    <definedName name="변경내역닥트">[2]!BlankMacro1</definedName>
    <definedName name="보일러" localSheetId="0">{"서울냉천 3차( 5. 6-7).xls","Sheet1"}</definedName>
    <definedName name="보일러">{"서울냉천 3차( 5. 6-7).xls","Sheet1"}</definedName>
    <definedName name="부__가___가__치__세" localSheetId="0">#REF!</definedName>
    <definedName name="부__가___가__치__세">#REF!</definedName>
    <definedName name="부가가치세">'[1]#REF'!$C$20</definedName>
    <definedName name="부가가치세요율">'[1]#REF'!$G$9</definedName>
    <definedName name="부가가치표">'[1]#REF'!$B$20</definedName>
    <definedName name="부가세율표" localSheetId="0">#REF!</definedName>
    <definedName name="부가세율표">#REF!</definedName>
    <definedName name="부대건축2" hidden="1">#REF!</definedName>
    <definedName name="부전지" hidden="1">#REF!</definedName>
    <definedName name="분개표" localSheetId="0">{"서울냉천 3차( 5. 6-7).xls","Sheet1"}</definedName>
    <definedName name="분개표">{"서울냉천 3차( 5. 6-7).xls","Sheet1"}</definedName>
    <definedName name="분개표1" localSheetId="0">{"서울냉천 3차( 5. 6-7).xls","Sheet1"}</definedName>
    <definedName name="분개표1">{"서울냉천 3차( 5. 6-7).xls","Sheet1"}</definedName>
    <definedName name="분당공" localSheetId="0" hidden="1">#REF!</definedName>
    <definedName name="분당공" hidden="1">#REF!</definedName>
    <definedName name="분당물가" hidden="1">#REF!</definedName>
    <definedName name="분당코아" hidden="1">#REF!</definedName>
    <definedName name="브02간재구조물">'[26]기계경비(시간당)'!$H$112</definedName>
    <definedName name="브02노무">'[26]기계경비(시간당)'!$H$110</definedName>
    <definedName name="브02노무야간">'[26]기계경비(시간당)'!$H$111</definedName>
    <definedName name="브02손료">'[26]기계경비(시간당)'!$H$109</definedName>
    <definedName name="브04간재구조물">'[26]기계경비(시간당)'!$H$105</definedName>
    <definedName name="브04노무">'[26]기계경비(시간당)'!$H$103</definedName>
    <definedName name="브04노무야간">'[26]기계경비(시간당)'!$H$104</definedName>
    <definedName name="브04손료">'[26]기계경비(시간당)'!$H$102</definedName>
    <definedName name="브레이드">'[26]기계경비(시간당)'!$D$28</definedName>
    <definedName name="비______목" localSheetId="0">#REF!</definedName>
    <definedName name="비______목">#REF!</definedName>
    <definedName name="비교">[2]!BlankMacro1</definedName>
    <definedName name="비교검토">[2]!BlankMacro1</definedName>
    <definedName name="비교표1" hidden="1">255</definedName>
    <definedName name="비교표2" localSheetId="0" hidden="1">#REF!</definedName>
    <definedName name="비교표2" hidden="1">#REF!</definedName>
    <definedName name="비목1" localSheetId="0">#REF!</definedName>
    <definedName name="비목1">#REF!</definedName>
    <definedName name="비목2" localSheetId="0">#REF!</definedName>
    <definedName name="비목2">#REF!</definedName>
    <definedName name="비목3" localSheetId="0">#REF!</definedName>
    <definedName name="비목3">#REF!</definedName>
    <definedName name="비목4" localSheetId="0">#REF!</definedName>
    <definedName name="비목4">#REF!</definedName>
    <definedName name="비율" localSheetId="0">#REF!</definedName>
    <definedName name="비율">#REF!</definedName>
    <definedName name="ㅅ" localSheetId="0">[8]Sheet2!#REF!</definedName>
    <definedName name="ㅅ">[8]Sheet2!#REF!</definedName>
    <definedName name="사" localSheetId="0">#REF!</definedName>
    <definedName name="사">#REF!</definedName>
    <definedName name="사__급___자__재__비" localSheetId="0">#REF!</definedName>
    <definedName name="사__급___자__재__비">#REF!</definedName>
    <definedName name="사과" localSheetId="0">{"서울냉천 3차( 5. 6-7).xls","Sheet1"}</definedName>
    <definedName name="사과">{"서울냉천 3차( 5. 6-7).xls","Sheet1"}</definedName>
    <definedName name="사병부사관식당" localSheetId="0">#REF!</definedName>
    <definedName name="사병부사관식당">#REF!</definedName>
    <definedName name="사업관리율">[1]요율!$M$21</definedName>
    <definedName name="사인일위" localSheetId="0">#REF!</definedName>
    <definedName name="사인일위">#REF!</definedName>
    <definedName name="산재보험료요율">'[1]#REF'!$G$4</definedName>
    <definedName name="산재보험료율">'[1]#REF'!$F$8</definedName>
    <definedName name="산재보험료표">'[1]#REF'!$B$9</definedName>
    <definedName name="산출">[40]산출내역서집계표!$D$3:$L$116</definedName>
    <definedName name="산출1">[40]산출내역서집계표!$D$6:$L$116</definedName>
    <definedName name="산출경비">'[1]#REF'!$I$6</definedName>
    <definedName name="산출금양">[40]산출내역서집계표!$AB$2:$AR$143</definedName>
    <definedName name="삼성제출내역">[2]!BlankMacro1</definedName>
    <definedName name="상품" localSheetId="0" hidden="1">#REF!</definedName>
    <definedName name="상품" hidden="1">#REF!</definedName>
    <definedName name="설계">#REF!</definedName>
    <definedName name="설계_342427000감리_862426000__5" localSheetId="0">[8]Sheet3!#REF!</definedName>
    <definedName name="설계_342427000감리_862426000__5">[8]Sheet3!#REF!</definedName>
    <definedName name="설문지" localSheetId="0" hidden="1">#REF!</definedName>
    <definedName name="설문지" hidden="1">#REF!</definedName>
    <definedName name="설비">#N/A</definedName>
    <definedName name="설비원가집계표" localSheetId="0" hidden="1">#REF!</definedName>
    <definedName name="설비원가집계표" hidden="1">#REF!</definedName>
    <definedName name="설집" localSheetId="0">#REF!</definedName>
    <definedName name="설집">#REF!</definedName>
    <definedName name="세부설계율">[1]요율!$M$19</definedName>
    <definedName name="소">[41]내역서!$A$10:$I$1175</definedName>
    <definedName name="소켓무게">'[1]#REF'!$G$24:$G$79</definedName>
    <definedName name="소형B손료">'[26]기계경비(시간당)'!$H$240</definedName>
    <definedName name="속" localSheetId="0">[8]Sheet3!#REF!</definedName>
    <definedName name="속">[8]Sheet3!#REF!</definedName>
    <definedName name="수" localSheetId="0" hidden="1">#REF!</definedName>
    <definedName name="수" hidden="1">#REF!</definedName>
    <definedName name="수량">'[1]#REF'!$A$1:$IV$1</definedName>
    <definedName name="수원공자재">'[1]#REF'!$BD$22</definedName>
    <definedName name="순" localSheetId="0">#REF!</definedName>
    <definedName name="순">#REF!</definedName>
    <definedName name="순공사비">'[1]#REF'!$C$3</definedName>
    <definedName name="시공이음H">[13]단위수량!$G$10</definedName>
    <definedName name="시그마">[2]!BlankMacro1</definedName>
    <definedName name="시멘트벽돌">[42]공사개요!$N$22</definedName>
    <definedName name="시멘트블럭">[42]공사개요!$O$22</definedName>
    <definedName name="시방서" localSheetId="0">{"서울냉천 3차( 5. 6-7).xls","Sheet1"}</definedName>
    <definedName name="시방서">{"서울냉천 3차( 5. 6-7).xls","Sheet1"}</definedName>
    <definedName name="시험사2급">[43]노임!$C$107</definedName>
    <definedName name="시험사3급">[43]노임!$C$108</definedName>
    <definedName name="시험사4급">[43]노임!$C$109</definedName>
    <definedName name="신상봉">[2]!BlankMacro1</definedName>
    <definedName name="실행금액">[2]!BlankMacro1</definedName>
    <definedName name="실행내역">[2]!BlankMacro1</definedName>
    <definedName name="ㅇ">[44]정렬!$B$2:$E$1204</definedName>
    <definedName name="ㅇ48" localSheetId="0">#REF!</definedName>
    <definedName name="ㅇ48">#REF!</definedName>
    <definedName name="ㅇㄴㅁ">[33]DATE!$I$24:$I$85</definedName>
    <definedName name="ㅇㄹ" localSheetId="0" hidden="1">#REF!</definedName>
    <definedName name="ㅇㄹ" hidden="1">#REF!</definedName>
    <definedName name="ㅇㄹㄹ" hidden="1">#REF!</definedName>
    <definedName name="ㅇㄹㅇ" localSheetId="0">BlankMacro1</definedName>
    <definedName name="ㅇㄹㅇ">BlankMacro1</definedName>
    <definedName name="ㅇㄹㅇㄹ" localSheetId="0">BlankMacro1</definedName>
    <definedName name="ㅇㄹㅇㄹ">BlankMacro1</definedName>
    <definedName name="ㅇㄹㅇㄹㅇ">[2]!BlankMacro1</definedName>
    <definedName name="ㅇㄹㅈㄷㄹ" localSheetId="0" hidden="1">#REF!</definedName>
    <definedName name="ㅇㄹㅈㄷㄹ" hidden="1">#REF!</definedName>
    <definedName name="ㅇㅇ" localSheetId="0">#REF!</definedName>
    <definedName name="ㅇㅇ">#REF!</definedName>
    <definedName name="ㅇㅈㄷㅄㅂㅈㄷㄱ" hidden="1">#REF!</definedName>
    <definedName name="아우" localSheetId="0">{"서울냉천 3차( 5. 6-7).xls","Sheet1"}</definedName>
    <definedName name="아우">{"서울냉천 3차( 5. 6-7).xls","Sheet1"}</definedName>
    <definedName name="아우설" localSheetId="0">{"서울냉천 3차( 5. 6-7).xls","Sheet1"}</definedName>
    <definedName name="아우설">{"서울냉천 3차( 5. 6-7).xls","Sheet1"}</definedName>
    <definedName name="아파트내역2" localSheetId="0" hidden="1">{"'Sheet1'!$A$4:$M$21","'Sheet1'!$J$17:$K$19"}</definedName>
    <definedName name="아파트내역2" hidden="1">{"'Sheet1'!$A$4:$M$21","'Sheet1'!$J$17:$K$19"}</definedName>
    <definedName name="안___전__점__검__비" localSheetId="0">#REF!</definedName>
    <definedName name="안___전__점__검__비">#REF!</definedName>
    <definedName name="안녕" localSheetId="0">{"서울냉천 3차( 5. 6-7).xls","Sheet1"}</definedName>
    <definedName name="안녕">{"서울냉천 3차( 5. 6-7).xls","Sheet1"}</definedName>
    <definedName name="안전관리비요율">'[1]#REF'!$G$5</definedName>
    <definedName name="안전관리비율">'[1]#REF'!$F$9</definedName>
    <definedName name="안전관리비표">'[1]#REF'!$B$10</definedName>
    <definedName name="양식6" hidden="1">255</definedName>
    <definedName name="어머니" localSheetId="0">{"서울냉천 3차( 5. 6-7).xls","Sheet1"}</definedName>
    <definedName name="어머니">{"서울냉천 3차( 5. 6-7).xls","Sheet1"}</definedName>
    <definedName name="업체" localSheetId="0" hidden="1">#REF!</definedName>
    <definedName name="업체" hidden="1">#REF!</definedName>
    <definedName name="여유폭">[13]가시설단위수량!$C$19</definedName>
    <definedName name="연면적">[42]공사개요!$D$22</definedName>
    <definedName name="연습" localSheetId="0">#REF!</definedName>
    <definedName name="연습">#REF!</definedName>
    <definedName name="연장">'[1]#REF'!$A$7:$IV$35</definedName>
    <definedName name="열ㄹ락" localSheetId="0">{"서울냉천 3차( 5. 6-7).xls","Sheet1"}</definedName>
    <definedName name="열ㄹ락">{"서울냉천 3차( 5. 6-7).xls","Sheet1"}</definedName>
    <definedName name="영광원자력56호기">[2]!영광원자력5,'[1]6호기'!$A$1</definedName>
    <definedName name="영주우회도로">[31]산출내역서집계표!$D$3:$L$116</definedName>
    <definedName name="외주의뢰1" localSheetId="0" hidden="1">#REF!</definedName>
    <definedName name="외주의뢰1" hidden="1">#REF!</definedName>
    <definedName name="요율" localSheetId="0">#REF!</definedName>
    <definedName name="요율">#REF!</definedName>
    <definedName name="요율인쇄" localSheetId="0">#REF!</definedName>
    <definedName name="요율인쇄">#REF!</definedName>
    <definedName name="우" localSheetId="0">{"서울냉천 3차( 5. 6-7).xls","Sheet1"}</definedName>
    <definedName name="우">{"서울냉천 3차( 5. 6-7).xls","Sheet1"}</definedName>
    <definedName name="우강공감율">'[1]#REF'!$M$17</definedName>
    <definedName name="우강기본율">'[1]#REF'!$M$15</definedName>
    <definedName name="우강사업율">'[1]#REF'!$M$18</definedName>
    <definedName name="우강세부율">'[1]#REF'!$M$16</definedName>
    <definedName name="우리">[2]!BlankMacro1</definedName>
    <definedName name="우성" localSheetId="0">[8]Sheet3!#REF!</definedName>
    <definedName name="우성">[8]Sheet3!#REF!</definedName>
    <definedName name="운전사_기계">[43]노임!$C$89</definedName>
    <definedName name="운전사_운반">'[26]기계경비(시간당)'!$D$7</definedName>
    <definedName name="원" localSheetId="0">#REF!</definedName>
    <definedName name="원">#REF!</definedName>
    <definedName name="원_가_계_산_서">'[45]#REF'!$A$1:$IV$65536</definedName>
    <definedName name="원가계산명">'[1]#REF'!$A$1</definedName>
    <definedName name="유" localSheetId="0" hidden="1">#REF!</definedName>
    <definedName name="유" hidden="1">#REF!</definedName>
    <definedName name="유효">[39]종배수관!$H$21</definedName>
    <definedName name="이______________윤" localSheetId="0">#REF!</definedName>
    <definedName name="이______________윤">#REF!</definedName>
    <definedName name="이______전______비" localSheetId="0">#REF!</definedName>
    <definedName name="이______전______비">#REF!</definedName>
    <definedName name="이윤요율">'[1]#REF'!$G$8</definedName>
    <definedName name="이윤표">'[1]#REF'!$B$18</definedName>
    <definedName name="이형관">'[1]#REF'!$B$24:$B$85</definedName>
    <definedName name="인버트두께">[13]단위수량!$C$10</definedName>
    <definedName name="인입공사비">'[1]#REF'!$C$23</definedName>
    <definedName name="인천1" localSheetId="0" hidden="1">#REF!</definedName>
    <definedName name="인천1" hidden="1">#REF!</definedName>
    <definedName name="일__반___관__리__비" localSheetId="0">#REF!</definedName>
    <definedName name="일__반___관__리__비">#REF!</definedName>
    <definedName name="일반관리비요율">'[1]#REF'!$G$7</definedName>
    <definedName name="일반관리비율">'[1]#REF'!$F$7</definedName>
    <definedName name="일반관리비표">'[1]#REF'!$B$17</definedName>
    <definedName name="일의01" localSheetId="0">[12]직노!#REF!</definedName>
    <definedName name="일의01">[12]직노!#REF!</definedName>
    <definedName name="일정97" localSheetId="0" hidden="1">#REF!</definedName>
    <definedName name="일정97" hidden="1">#REF!</definedName>
    <definedName name="일혁" localSheetId="0">{"서울냉천 3차( 5. 6-7).xls","Sheet1"}</definedName>
    <definedName name="일혁">{"서울냉천 3차( 5. 6-7).xls","Sheet1"}</definedName>
    <definedName name="임">[31]산출내역서집계표!$AB$2:$AR$143</definedName>
    <definedName name="임직" localSheetId="0" hidden="1">#REF!</definedName>
    <definedName name="임직" hidden="1">#REF!</definedName>
    <definedName name="입력란">'[1]#REF'!$F$2</definedName>
    <definedName name="입력전체">'[1]#REF'!$F$2:$I$9</definedName>
    <definedName name="입찰내역" localSheetId="0">#REF!</definedName>
    <definedName name="입찰내역">#REF!</definedName>
    <definedName name="ㅈㄷ슞듀">[2]!BlankMacro1</definedName>
    <definedName name="ㅈㅈ" localSheetId="0" hidden="1">#REF!</definedName>
    <definedName name="ㅈㅈ" hidden="1">#REF!</definedName>
    <definedName name="자자" localSheetId="0">{"서울냉천 3차( 5. 6-7).xls","Sheet1"}</definedName>
    <definedName name="자자">{"서울냉천 3차( 5. 6-7).xls","Sheet1"}</definedName>
    <definedName name="자재비9월" localSheetId="0" hidden="1">#REF!</definedName>
    <definedName name="자재비9월" hidden="1">#REF!</definedName>
    <definedName name="자재수">[1]자재대!$BE$22</definedName>
    <definedName name="자재종별" localSheetId="0">#REF!</definedName>
    <definedName name="자재종별">#REF!</definedName>
    <definedName name="자재평">[1]자재대!$BG$22</definedName>
    <definedName name="재료비요율">'[1]#REF'!$I$3</definedName>
    <definedName name="재료집계3" localSheetId="0">#REF!</definedName>
    <definedName name="재료집계3">#REF!</definedName>
    <definedName name="전체원1" localSheetId="0">#REF!</definedName>
    <definedName name="전체원1">#REF!</definedName>
    <definedName name="절" hidden="1">#REF!</definedName>
    <definedName name="점수표" localSheetId="0">#REF!</definedName>
    <definedName name="점수표">#REF!</definedName>
    <definedName name="정숙" localSheetId="0">{"서울냉천 3차( 5. 6-7).xls","Sheet1"}</definedName>
    <definedName name="정숙">{"서울냉천 3차( 5. 6-7).xls","Sheet1"}</definedName>
    <definedName name="정정" localSheetId="0">'[16]2000년1차'!#REF!</definedName>
    <definedName name="정정">'[16]2000년1차'!#REF!</definedName>
    <definedName name="제수문" localSheetId="0" hidden="1">#REF!</definedName>
    <definedName name="제수문" hidden="1">#REF!</definedName>
    <definedName name="제잡비" localSheetId="0">#REF!</definedName>
    <definedName name="제잡비">#REF!</definedName>
    <definedName name="조정1" hidden="1">#REF!</definedName>
    <definedName name="종합결의96.11" localSheetId="0">[8]Sheet3!#REF!</definedName>
    <definedName name="종합결의96.11">[8]Sheet3!#REF!</definedName>
    <definedName name="죠죶">'[1]#REF'!$A$1:$IV$1</definedName>
    <definedName name="중급기술자">[43]노임!$C$137</definedName>
    <definedName name="지__급__자__재__비" localSheetId="0">#REF!</definedName>
    <definedName name="지__급__자__재__비">#REF!</definedName>
    <definedName name="지급부가제외">'[1]#REF'!$J$22</definedName>
    <definedName name="지급부가포함">'[1]#REF'!$I$22</definedName>
    <definedName name="지급현황2." localSheetId="0" hidden="1">#REF!</definedName>
    <definedName name="지급현황2." hidden="1">#REF!</definedName>
    <definedName name="지부외배">'[1]#REF'!$U$22</definedName>
    <definedName name="지부외평">'[1]#REF'!$AF$22</definedName>
    <definedName name="지부포배">'[1]#REF'!$T$22</definedName>
    <definedName name="지부포수">'[1]#REF'!$T$22</definedName>
    <definedName name="지부포평">'[1]#REF'!$AE$22</definedName>
    <definedName name="지연경비" localSheetId="0">#REF!</definedName>
    <definedName name="지연경비">#REF!</definedName>
    <definedName name="지연노무비">#REF!</definedName>
    <definedName name="지연일괄외주">#REF!</definedName>
    <definedName name="지연재료">#REF!</definedName>
    <definedName name="직접노무비요율">'[1]#REF'!$I$4</definedName>
    <definedName name="직접재료비합">'[1]#REF'!$E$30</definedName>
    <definedName name="진해" localSheetId="0" hidden="1">#REF!</definedName>
    <definedName name="진해" hidden="1">#REF!</definedName>
    <definedName name="집계">[1]내역!$A$1:$E$1023</definedName>
    <definedName name="집계1" localSheetId="0">#REF!</definedName>
    <definedName name="집계1">#REF!</definedName>
    <definedName name="집계2" localSheetId="0">#REF!</definedName>
    <definedName name="집계2">#REF!</definedName>
    <definedName name="집계표" localSheetId="0">#REF!</definedName>
    <definedName name="집계표">#REF!</definedName>
    <definedName name="착암공">'[26]기계경비(시간당)'!$D$12</definedName>
    <definedName name="창고" localSheetId="0">#REF!</definedName>
    <definedName name="창고">#REF!</definedName>
    <definedName name="철수" localSheetId="0">{"서울냉천 3차( 5. 6-7).xls","Sheet1"}</definedName>
    <definedName name="철수">{"서울냉천 3차( 5. 6-7).xls","Sheet1"}</definedName>
    <definedName name="청마총괄" localSheetId="0">[46]직노!#REF!</definedName>
    <definedName name="청마총괄">[46]직노!#REF!</definedName>
    <definedName name="청천200" localSheetId="0">'[47]200'!#REF!</definedName>
    <definedName name="청천200">'[47]200'!#REF!</definedName>
    <definedName name="촐라" localSheetId="0">{"서울냉천 3차( 5. 6-7).xls","Sheet1"}</definedName>
    <definedName name="촐라">{"서울냉천 3차( 5. 6-7).xls","Sheet1"}</definedName>
    <definedName name="총______원_______가" localSheetId="0">#REF!</definedName>
    <definedName name="총______원_______가">#REF!</definedName>
    <definedName name="총___공____사___비" localSheetId="0">#REF!</definedName>
    <definedName name="총___공____사___비">#REF!</definedName>
    <definedName name="총공사비">'[1]#REF'!$C$24</definedName>
    <definedName name="총괄" localSheetId="0">#REF!</definedName>
    <definedName name="총괄">#REF!</definedName>
    <definedName name="총괄제출2차" hidden="1">#REF!</definedName>
    <definedName name="총괄표" localSheetId="0">#REF!</definedName>
    <definedName name="총괄표">#REF!</definedName>
    <definedName name="총토탈" localSheetId="0">#REF!</definedName>
    <definedName name="총토탈">#REF!</definedName>
    <definedName name="총토탈1" localSheetId="0">#REF!</definedName>
    <definedName name="총토탈1">#REF!</definedName>
    <definedName name="총토탈2" localSheetId="0">#REF!</definedName>
    <definedName name="총토탈2">#REF!</definedName>
    <definedName name="최종조정">#REF!</definedName>
    <definedName name="칠">[1]지급자재!$AE$22</definedName>
    <definedName name="카바">[2]!BlankMacro1</definedName>
    <definedName name="카비">[48]!Macro10</definedName>
    <definedName name="카빋">[48]!Macro12</definedName>
    <definedName name="캇타간재">'[26]기계경비(시간당)'!$H$92</definedName>
    <definedName name="캇타노무">'[26]기계경비(시간당)'!$H$88</definedName>
    <definedName name="캇타손료">'[26]기계경비(시간당)'!$H$87</definedName>
    <definedName name="콘_1" localSheetId="0">#REF!</definedName>
    <definedName name="콘_1">#REF!</definedName>
    <definedName name="콘_3">#REF!</definedName>
    <definedName name="콘1">#REF!</definedName>
    <definedName name="콘120규격">[13]SORCE1!$AA$1:$AO$15</definedName>
    <definedName name="콘180규격">[13]SORCE1!$AQ$1:$BE$15</definedName>
    <definedName name="콘25">[37]맨홀수량산출!$AE$14</definedName>
    <definedName name="콘3" localSheetId="0">#REF!</definedName>
    <definedName name="콘3">#REF!</definedName>
    <definedName name="콘40">[37]맨홀수량산출!$AE$7</definedName>
    <definedName name="콘크리트2" localSheetId="0" hidden="1">#REF!</definedName>
    <definedName name="콘크리트2" hidden="1">#REF!</definedName>
    <definedName name="타사공사비1" hidden="1">#REF!</definedName>
    <definedName name="타입평">#REF!</definedName>
    <definedName name="테스트" hidden="1">#REF!</definedName>
    <definedName name="템플리트모듈1" localSheetId="0">BlankMacro1</definedName>
    <definedName name="템플리트모듈1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토">'[1]#REF'!$A$2:$G$1197</definedName>
    <definedName name="토공사">[44]정렬!$B$2:$E$1204</definedName>
    <definedName name="토목공사강릉" localSheetId="0" hidden="1">#REF!</definedName>
    <definedName name="토목공사강릉" hidden="1">#REF!</definedName>
    <definedName name="토목내역" localSheetId="0">#REF!</definedName>
    <definedName name="토목내역">#REF!</definedName>
    <definedName name="토목집계">#REF!</definedName>
    <definedName name="투" hidden="1">#REF!</definedName>
    <definedName name="특급기술자">[43]노임!$C$135</definedName>
    <definedName name="특기시방" localSheetId="0" hidden="1">#REF!</definedName>
    <definedName name="특기시방" hidden="1">#REF!</definedName>
    <definedName name="특별인부">[1]노임!$C$16</definedName>
    <definedName name="파일" localSheetId="0" hidden="1">#REF!</definedName>
    <definedName name="파일" hidden="1">#REF!</definedName>
    <definedName name="파일수량2">[2]!영광원자력5,'[1]6호기'!$A$1</definedName>
    <definedName name="팔" localSheetId="0" hidden="1">#REF!</definedName>
    <definedName name="팔" hidden="1">#REF!</definedName>
    <definedName name="페이지찾기">#REF!</definedName>
    <definedName name="평균H1">'[49]1-1평균터파기고(1)'!$G$31</definedName>
    <definedName name="평균H2">'[50]평균터파기고(1-2,ASP)'!$G$32</definedName>
    <definedName name="평균높이">[37]맨홀수량산출!$AD$2</definedName>
    <definedName name="평야부자재">'[1]#REF'!$BF$22</definedName>
    <definedName name="폐_기_물___수_수_료" localSheetId="0">#REF!</definedName>
    <definedName name="폐_기_물___수_수_료">#REF!</definedName>
    <definedName name="폐_기_물___처_리_비" localSheetId="0">#REF!</definedName>
    <definedName name="폐_기_물___처_리_비">#REF!</definedName>
    <definedName name="포장공">[1]노임!$C$12</definedName>
    <definedName name="표지" localSheetId="0" hidden="1">#REF!</definedName>
    <definedName name="표지" hidden="1">#REF!</definedName>
    <definedName name="표지1" localSheetId="0">#REF!</definedName>
    <definedName name="표지1">#REF!</definedName>
    <definedName name="표지2" hidden="1">#REF!</definedName>
    <definedName name="품셈공종">'[51]별표 '!$C$2:$C$50</definedName>
    <definedName name="품셈단가">'[51]별표 '!$D$2:$D$50</definedName>
    <definedName name="풍납동" localSheetId="0" hidden="1">#REF!</definedName>
    <definedName name="풍납동" hidden="1">#REF!</definedName>
    <definedName name="풍납동아파트" hidden="1">#REF!</definedName>
    <definedName name="피복두께">[13]단위수량!$C$12</definedName>
    <definedName name="ㅎ314" localSheetId="0">#REF!</definedName>
    <definedName name="ㅎ314">#REF!</definedName>
    <definedName name="ㅎㅇ" hidden="1">#REF!</definedName>
    <definedName name="ㅎㅎㅎ" hidden="1">#REF!</definedName>
    <definedName name="하">[2]!BlankMacro1</definedName>
    <definedName name="하도4" hidden="1">255</definedName>
    <definedName name="하도6" hidden="1">255</definedName>
    <definedName name="하도급">[31]산출내역서집계표!$D$6:$L$116</definedName>
    <definedName name="하도급8" hidden="1">255</definedName>
    <definedName name="하도원가" localSheetId="0">#REF!</definedName>
    <definedName name="하도원가">#REF!</definedName>
    <definedName name="하아드" localSheetId="0">[46]실행내역!#REF!</definedName>
    <definedName name="하아드">[46]실행내역!#REF!</definedName>
    <definedName name="학성">#N/A</definedName>
    <definedName name="한" localSheetId="0" hidden="1">#REF!</definedName>
    <definedName name="한" hidden="1">#REF!</definedName>
    <definedName name="합______________계" localSheetId="0">#REF!</definedName>
    <definedName name="합______________계">#REF!</definedName>
    <definedName name="해성특시" hidden="1">#REF!</definedName>
    <definedName name="해체팀구분">#REF!</definedName>
    <definedName name="허라ㅣㅓㅁㅇㄹ" hidden="1">#REF!</definedName>
    <definedName name="현조" hidden="1">#REF!</definedName>
    <definedName name="협조전" hidden="1">#REF!</definedName>
    <definedName name="형상">'[1]#REF'!$D$24:$D$85</definedName>
    <definedName name="형태" localSheetId="0">#REF!</definedName>
    <definedName name="형태">#REF!</definedName>
    <definedName name="형틀팀구분">#REF!</definedName>
    <definedName name="호별가격">#REF!</definedName>
    <definedName name="호별시가안분">#REF!</definedName>
    <definedName name="호ㅓ" hidden="1">#REF!</definedName>
    <definedName name="홍">[2]!BlankMacro1</definedName>
    <definedName name="홍ㄹㄴㄷㄱ" localSheetId="0" hidden="1">#REF!</definedName>
    <definedName name="홍ㄹㄴㄷㄱ" hidden="1">#REF!</definedName>
    <definedName name="확역서1" hidden="1">#REF!</definedName>
    <definedName name="환율">'[26]기계경비(시간당)'!$D$21</definedName>
    <definedName name="환전" localSheetId="0">BlankMacro1</definedName>
    <definedName name="환전">BlankMacro1</definedName>
    <definedName name="회사명">'[1]#REF'!$A$25</definedName>
    <definedName name="ㅏㅏ">[2]!BlankMacro1</definedName>
    <definedName name="ㅏㅏㅏㅏ">[2]!BlankMacro1</definedName>
    <definedName name="ㅐ셔쇼">[2]!BlankMacro1</definedName>
    <definedName name="ㅐㅐ" localSheetId="0">BlankMacro1</definedName>
    <definedName name="ㅐㅐ">BlankMacro1</definedName>
    <definedName name="ㅑㅡㅏㄱㄴ">[2]!BlankMacro1</definedName>
    <definedName name="ㅔㅔ" localSheetId="0">BlankMacro1</definedName>
    <definedName name="ㅔㅔ">BlankMacro1</definedName>
    <definedName name="ㅗㄹ" localSheetId="0">#REF!</definedName>
    <definedName name="ㅗㄹ">#REF!</definedName>
    <definedName name="ㅗㅎ뫃ㅁ">[2]!BlankMacro1</definedName>
    <definedName name="ㅘㅗ허ㅎ" localSheetId="0" hidden="1">#REF!</definedName>
    <definedName name="ㅘㅗ허ㅎ" hidden="1">#REF!</definedName>
    <definedName name="ㅛㅕㄷ듁">[2]!BlankMacro1</definedName>
    <definedName name="ㅜ" localSheetId="0">[8]Sheet3!#REF!</definedName>
    <definedName name="ㅜ">[8]Sheet3!#REF!</definedName>
    <definedName name="ㅜㅛㅈㄷ규">[2]!BlankMacro1</definedName>
    <definedName name="ㅜㅛㅑ스">[2]!BlankMacro1</definedName>
    <definedName name="ㅡㅡ" localSheetId="0">BlankMacro1</definedName>
    <definedName name="ㅡㅡ">BlankMacro1</definedName>
    <definedName name="ㅣㅏㅣㅏ" localSheetId="0">#REF!</definedName>
    <definedName name="ㅣㅏㅣㅏ">#REF!</definedName>
    <definedName name="ㅣㅣㅣㅣ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42" i="1" l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J2128" i="1"/>
  <c r="J1666" i="1"/>
  <c r="I1666" i="1"/>
  <c r="J1664" i="1"/>
  <c r="I1664" i="1"/>
  <c r="H1662" i="1"/>
  <c r="J1662" i="1" s="1"/>
  <c r="H1661" i="1"/>
  <c r="J1661" i="1" s="1"/>
  <c r="H1660" i="1"/>
  <c r="J1660" i="1" s="1"/>
  <c r="G1660" i="1"/>
  <c r="J1658" i="1"/>
  <c r="H1658" i="1"/>
  <c r="G1658" i="1"/>
  <c r="G1656" i="1"/>
  <c r="H1656" i="1" s="1"/>
  <c r="J1656" i="1" s="1"/>
  <c r="H1654" i="1"/>
  <c r="J1654" i="1" s="1"/>
  <c r="G1653" i="1"/>
  <c r="H1653" i="1" s="1"/>
  <c r="J1653" i="1" s="1"/>
  <c r="H1651" i="1"/>
  <c r="J1651" i="1" s="1"/>
  <c r="G1650" i="1"/>
  <c r="H1650" i="1" s="1"/>
  <c r="J1650" i="1" s="1"/>
  <c r="J1648" i="1"/>
  <c r="H1648" i="1"/>
  <c r="G1647" i="1"/>
  <c r="H1647" i="1" s="1"/>
  <c r="J1647" i="1" s="1"/>
  <c r="J1645" i="1"/>
  <c r="H1645" i="1"/>
  <c r="G1645" i="1"/>
  <c r="G1638" i="1"/>
  <c r="H1638" i="1" s="1"/>
  <c r="J1638" i="1" s="1"/>
  <c r="J1636" i="1"/>
  <c r="I1636" i="1"/>
  <c r="I1634" i="1"/>
  <c r="J1634" i="1" s="1"/>
  <c r="G1632" i="1"/>
  <c r="H1632" i="1" s="1"/>
  <c r="J1632" i="1" s="1"/>
  <c r="J1630" i="1"/>
  <c r="H1630" i="1"/>
  <c r="G1630" i="1"/>
  <c r="G1629" i="1"/>
  <c r="H1629" i="1" s="1"/>
  <c r="J1629" i="1" s="1"/>
  <c r="G1627" i="1"/>
  <c r="H1627" i="1" s="1"/>
  <c r="J1627" i="1" s="1"/>
  <c r="G1625" i="1"/>
  <c r="H1625" i="1" s="1"/>
  <c r="J1625" i="1" s="1"/>
  <c r="J1623" i="1"/>
  <c r="I1623" i="1"/>
  <c r="H1621" i="1"/>
  <c r="J1621" i="1" s="1"/>
  <c r="G1621" i="1"/>
  <c r="G1620" i="1"/>
  <c r="H1620" i="1" s="1"/>
  <c r="J1620" i="1" s="1"/>
  <c r="J1618" i="1"/>
  <c r="H1618" i="1"/>
  <c r="G1618" i="1"/>
  <c r="H1616" i="1"/>
  <c r="J1616" i="1" s="1"/>
  <c r="G1616" i="1"/>
  <c r="I1614" i="1"/>
  <c r="J1614" i="1" s="1"/>
  <c r="J1612" i="1"/>
  <c r="I1612" i="1"/>
  <c r="I1610" i="1"/>
  <c r="J1610" i="1" s="1"/>
  <c r="H1608" i="1"/>
  <c r="I1608" i="1" s="1"/>
  <c r="J1608" i="1" s="1"/>
  <c r="I1607" i="1"/>
  <c r="J1607" i="1" s="1"/>
  <c r="H1607" i="1"/>
  <c r="J1606" i="1"/>
  <c r="I1606" i="1"/>
  <c r="H1598" i="1"/>
  <c r="J1598" i="1" s="1"/>
  <c r="H1597" i="1"/>
  <c r="J1597" i="1" s="1"/>
  <c r="J1595" i="1"/>
  <c r="H1595" i="1"/>
  <c r="J1594" i="1"/>
  <c r="H1594" i="1"/>
  <c r="H1592" i="1"/>
  <c r="J1592" i="1" s="1"/>
  <c r="H1591" i="1"/>
  <c r="J1591" i="1" s="1"/>
  <c r="G1589" i="1"/>
  <c r="H1589" i="1" s="1"/>
  <c r="J1589" i="1" s="1"/>
  <c r="G1587" i="1"/>
  <c r="H1587" i="1" s="1"/>
  <c r="J1587" i="1" s="1"/>
  <c r="J1585" i="1"/>
  <c r="I1585" i="1"/>
  <c r="H1583" i="1"/>
  <c r="J1583" i="1" s="1"/>
  <c r="G1583" i="1"/>
  <c r="H1581" i="1"/>
  <c r="J1581" i="1" s="1"/>
  <c r="G1581" i="1"/>
  <c r="J1580" i="1"/>
  <c r="H1580" i="1"/>
  <c r="G1580" i="1"/>
  <c r="I1578" i="1"/>
  <c r="J1578" i="1" s="1"/>
  <c r="J1576" i="1"/>
  <c r="I1576" i="1"/>
  <c r="J1574" i="1"/>
  <c r="H1574" i="1"/>
  <c r="G1574" i="1"/>
  <c r="H1572" i="1"/>
  <c r="J1572" i="1" s="1"/>
  <c r="G1572" i="1"/>
  <c r="J1571" i="1"/>
  <c r="G1571" i="1"/>
  <c r="H1571" i="1" s="1"/>
  <c r="G1569" i="1"/>
  <c r="H1569" i="1" s="1"/>
  <c r="J1569" i="1" s="1"/>
  <c r="J1567" i="1"/>
  <c r="H1567" i="1"/>
  <c r="G1567" i="1"/>
  <c r="H1559" i="1"/>
  <c r="J1559" i="1" s="1"/>
  <c r="G1557" i="1"/>
  <c r="H1557" i="1" s="1"/>
  <c r="J1557" i="1" s="1"/>
  <c r="J1555" i="1"/>
  <c r="H1555" i="1"/>
  <c r="G1555" i="1"/>
  <c r="H1553" i="1"/>
  <c r="J1553" i="1" s="1"/>
  <c r="G1553" i="1"/>
  <c r="H1551" i="1"/>
  <c r="J1551" i="1" s="1"/>
  <c r="G1551" i="1"/>
  <c r="H1549" i="1"/>
  <c r="J1549" i="1" s="1"/>
  <c r="G1549" i="1"/>
  <c r="G1548" i="1"/>
  <c r="H1548" i="1" s="1"/>
  <c r="J1548" i="1" s="1"/>
  <c r="G1546" i="1"/>
  <c r="H1546" i="1" s="1"/>
  <c r="J1546" i="1" s="1"/>
  <c r="J1544" i="1"/>
  <c r="H1544" i="1"/>
  <c r="G1544" i="1"/>
  <c r="H1542" i="1"/>
  <c r="J1542" i="1" s="1"/>
  <c r="G1542" i="1"/>
  <c r="H1540" i="1"/>
  <c r="J1540" i="1" s="1"/>
  <c r="G1540" i="1"/>
  <c r="H1538" i="1"/>
  <c r="J1538" i="1" s="1"/>
  <c r="H1537" i="1"/>
  <c r="J1537" i="1" s="1"/>
  <c r="H1536" i="1"/>
  <c r="J1536" i="1" s="1"/>
  <c r="G1536" i="1"/>
  <c r="H1534" i="1"/>
  <c r="J1534" i="1" s="1"/>
  <c r="G1534" i="1"/>
  <c r="H1532" i="1"/>
  <c r="J1532" i="1" s="1"/>
  <c r="G1532" i="1"/>
  <c r="G1530" i="1"/>
  <c r="H1530" i="1" s="1"/>
  <c r="J1530" i="1" s="1"/>
  <c r="J1528" i="1"/>
  <c r="H1528" i="1"/>
  <c r="G1528" i="1"/>
  <c r="H1521" i="1"/>
  <c r="J1521" i="1" s="1"/>
  <c r="G1521" i="1"/>
  <c r="J1519" i="1"/>
  <c r="H1519" i="1"/>
  <c r="H1518" i="1"/>
  <c r="J1518" i="1" s="1"/>
  <c r="H1517" i="1"/>
  <c r="J1517" i="1" s="1"/>
  <c r="G1517" i="1"/>
  <c r="H1515" i="1"/>
  <c r="J1515" i="1" s="1"/>
  <c r="G1515" i="1"/>
  <c r="H1514" i="1"/>
  <c r="J1514" i="1" s="1"/>
  <c r="G1514" i="1"/>
  <c r="H1512" i="1"/>
  <c r="J1512" i="1" s="1"/>
  <c r="G1512" i="1"/>
  <c r="I1510" i="1"/>
  <c r="J1510" i="1" s="1"/>
  <c r="H1508" i="1"/>
  <c r="J1506" i="1"/>
  <c r="I1506" i="1"/>
  <c r="H1504" i="1"/>
  <c r="J1504" i="1" s="1"/>
  <c r="G1504" i="1"/>
  <c r="H1502" i="1"/>
  <c r="J1502" i="1" s="1"/>
  <c r="G1502" i="1"/>
  <c r="H1501" i="1"/>
  <c r="J1501" i="1" s="1"/>
  <c r="G1501" i="1"/>
  <c r="H1499" i="1"/>
  <c r="J1499" i="1" s="1"/>
  <c r="J1498" i="1"/>
  <c r="H1498" i="1"/>
  <c r="G1498" i="1"/>
  <c r="H1497" i="1"/>
  <c r="J1497" i="1" s="1"/>
  <c r="G1497" i="1"/>
  <c r="H1496" i="1"/>
  <c r="J1496" i="1" s="1"/>
  <c r="G1496" i="1"/>
  <c r="H1494" i="1"/>
  <c r="J1494" i="1" s="1"/>
  <c r="G1494" i="1"/>
  <c r="G1493" i="1"/>
  <c r="H1493" i="1" s="1"/>
  <c r="J1493" i="1" s="1"/>
  <c r="G1491" i="1"/>
  <c r="H1491" i="1" s="1"/>
  <c r="J1491" i="1" s="1"/>
  <c r="G1489" i="1"/>
  <c r="H1489" i="1" s="1"/>
  <c r="J1489" i="1" s="1"/>
  <c r="G1482" i="1"/>
  <c r="H1482" i="1" s="1"/>
  <c r="J1482" i="1" s="1"/>
  <c r="J1481" i="1"/>
  <c r="H1481" i="1"/>
  <c r="G1481" i="1"/>
  <c r="H1479" i="1"/>
  <c r="J1479" i="1" s="1"/>
  <c r="G1479" i="1"/>
  <c r="G1478" i="1"/>
  <c r="H1478" i="1" s="1"/>
  <c r="J1478" i="1" s="1"/>
  <c r="J1476" i="1"/>
  <c r="H1476" i="1"/>
  <c r="G1475" i="1"/>
  <c r="H1475" i="1" s="1"/>
  <c r="J1475" i="1" s="1"/>
  <c r="G1473" i="1"/>
  <c r="H1473" i="1" s="1"/>
  <c r="J1473" i="1" s="1"/>
  <c r="G1471" i="1"/>
  <c r="H1471" i="1" s="1"/>
  <c r="J1471" i="1" s="1"/>
  <c r="J1469" i="1"/>
  <c r="H1469" i="1"/>
  <c r="G1469" i="1"/>
  <c r="H1467" i="1"/>
  <c r="J1467" i="1" s="1"/>
  <c r="G1467" i="1"/>
  <c r="J1466" i="1"/>
  <c r="G1466" i="1"/>
  <c r="H1466" i="1" s="1"/>
  <c r="G1465" i="1"/>
  <c r="H1465" i="1" s="1"/>
  <c r="J1465" i="1" s="1"/>
  <c r="G1463" i="1"/>
  <c r="H1463" i="1" s="1"/>
  <c r="J1463" i="1" s="1"/>
  <c r="G1462" i="1"/>
  <c r="H1462" i="1" s="1"/>
  <c r="J1462" i="1" s="1"/>
  <c r="J1460" i="1"/>
  <c r="H1460" i="1"/>
  <c r="I1458" i="1"/>
  <c r="H1458" i="1"/>
  <c r="G1456" i="1"/>
  <c r="H1456" i="1" s="1"/>
  <c r="J1456" i="1" s="1"/>
  <c r="H1454" i="1"/>
  <c r="I1454" i="1" s="1"/>
  <c r="J1454" i="1" s="1"/>
  <c r="H1452" i="1"/>
  <c r="J1452" i="1" s="1"/>
  <c r="H1450" i="1"/>
  <c r="J1450" i="1" s="1"/>
  <c r="H1449" i="1"/>
  <c r="J1449" i="1" s="1"/>
  <c r="G1449" i="1"/>
  <c r="J1421" i="1"/>
  <c r="H1421" i="1"/>
  <c r="G1421" i="1"/>
  <c r="H1420" i="1"/>
  <c r="J1420" i="1" s="1"/>
  <c r="G1420" i="1"/>
  <c r="H1419" i="1"/>
  <c r="J1419" i="1" s="1"/>
  <c r="G1419" i="1"/>
  <c r="G1417" i="1"/>
  <c r="H1417" i="1" s="1"/>
  <c r="J1417" i="1" s="1"/>
  <c r="H1415" i="1"/>
  <c r="J1415" i="1" s="1"/>
  <c r="H1413" i="1"/>
  <c r="G1411" i="1"/>
  <c r="H1411" i="1" s="1"/>
  <c r="J1411" i="1" s="1"/>
  <c r="H1404" i="1"/>
  <c r="J1404" i="1" s="1"/>
  <c r="G1404" i="1"/>
  <c r="J1403" i="1"/>
  <c r="H1403" i="1"/>
  <c r="G1403" i="1"/>
  <c r="I1401" i="1"/>
  <c r="J1401" i="1" s="1"/>
  <c r="H1401" i="1"/>
  <c r="H1399" i="1"/>
  <c r="J1399" i="1" s="1"/>
  <c r="G1399" i="1"/>
  <c r="H1397" i="1"/>
  <c r="J1397" i="1" s="1"/>
  <c r="G1397" i="1"/>
  <c r="J1395" i="1"/>
  <c r="H1395" i="1"/>
  <c r="H1394" i="1"/>
  <c r="J1394" i="1" s="1"/>
  <c r="J1392" i="1"/>
  <c r="H1392" i="1"/>
  <c r="G1392" i="1"/>
  <c r="H1390" i="1"/>
  <c r="J1390" i="1" s="1"/>
  <c r="G1390" i="1"/>
  <c r="H1388" i="1"/>
  <c r="J1388" i="1" s="1"/>
  <c r="G1387" i="1"/>
  <c r="H1387" i="1" s="1"/>
  <c r="J1387" i="1" s="1"/>
  <c r="H1386" i="1"/>
  <c r="J1386" i="1" s="1"/>
  <c r="G1386" i="1"/>
  <c r="H1385" i="1"/>
  <c r="J1385" i="1" s="1"/>
  <c r="G1385" i="1"/>
  <c r="H1383" i="1"/>
  <c r="J1383" i="1" s="1"/>
  <c r="G1383" i="1"/>
  <c r="I1381" i="1"/>
  <c r="J1381" i="1" s="1"/>
  <c r="J1379" i="1"/>
  <c r="I1379" i="1"/>
  <c r="H1377" i="1"/>
  <c r="J1377" i="1" s="1"/>
  <c r="H1376" i="1"/>
  <c r="J1376" i="1" s="1"/>
  <c r="G1375" i="1"/>
  <c r="H1375" i="1" s="1"/>
  <c r="J1375" i="1" s="1"/>
  <c r="H1374" i="1"/>
  <c r="J1374" i="1" s="1"/>
  <c r="H1372" i="1"/>
  <c r="J1372" i="1" s="1"/>
  <c r="G1372" i="1"/>
  <c r="H1364" i="1"/>
  <c r="J1364" i="1" s="1"/>
  <c r="H1363" i="1"/>
  <c r="J1363" i="1" s="1"/>
  <c r="G1362" i="1"/>
  <c r="H1362" i="1" s="1"/>
  <c r="J1362" i="1" s="1"/>
  <c r="H1360" i="1"/>
  <c r="J1360" i="1" s="1"/>
  <c r="J1358" i="1"/>
  <c r="H1358" i="1"/>
  <c r="I1356" i="1"/>
  <c r="J1356" i="1" s="1"/>
  <c r="I1354" i="1"/>
  <c r="J1354" i="1" s="1"/>
  <c r="G1352" i="1"/>
  <c r="H1352" i="1" s="1"/>
  <c r="J1352" i="1" s="1"/>
  <c r="G1350" i="1"/>
  <c r="H1350" i="1" s="1"/>
  <c r="J1350" i="1" s="1"/>
  <c r="H1348" i="1"/>
  <c r="J1348" i="1" s="1"/>
  <c r="G1347" i="1"/>
  <c r="H1347" i="1" s="1"/>
  <c r="J1347" i="1" s="1"/>
  <c r="J1345" i="1"/>
  <c r="I1345" i="1"/>
  <c r="G1343" i="1"/>
  <c r="H1343" i="1" s="1"/>
  <c r="J1343" i="1" s="1"/>
  <c r="J1341" i="1"/>
  <c r="H1341" i="1"/>
  <c r="H1340" i="1"/>
  <c r="J1340" i="1" s="1"/>
  <c r="J1338" i="1"/>
  <c r="H1338" i="1"/>
  <c r="H1337" i="1"/>
  <c r="J1337" i="1" s="1"/>
  <c r="J1335" i="1"/>
  <c r="H1335" i="1"/>
  <c r="G1334" i="1"/>
  <c r="H1334" i="1" s="1"/>
  <c r="J1334" i="1" s="1"/>
  <c r="G1333" i="1"/>
  <c r="H1333" i="1" s="1"/>
  <c r="J1333" i="1" s="1"/>
  <c r="G1325" i="1"/>
  <c r="H1325" i="1" s="1"/>
  <c r="J1325" i="1" s="1"/>
  <c r="G1323" i="1"/>
  <c r="H1323" i="1" s="1"/>
  <c r="J1323" i="1" s="1"/>
  <c r="G1322" i="1"/>
  <c r="H1322" i="1" s="1"/>
  <c r="J1322" i="1" s="1"/>
  <c r="H1320" i="1"/>
  <c r="J1320" i="1" s="1"/>
  <c r="G1320" i="1"/>
  <c r="H1318" i="1"/>
  <c r="J1318" i="1" s="1"/>
  <c r="H1316" i="1"/>
  <c r="J1316" i="1" s="1"/>
  <c r="H1315" i="1"/>
  <c r="J1315" i="1" s="1"/>
  <c r="G1315" i="1"/>
  <c r="J1313" i="1"/>
  <c r="H1313" i="1"/>
  <c r="G1313" i="1"/>
  <c r="J1311" i="1"/>
  <c r="I1311" i="1"/>
  <c r="I1309" i="1"/>
  <c r="J1309" i="1" s="1"/>
  <c r="I1307" i="1"/>
  <c r="J1307" i="1" s="1"/>
  <c r="G1305" i="1"/>
  <c r="H1305" i="1" s="1"/>
  <c r="J1305" i="1" s="1"/>
  <c r="J1304" i="1"/>
  <c r="H1304" i="1"/>
  <c r="G1304" i="1"/>
  <c r="H1302" i="1"/>
  <c r="J1302" i="1" s="1"/>
  <c r="G1301" i="1"/>
  <c r="H1301" i="1" s="1"/>
  <c r="J1301" i="1" s="1"/>
  <c r="H1299" i="1"/>
  <c r="J1299" i="1" s="1"/>
  <c r="G1299" i="1"/>
  <c r="H1297" i="1"/>
  <c r="J1297" i="1" s="1"/>
  <c r="G1296" i="1"/>
  <c r="H1296" i="1" s="1"/>
  <c r="J1296" i="1" s="1"/>
  <c r="I1294" i="1"/>
  <c r="J1294" i="1" s="1"/>
  <c r="J1286" i="1"/>
  <c r="I1286" i="1"/>
  <c r="H1284" i="1"/>
  <c r="J1284" i="1" s="1"/>
  <c r="G1284" i="1"/>
  <c r="G1283" i="1"/>
  <c r="H1283" i="1" s="1"/>
  <c r="J1283" i="1" s="1"/>
  <c r="G1282" i="1"/>
  <c r="H1282" i="1" s="1"/>
  <c r="J1282" i="1" s="1"/>
  <c r="H1280" i="1"/>
  <c r="J1280" i="1" s="1"/>
  <c r="G1280" i="1"/>
  <c r="I1278" i="1"/>
  <c r="J1278" i="1" s="1"/>
  <c r="I1276" i="1"/>
  <c r="J1276" i="1" s="1"/>
  <c r="J1274" i="1"/>
  <c r="H1274" i="1"/>
  <c r="G1274" i="1"/>
  <c r="H1272" i="1"/>
  <c r="J1272" i="1" s="1"/>
  <c r="H1271" i="1"/>
  <c r="J1271" i="1" s="1"/>
  <c r="G1270" i="1"/>
  <c r="H1270" i="1" s="1"/>
  <c r="J1270" i="1" s="1"/>
  <c r="J1268" i="1"/>
  <c r="H1268" i="1"/>
  <c r="G1268" i="1"/>
  <c r="J1267" i="1"/>
  <c r="H1267" i="1"/>
  <c r="G1267" i="1"/>
  <c r="H1266" i="1"/>
  <c r="J1266" i="1" s="1"/>
  <c r="G1266" i="1"/>
  <c r="H1265" i="1"/>
  <c r="J1265" i="1" s="1"/>
  <c r="G1265" i="1"/>
  <c r="J1263" i="1"/>
  <c r="H1263" i="1"/>
  <c r="J1262" i="1"/>
  <c r="H1262" i="1"/>
  <c r="G1262" i="1"/>
  <c r="H1261" i="1"/>
  <c r="J1261" i="1" s="1"/>
  <c r="G1261" i="1"/>
  <c r="I1259" i="1"/>
  <c r="J1259" i="1" s="1"/>
  <c r="J1257" i="1"/>
  <c r="H1257" i="1"/>
  <c r="G1257" i="1"/>
  <c r="G1255" i="1"/>
  <c r="H1255" i="1" s="1"/>
  <c r="J1255" i="1" s="1"/>
  <c r="G1254" i="1"/>
  <c r="H1254" i="1" s="1"/>
  <c r="J1254" i="1" s="1"/>
  <c r="N1244" i="1"/>
  <c r="N1245" i="1" s="1"/>
  <c r="N1246" i="1" s="1"/>
  <c r="N1247" i="1" s="1"/>
  <c r="N1248" i="1" s="1"/>
  <c r="N1253" i="1" s="1"/>
  <c r="N1254" i="1" s="1"/>
  <c r="N1255" i="1" s="1"/>
  <c r="N1256" i="1" s="1"/>
  <c r="N1257" i="1" s="1"/>
  <c r="N1258" i="1" s="1"/>
  <c r="N1259" i="1" s="1"/>
  <c r="N1260" i="1" s="1"/>
  <c r="N1261" i="1" s="1"/>
  <c r="N1262" i="1" s="1"/>
  <c r="N1263" i="1" s="1"/>
  <c r="N1264" i="1" s="1"/>
  <c r="N1265" i="1" s="1"/>
  <c r="N1266" i="1" s="1"/>
  <c r="N1267" i="1" s="1"/>
  <c r="N1268" i="1" s="1"/>
  <c r="N1269" i="1" s="1"/>
  <c r="N1270" i="1" s="1"/>
  <c r="N1271" i="1" s="1"/>
  <c r="N1272" i="1" s="1"/>
  <c r="N1273" i="1" s="1"/>
  <c r="N1274" i="1" s="1"/>
  <c r="N1275" i="1" s="1"/>
  <c r="N1276" i="1" s="1"/>
  <c r="N1277" i="1" s="1"/>
  <c r="N1278" i="1" s="1"/>
  <c r="N1279" i="1" s="1"/>
  <c r="N1280" i="1" s="1"/>
  <c r="N1281" i="1" s="1"/>
  <c r="N1282" i="1" s="1"/>
  <c r="N1283" i="1" s="1"/>
  <c r="N1284" i="1" s="1"/>
  <c r="N1285" i="1" s="1"/>
  <c r="N1286" i="1" s="1"/>
  <c r="N1287" i="1" s="1"/>
  <c r="N1292" i="1" s="1"/>
  <c r="N1293" i="1" s="1"/>
  <c r="N1294" i="1" s="1"/>
  <c r="N1295" i="1" s="1"/>
  <c r="N1296" i="1" s="1"/>
  <c r="N1297" i="1" s="1"/>
  <c r="N1298" i="1" s="1"/>
  <c r="N1299" i="1" s="1"/>
  <c r="N1300" i="1" s="1"/>
  <c r="N1301" i="1" s="1"/>
  <c r="N1302" i="1" s="1"/>
  <c r="N1303" i="1" s="1"/>
  <c r="N1304" i="1" s="1"/>
  <c r="N1305" i="1" s="1"/>
  <c r="N1306" i="1" s="1"/>
  <c r="N1307" i="1" s="1"/>
  <c r="N1308" i="1" s="1"/>
  <c r="N1309" i="1" s="1"/>
  <c r="N1310" i="1" s="1"/>
  <c r="N1311" i="1" s="1"/>
  <c r="N1312" i="1" s="1"/>
  <c r="N1313" i="1" s="1"/>
  <c r="N1314" i="1" s="1"/>
  <c r="N1315" i="1" s="1"/>
  <c r="N1316" i="1" s="1"/>
  <c r="N1317" i="1" s="1"/>
  <c r="N1318" i="1" s="1"/>
  <c r="N1319" i="1" s="1"/>
  <c r="N1320" i="1" s="1"/>
  <c r="N1321" i="1" s="1"/>
  <c r="N1322" i="1" s="1"/>
  <c r="N1323" i="1" s="1"/>
  <c r="N1324" i="1" s="1"/>
  <c r="N1325" i="1" s="1"/>
  <c r="N1326" i="1" s="1"/>
  <c r="N1331" i="1" s="1"/>
  <c r="N1332" i="1" s="1"/>
  <c r="N1333" i="1" s="1"/>
  <c r="N1334" i="1" s="1"/>
  <c r="N1335" i="1" s="1"/>
  <c r="N1336" i="1" s="1"/>
  <c r="N1337" i="1" s="1"/>
  <c r="N1338" i="1" s="1"/>
  <c r="N1339" i="1" s="1"/>
  <c r="N1340" i="1" s="1"/>
  <c r="N1341" i="1" s="1"/>
  <c r="N1342" i="1" s="1"/>
  <c r="N1343" i="1" s="1"/>
  <c r="N1344" i="1" s="1"/>
  <c r="N1345" i="1" s="1"/>
  <c r="N1346" i="1" s="1"/>
  <c r="N1347" i="1" s="1"/>
  <c r="N1348" i="1" s="1"/>
  <c r="N1349" i="1" s="1"/>
  <c r="N1350" i="1" s="1"/>
  <c r="N1351" i="1" s="1"/>
  <c r="N1352" i="1" s="1"/>
  <c r="N1353" i="1" s="1"/>
  <c r="N1354" i="1" s="1"/>
  <c r="N1355" i="1" s="1"/>
  <c r="N1356" i="1" s="1"/>
  <c r="N1357" i="1" s="1"/>
  <c r="N1358" i="1" s="1"/>
  <c r="N1359" i="1" s="1"/>
  <c r="N1360" i="1" s="1"/>
  <c r="N1361" i="1" s="1"/>
  <c r="N1362" i="1" s="1"/>
  <c r="N1363" i="1" s="1"/>
  <c r="N1364" i="1" s="1"/>
  <c r="N1365" i="1" s="1"/>
  <c r="N1370" i="1" s="1"/>
  <c r="N1371" i="1" s="1"/>
  <c r="N1372" i="1" s="1"/>
  <c r="N1373" i="1" s="1"/>
  <c r="N1374" i="1" s="1"/>
  <c r="N1375" i="1" s="1"/>
  <c r="N1376" i="1" s="1"/>
  <c r="N1377" i="1" s="1"/>
  <c r="N1378" i="1" s="1"/>
  <c r="N1379" i="1" s="1"/>
  <c r="N1380" i="1" s="1"/>
  <c r="N1381" i="1" s="1"/>
  <c r="N1382" i="1" s="1"/>
  <c r="N1383" i="1" s="1"/>
  <c r="N1384" i="1" s="1"/>
  <c r="N1385" i="1" s="1"/>
  <c r="N1386" i="1" s="1"/>
  <c r="N1387" i="1" s="1"/>
  <c r="N1388" i="1" s="1"/>
  <c r="N1389" i="1" s="1"/>
  <c r="N1390" i="1" s="1"/>
  <c r="N1391" i="1" s="1"/>
  <c r="N1392" i="1" s="1"/>
  <c r="N1393" i="1" s="1"/>
  <c r="N1394" i="1" s="1"/>
  <c r="N1395" i="1" s="1"/>
  <c r="N1396" i="1" s="1"/>
  <c r="N1397" i="1" s="1"/>
  <c r="N1398" i="1" s="1"/>
  <c r="N1399" i="1" s="1"/>
  <c r="N1400" i="1" s="1"/>
  <c r="N1401" i="1" s="1"/>
  <c r="N1402" i="1" s="1"/>
  <c r="N1403" i="1" s="1"/>
  <c r="N1404" i="1" s="1"/>
  <c r="N1409" i="1" s="1"/>
  <c r="N1410" i="1" s="1"/>
  <c r="N1411" i="1" s="1"/>
  <c r="N1412" i="1" s="1"/>
  <c r="J1241" i="1"/>
  <c r="I1241" i="1"/>
  <c r="J1239" i="1"/>
  <c r="I1239" i="1"/>
  <c r="H1237" i="1"/>
  <c r="J1237" i="1" s="1"/>
  <c r="G1237" i="1"/>
  <c r="G1235" i="1"/>
  <c r="H1235" i="1" s="1"/>
  <c r="J1235" i="1" s="1"/>
  <c r="G1233" i="1"/>
  <c r="H1233" i="1" s="1"/>
  <c r="J1233" i="1" s="1"/>
  <c r="G1231" i="1"/>
  <c r="H1231" i="1" s="1"/>
  <c r="J1231" i="1" s="1"/>
  <c r="H1229" i="1"/>
  <c r="J1229" i="1" s="1"/>
  <c r="G1229" i="1"/>
  <c r="G1228" i="1"/>
  <c r="H1228" i="1" s="1"/>
  <c r="J1228" i="1" s="1"/>
  <c r="J1227" i="1"/>
  <c r="H1227" i="1"/>
  <c r="G1227" i="1"/>
  <c r="J1226" i="1"/>
  <c r="H1226" i="1"/>
  <c r="G1226" i="1"/>
  <c r="H1225" i="1"/>
  <c r="J1225" i="1" s="1"/>
  <c r="G1225" i="1"/>
  <c r="G1224" i="1"/>
  <c r="H1224" i="1" s="1"/>
  <c r="J1224" i="1" s="1"/>
  <c r="G1222" i="1"/>
  <c r="H1222" i="1" s="1"/>
  <c r="J1222" i="1" s="1"/>
  <c r="H1220" i="1"/>
  <c r="J1220" i="1" s="1"/>
  <c r="G1220" i="1"/>
  <c r="H1218" i="1"/>
  <c r="J1218" i="1" s="1"/>
  <c r="G1218" i="1"/>
  <c r="J1216" i="1"/>
  <c r="H1216" i="1"/>
  <c r="G1216" i="1"/>
  <c r="J1208" i="1"/>
  <c r="G1208" i="1"/>
  <c r="H1208" i="1" s="1"/>
  <c r="H1206" i="1"/>
  <c r="I1206" i="1" s="1"/>
  <c r="J1206" i="1" s="1"/>
  <c r="J1204" i="1"/>
  <c r="I1204" i="1"/>
  <c r="J1203" i="1"/>
  <c r="I1203" i="1"/>
  <c r="J1202" i="1"/>
  <c r="I1202" i="1"/>
  <c r="H1200" i="1"/>
  <c r="J1200" i="1" s="1"/>
  <c r="G1200" i="1"/>
  <c r="J1198" i="1"/>
  <c r="H1198" i="1"/>
  <c r="H1197" i="1"/>
  <c r="J1197" i="1" s="1"/>
  <c r="G1197" i="1"/>
  <c r="J1196" i="1"/>
  <c r="H1196" i="1"/>
  <c r="G1195" i="1"/>
  <c r="H1195" i="1" s="1"/>
  <c r="J1195" i="1" s="1"/>
  <c r="H1193" i="1"/>
  <c r="J1193" i="1" s="1"/>
  <c r="G1193" i="1"/>
  <c r="H1192" i="1"/>
  <c r="J1192" i="1" s="1"/>
  <c r="G1192" i="1"/>
  <c r="J1191" i="1"/>
  <c r="H1191" i="1"/>
  <c r="G1191" i="1"/>
  <c r="J1189" i="1"/>
  <c r="H1189" i="1"/>
  <c r="J1187" i="1"/>
  <c r="H1187" i="1"/>
  <c r="G1187" i="1"/>
  <c r="J1185" i="1"/>
  <c r="H1185" i="1"/>
  <c r="J1184" i="1"/>
  <c r="H1184" i="1"/>
  <c r="H1183" i="1"/>
  <c r="J1183" i="1" s="1"/>
  <c r="H1181" i="1"/>
  <c r="J1181" i="1" s="1"/>
  <c r="J1179" i="1"/>
  <c r="H1179" i="1"/>
  <c r="G1179" i="1"/>
  <c r="H1177" i="1"/>
  <c r="J1177" i="1" s="1"/>
  <c r="G1177" i="1"/>
  <c r="H1169" i="1"/>
  <c r="J1169" i="1" s="1"/>
  <c r="G1169" i="1"/>
  <c r="J1168" i="1"/>
  <c r="H1168" i="1"/>
  <c r="G1168" i="1"/>
  <c r="H1166" i="1"/>
  <c r="J1166" i="1" s="1"/>
  <c r="G1166" i="1"/>
  <c r="G1164" i="1"/>
  <c r="H1164" i="1" s="1"/>
  <c r="J1164" i="1" s="1"/>
  <c r="G1163" i="1"/>
  <c r="H1163" i="1" s="1"/>
  <c r="J1163" i="1" s="1"/>
  <c r="G1162" i="1"/>
  <c r="H1162" i="1" s="1"/>
  <c r="J1162" i="1" s="1"/>
  <c r="G1160" i="1"/>
  <c r="H1160" i="1" s="1"/>
  <c r="J1160" i="1" s="1"/>
  <c r="G1159" i="1"/>
  <c r="H1159" i="1" s="1"/>
  <c r="J1159" i="1" s="1"/>
  <c r="H1157" i="1"/>
  <c r="J1157" i="1" s="1"/>
  <c r="J1155" i="1"/>
  <c r="I1155" i="1"/>
  <c r="J1154" i="1"/>
  <c r="I1154" i="1"/>
  <c r="I1153" i="1"/>
  <c r="J1153" i="1" s="1"/>
  <c r="J1151" i="1"/>
  <c r="H1151" i="1"/>
  <c r="J1150" i="1"/>
  <c r="H1150" i="1"/>
  <c r="G1150" i="1"/>
  <c r="J1148" i="1"/>
  <c r="H1148" i="1"/>
  <c r="J1147" i="1"/>
  <c r="H1147" i="1"/>
  <c r="G1147" i="1"/>
  <c r="G1145" i="1"/>
  <c r="H1145" i="1" s="1"/>
  <c r="J1145" i="1" s="1"/>
  <c r="G1144" i="1"/>
  <c r="H1144" i="1" s="1"/>
  <c r="J1144" i="1" s="1"/>
  <c r="I1142" i="1"/>
  <c r="J1142" i="1" s="1"/>
  <c r="H1140" i="1"/>
  <c r="J1140" i="1" s="1"/>
  <c r="G1139" i="1"/>
  <c r="H1139" i="1" s="1"/>
  <c r="J1139" i="1" s="1"/>
  <c r="G1138" i="1"/>
  <c r="H1138" i="1" s="1"/>
  <c r="J1138" i="1" s="1"/>
  <c r="H1129" i="1"/>
  <c r="J1129" i="1" s="1"/>
  <c r="G1127" i="1"/>
  <c r="H1127" i="1" s="1"/>
  <c r="J1127" i="1" s="1"/>
  <c r="H1125" i="1"/>
  <c r="J1125" i="1" s="1"/>
  <c r="G1125" i="1"/>
  <c r="I1123" i="1"/>
  <c r="J1123" i="1" s="1"/>
  <c r="H1121" i="1"/>
  <c r="J1121" i="1" s="1"/>
  <c r="G1121" i="1"/>
  <c r="J1119" i="1"/>
  <c r="H1119" i="1"/>
  <c r="G1119" i="1"/>
  <c r="H1118" i="1"/>
  <c r="J1118" i="1" s="1"/>
  <c r="G1118" i="1"/>
  <c r="H1116" i="1"/>
  <c r="J1116" i="1" s="1"/>
  <c r="G1116" i="1"/>
  <c r="H1114" i="1"/>
  <c r="J1114" i="1" s="1"/>
  <c r="G1114" i="1"/>
  <c r="H1113" i="1"/>
  <c r="J1113" i="1" s="1"/>
  <c r="G1113" i="1"/>
  <c r="G1111" i="1"/>
  <c r="H1111" i="1" s="1"/>
  <c r="J1111" i="1" s="1"/>
  <c r="H1110" i="1"/>
  <c r="J1110" i="1" s="1"/>
  <c r="G1110" i="1"/>
  <c r="H1108" i="1"/>
  <c r="J1108" i="1" s="1"/>
  <c r="G1108" i="1"/>
  <c r="H1107" i="1"/>
  <c r="J1107" i="1" s="1"/>
  <c r="G1107" i="1"/>
  <c r="H1106" i="1"/>
  <c r="J1106" i="1" s="1"/>
  <c r="G1106" i="1"/>
  <c r="I1104" i="1"/>
  <c r="J1104" i="1" s="1"/>
  <c r="I1103" i="1"/>
  <c r="J1103" i="1" s="1"/>
  <c r="H1101" i="1"/>
  <c r="J1101" i="1" s="1"/>
  <c r="G1101" i="1"/>
  <c r="J1099" i="1"/>
  <c r="I1099" i="1"/>
  <c r="I1091" i="1"/>
  <c r="J1091" i="1" s="1"/>
  <c r="I1090" i="1"/>
  <c r="J1090" i="1" s="1"/>
  <c r="G1088" i="1"/>
  <c r="H1088" i="1" s="1"/>
  <c r="J1088" i="1" s="1"/>
  <c r="H1087" i="1"/>
  <c r="J1087" i="1" s="1"/>
  <c r="G1086" i="1"/>
  <c r="H1086" i="1" s="1"/>
  <c r="J1086" i="1" s="1"/>
  <c r="J1085" i="1"/>
  <c r="H1085" i="1"/>
  <c r="H1084" i="1"/>
  <c r="J1084" i="1" s="1"/>
  <c r="G1084" i="1"/>
  <c r="G1082" i="1"/>
  <c r="H1082" i="1" s="1"/>
  <c r="J1082" i="1" s="1"/>
  <c r="H1080" i="1"/>
  <c r="J1080" i="1" s="1"/>
  <c r="G1080" i="1"/>
  <c r="J1078" i="1"/>
  <c r="H1078" i="1"/>
  <c r="G1078" i="1"/>
  <c r="H1077" i="1"/>
  <c r="J1077" i="1" s="1"/>
  <c r="G1077" i="1"/>
  <c r="J1075" i="1"/>
  <c r="H1075" i="1"/>
  <c r="G1074" i="1"/>
  <c r="H1074" i="1" s="1"/>
  <c r="J1074" i="1" s="1"/>
  <c r="J1073" i="1"/>
  <c r="H1073" i="1"/>
  <c r="G1073" i="1"/>
  <c r="H1071" i="1"/>
  <c r="J1071" i="1" s="1"/>
  <c r="H1070" i="1"/>
  <c r="J1070" i="1" s="1"/>
  <c r="G1070" i="1"/>
  <c r="H1068" i="1"/>
  <c r="J1068" i="1" s="1"/>
  <c r="G1068" i="1"/>
  <c r="G1066" i="1"/>
  <c r="H1066" i="1" s="1"/>
  <c r="J1066" i="1" s="1"/>
  <c r="G1064" i="1"/>
  <c r="H1064" i="1" s="1"/>
  <c r="J1064" i="1" s="1"/>
  <c r="H1062" i="1"/>
  <c r="J1062" i="1" s="1"/>
  <c r="J1060" i="1"/>
  <c r="I1060" i="1"/>
  <c r="H1053" i="1"/>
  <c r="J1053" i="1" s="1"/>
  <c r="H1052" i="1"/>
  <c r="J1052" i="1" s="1"/>
  <c r="G1051" i="1"/>
  <c r="H1051" i="1" s="1"/>
  <c r="J1051" i="1" s="1"/>
  <c r="H1050" i="1"/>
  <c r="J1050" i="1" s="1"/>
  <c r="G1050" i="1"/>
  <c r="H1048" i="1"/>
  <c r="J1048" i="1" s="1"/>
  <c r="G1048" i="1"/>
  <c r="J1046" i="1"/>
  <c r="G1046" i="1"/>
  <c r="H1046" i="1" s="1"/>
  <c r="G1044" i="1"/>
  <c r="H1044" i="1" s="1"/>
  <c r="J1044" i="1" s="1"/>
  <c r="G1042" i="1"/>
  <c r="H1042" i="1" s="1"/>
  <c r="J1042" i="1" s="1"/>
  <c r="G1041" i="1"/>
  <c r="H1041" i="1" s="1"/>
  <c r="J1041" i="1" s="1"/>
  <c r="H1039" i="1"/>
  <c r="J1039" i="1" s="1"/>
  <c r="J1037" i="1"/>
  <c r="H1037" i="1"/>
  <c r="H1035" i="1"/>
  <c r="J1035" i="1" s="1"/>
  <c r="G1034" i="1"/>
  <c r="H1034" i="1" s="1"/>
  <c r="J1034" i="1" s="1"/>
  <c r="G1032" i="1"/>
  <c r="H1032" i="1" s="1"/>
  <c r="J1032" i="1" s="1"/>
  <c r="J1030" i="1"/>
  <c r="H1030" i="1"/>
  <c r="G1030" i="1"/>
  <c r="H1028" i="1"/>
  <c r="J1028" i="1" s="1"/>
  <c r="J1027" i="1"/>
  <c r="H1027" i="1"/>
  <c r="H1026" i="1"/>
  <c r="J1026" i="1" s="1"/>
  <c r="G1026" i="1"/>
  <c r="J1024" i="1"/>
  <c r="H1024" i="1"/>
  <c r="G1024" i="1"/>
  <c r="H1022" i="1"/>
  <c r="J1022" i="1" s="1"/>
  <c r="G1022" i="1"/>
  <c r="H1020" i="1"/>
  <c r="J1020" i="1" s="1"/>
  <c r="N1020" i="1" s="1"/>
  <c r="N1021" i="1" s="1"/>
  <c r="N1022" i="1" s="1"/>
  <c r="N1023" i="1" s="1"/>
  <c r="N1024" i="1" s="1"/>
  <c r="N1025" i="1" s="1"/>
  <c r="N1026" i="1" s="1"/>
  <c r="N1027" i="1" s="1"/>
  <c r="N1028" i="1" s="1"/>
  <c r="N1029" i="1" s="1"/>
  <c r="N1030" i="1" s="1"/>
  <c r="N1031" i="1" s="1"/>
  <c r="N1032" i="1" s="1"/>
  <c r="N1033" i="1" s="1"/>
  <c r="N1034" i="1" s="1"/>
  <c r="N1035" i="1" s="1"/>
  <c r="N1036" i="1" s="1"/>
  <c r="N1037" i="1" s="1"/>
  <c r="N1038" i="1" s="1"/>
  <c r="N1039" i="1" s="1"/>
  <c r="N1040" i="1" s="1"/>
  <c r="N1041" i="1" s="1"/>
  <c r="N1042" i="1" s="1"/>
  <c r="N1043" i="1" s="1"/>
  <c r="N1044" i="1" s="1"/>
  <c r="N1045" i="1" s="1"/>
  <c r="N1046" i="1" s="1"/>
  <c r="N1047" i="1" s="1"/>
  <c r="N1048" i="1" s="1"/>
  <c r="N1049" i="1" s="1"/>
  <c r="N1050" i="1" s="1"/>
  <c r="N1051" i="1" s="1"/>
  <c r="N1052" i="1" s="1"/>
  <c r="N1053" i="1" s="1"/>
  <c r="N1058" i="1" s="1"/>
  <c r="N1059" i="1" s="1"/>
  <c r="N1060" i="1" s="1"/>
  <c r="N1061" i="1" s="1"/>
  <c r="N1062" i="1" s="1"/>
  <c r="N1063" i="1" s="1"/>
  <c r="N1064" i="1" s="1"/>
  <c r="N1065" i="1" s="1"/>
  <c r="N1066" i="1" s="1"/>
  <c r="N1067" i="1" s="1"/>
  <c r="N1068" i="1" s="1"/>
  <c r="N1069" i="1" s="1"/>
  <c r="N1070" i="1" s="1"/>
  <c r="N1071" i="1" s="1"/>
  <c r="N1072" i="1" s="1"/>
  <c r="N1073" i="1" s="1"/>
  <c r="N1074" i="1" s="1"/>
  <c r="N1075" i="1" s="1"/>
  <c r="N1076" i="1" s="1"/>
  <c r="N1077" i="1" s="1"/>
  <c r="N1078" i="1" s="1"/>
  <c r="N1079" i="1" s="1"/>
  <c r="N1080" i="1" s="1"/>
  <c r="N1081" i="1" s="1"/>
  <c r="N1082" i="1" s="1"/>
  <c r="N1083" i="1" s="1"/>
  <c r="N1084" i="1" s="1"/>
  <c r="N1085" i="1" s="1"/>
  <c r="N1086" i="1" s="1"/>
  <c r="N1087" i="1" s="1"/>
  <c r="N1088" i="1" s="1"/>
  <c r="N1089" i="1" s="1"/>
  <c r="N1090" i="1" s="1"/>
  <c r="N1091" i="1" s="1"/>
  <c r="N1092" i="1" s="1"/>
  <c r="N1097" i="1" s="1"/>
  <c r="N1098" i="1" s="1"/>
  <c r="N1099" i="1" s="1"/>
  <c r="N1100" i="1" s="1"/>
  <c r="N1101" i="1" s="1"/>
  <c r="N1102" i="1" s="1"/>
  <c r="N1103" i="1" s="1"/>
  <c r="N1104" i="1" s="1"/>
  <c r="N1105" i="1" s="1"/>
  <c r="N1106" i="1" s="1"/>
  <c r="N1107" i="1" s="1"/>
  <c r="N1108" i="1" s="1"/>
  <c r="N1109" i="1" s="1"/>
  <c r="N1110" i="1" s="1"/>
  <c r="N1111" i="1" s="1"/>
  <c r="N1112" i="1" s="1"/>
  <c r="N1113" i="1" s="1"/>
  <c r="N1114" i="1" s="1"/>
  <c r="N1115" i="1" s="1"/>
  <c r="N1116" i="1" s="1"/>
  <c r="N1117" i="1" s="1"/>
  <c r="N1118" i="1" s="1"/>
  <c r="N1119" i="1" s="1"/>
  <c r="N1120" i="1" s="1"/>
  <c r="N1121" i="1" s="1"/>
  <c r="N1122" i="1" s="1"/>
  <c r="N1123" i="1" s="1"/>
  <c r="N1124" i="1" s="1"/>
  <c r="N1125" i="1" s="1"/>
  <c r="N1126" i="1" s="1"/>
  <c r="N1127" i="1" s="1"/>
  <c r="N1128" i="1" s="1"/>
  <c r="N1129" i="1" s="1"/>
  <c r="N1130" i="1" s="1"/>
  <c r="N1131" i="1" s="1"/>
  <c r="N1136" i="1" s="1"/>
  <c r="N1137" i="1" s="1"/>
  <c r="N1138" i="1" s="1"/>
  <c r="N1139" i="1" s="1"/>
  <c r="N1140" i="1" s="1"/>
  <c r="N1141" i="1" s="1"/>
  <c r="N1142" i="1" s="1"/>
  <c r="N1143" i="1" s="1"/>
  <c r="N1144" i="1" s="1"/>
  <c r="N1145" i="1" s="1"/>
  <c r="N1146" i="1" s="1"/>
  <c r="N1147" i="1" s="1"/>
  <c r="N1148" i="1" s="1"/>
  <c r="N1149" i="1" s="1"/>
  <c r="N1150" i="1" s="1"/>
  <c r="N1151" i="1" s="1"/>
  <c r="N1152" i="1" s="1"/>
  <c r="N1153" i="1" s="1"/>
  <c r="N1154" i="1" s="1"/>
  <c r="N1155" i="1" s="1"/>
  <c r="N1156" i="1" s="1"/>
  <c r="N1157" i="1" s="1"/>
  <c r="N1158" i="1" s="1"/>
  <c r="N1159" i="1" s="1"/>
  <c r="N1160" i="1" s="1"/>
  <c r="N1161" i="1" s="1"/>
  <c r="N1162" i="1" s="1"/>
  <c r="N1163" i="1" s="1"/>
  <c r="N1164" i="1" s="1"/>
  <c r="N1165" i="1" s="1"/>
  <c r="N1166" i="1" s="1"/>
  <c r="N1167" i="1" s="1"/>
  <c r="N1168" i="1" s="1"/>
  <c r="N1169" i="1" s="1"/>
  <c r="N1170" i="1" s="1"/>
  <c r="N1175" i="1" s="1"/>
  <c r="N1176" i="1" s="1"/>
  <c r="N1177" i="1" s="1"/>
  <c r="N1178" i="1" s="1"/>
  <c r="N1179" i="1" s="1"/>
  <c r="N1180" i="1" s="1"/>
  <c r="N1181" i="1" s="1"/>
  <c r="N1182" i="1" s="1"/>
  <c r="N1183" i="1" s="1"/>
  <c r="N1184" i="1" s="1"/>
  <c r="N1185" i="1" s="1"/>
  <c r="N1186" i="1" s="1"/>
  <c r="N1187" i="1" s="1"/>
  <c r="N1188" i="1" s="1"/>
  <c r="N1189" i="1" s="1"/>
  <c r="N1190" i="1" s="1"/>
  <c r="N1191" i="1" s="1"/>
  <c r="N1192" i="1" s="1"/>
  <c r="N1193" i="1" s="1"/>
  <c r="N1194" i="1" s="1"/>
  <c r="N1195" i="1" s="1"/>
  <c r="N1196" i="1" s="1"/>
  <c r="N1197" i="1" s="1"/>
  <c r="N1198" i="1" s="1"/>
  <c r="N1199" i="1" s="1"/>
  <c r="N1200" i="1" s="1"/>
  <c r="N1201" i="1" s="1"/>
  <c r="N1202" i="1" s="1"/>
  <c r="N1203" i="1" s="1"/>
  <c r="N1204" i="1" s="1"/>
  <c r="N1205" i="1" s="1"/>
  <c r="N1206" i="1" s="1"/>
  <c r="N1207" i="1" s="1"/>
  <c r="N1208" i="1" s="1"/>
  <c r="N1209" i="1" s="1"/>
  <c r="N1214" i="1" s="1"/>
  <c r="N1215" i="1" s="1"/>
  <c r="N1216" i="1" s="1"/>
  <c r="N1217" i="1" s="1"/>
  <c r="N1218" i="1" s="1"/>
  <c r="N1219" i="1" s="1"/>
  <c r="N1220" i="1" s="1"/>
  <c r="N1221" i="1" s="1"/>
  <c r="N1222" i="1" s="1"/>
  <c r="N1223" i="1" s="1"/>
  <c r="N1224" i="1" s="1"/>
  <c r="N1225" i="1" s="1"/>
  <c r="N1226" i="1" s="1"/>
  <c r="N1227" i="1" s="1"/>
  <c r="N1228" i="1" s="1"/>
  <c r="N1229" i="1" s="1"/>
  <c r="N1230" i="1" s="1"/>
  <c r="N1231" i="1" s="1"/>
  <c r="N1232" i="1" s="1"/>
  <c r="N1233" i="1" s="1"/>
  <c r="N1234" i="1" s="1"/>
  <c r="N1235" i="1" s="1"/>
  <c r="N1236" i="1" s="1"/>
  <c r="N1237" i="1" s="1"/>
  <c r="N1238" i="1" s="1"/>
  <c r="N1239" i="1" s="1"/>
  <c r="N1240" i="1" s="1"/>
  <c r="N1241" i="1" s="1"/>
  <c r="N1242" i="1" s="1"/>
  <c r="G1020" i="1"/>
  <c r="N1014" i="1"/>
  <c r="J1011" i="1"/>
  <c r="I1011" i="1"/>
  <c r="I1009" i="1"/>
  <c r="J1009" i="1" s="1"/>
  <c r="J1007" i="1"/>
  <c r="H1007" i="1"/>
  <c r="G1007" i="1"/>
  <c r="H1005" i="1"/>
  <c r="J1005" i="1" s="1"/>
  <c r="H1004" i="1"/>
  <c r="J1004" i="1" s="1"/>
  <c r="G1004" i="1"/>
  <c r="H1003" i="1"/>
  <c r="J1003" i="1" s="1"/>
  <c r="G1003" i="1"/>
  <c r="G1001" i="1"/>
  <c r="H1001" i="1" s="1"/>
  <c r="J1001" i="1" s="1"/>
  <c r="H999" i="1"/>
  <c r="J999" i="1" s="1"/>
  <c r="J998" i="1"/>
  <c r="H998" i="1"/>
  <c r="H997" i="1"/>
  <c r="J997" i="1" s="1"/>
  <c r="G997" i="1"/>
  <c r="G995" i="1"/>
  <c r="H995" i="1" s="1"/>
  <c r="J995" i="1" s="1"/>
  <c r="G994" i="1"/>
  <c r="H994" i="1" s="1"/>
  <c r="J994" i="1" s="1"/>
  <c r="G993" i="1"/>
  <c r="H993" i="1" s="1"/>
  <c r="J993" i="1" s="1"/>
  <c r="J991" i="1"/>
  <c r="H991" i="1"/>
  <c r="G990" i="1"/>
  <c r="H990" i="1" s="1"/>
  <c r="J990" i="1" s="1"/>
  <c r="G989" i="1"/>
  <c r="H989" i="1" s="1"/>
  <c r="J989" i="1" s="1"/>
  <c r="J988" i="1"/>
  <c r="H988" i="1"/>
  <c r="G988" i="1"/>
  <c r="J986" i="1"/>
  <c r="H986" i="1"/>
  <c r="H984" i="1"/>
  <c r="J984" i="1" s="1"/>
  <c r="G984" i="1"/>
  <c r="J982" i="1"/>
  <c r="H982" i="1"/>
  <c r="G982" i="1"/>
  <c r="I974" i="1"/>
  <c r="J974" i="1" s="1"/>
  <c r="H972" i="1"/>
  <c r="J972" i="1" s="1"/>
  <c r="G972" i="1"/>
  <c r="J970" i="1"/>
  <c r="H970" i="1"/>
  <c r="G970" i="1"/>
  <c r="J968" i="1"/>
  <c r="H968" i="1"/>
  <c r="G968" i="1"/>
  <c r="G966" i="1"/>
  <c r="H966" i="1" s="1"/>
  <c r="J966" i="1" s="1"/>
  <c r="I964" i="1"/>
  <c r="J964" i="1" s="1"/>
  <c r="J963" i="1"/>
  <c r="H963" i="1"/>
  <c r="J962" i="1"/>
  <c r="H962" i="1"/>
  <c r="H961" i="1"/>
  <c r="J961" i="1" s="1"/>
  <c r="H959" i="1"/>
  <c r="J959" i="1" s="1"/>
  <c r="G959" i="1"/>
  <c r="J957" i="1"/>
  <c r="H957" i="1"/>
  <c r="G957" i="1"/>
  <c r="G955" i="1"/>
  <c r="H955" i="1" s="1"/>
  <c r="J955" i="1" s="1"/>
  <c r="G954" i="1"/>
  <c r="H954" i="1" s="1"/>
  <c r="J954" i="1" s="1"/>
  <c r="H952" i="1"/>
  <c r="J952" i="1" s="1"/>
  <c r="G952" i="1"/>
  <c r="G950" i="1"/>
  <c r="H950" i="1" s="1"/>
  <c r="J950" i="1" s="1"/>
  <c r="J948" i="1"/>
  <c r="H948" i="1"/>
  <c r="H947" i="1"/>
  <c r="J947" i="1" s="1"/>
  <c r="H946" i="1"/>
  <c r="J946" i="1" s="1"/>
  <c r="G946" i="1"/>
  <c r="G945" i="1"/>
  <c r="H945" i="1" s="1"/>
  <c r="J945" i="1" s="1"/>
  <c r="H943" i="1"/>
  <c r="J943" i="1" s="1"/>
  <c r="G936" i="1"/>
  <c r="H936" i="1" s="1"/>
  <c r="J936" i="1" s="1"/>
  <c r="J934" i="1"/>
  <c r="I934" i="1"/>
  <c r="G932" i="1"/>
  <c r="H932" i="1" s="1"/>
  <c r="J932" i="1" s="1"/>
  <c r="G930" i="1"/>
  <c r="H930" i="1" s="1"/>
  <c r="J930" i="1" s="1"/>
  <c r="J928" i="1"/>
  <c r="I928" i="1"/>
  <c r="G926" i="1"/>
  <c r="H926" i="1" s="1"/>
  <c r="J926" i="1" s="1"/>
  <c r="G924" i="1"/>
  <c r="H924" i="1" s="1"/>
  <c r="J924" i="1" s="1"/>
  <c r="G923" i="1"/>
  <c r="H923" i="1" s="1"/>
  <c r="J923" i="1" s="1"/>
  <c r="J921" i="1"/>
  <c r="H921" i="1"/>
  <c r="G921" i="1"/>
  <c r="G919" i="1"/>
  <c r="H919" i="1" s="1"/>
  <c r="J919" i="1" s="1"/>
  <c r="G918" i="1"/>
  <c r="H918" i="1" s="1"/>
  <c r="J918" i="1" s="1"/>
  <c r="H917" i="1"/>
  <c r="J917" i="1" s="1"/>
  <c r="G917" i="1"/>
  <c r="G915" i="1"/>
  <c r="H915" i="1" s="1"/>
  <c r="J915" i="1" s="1"/>
  <c r="G913" i="1"/>
  <c r="H913" i="1" s="1"/>
  <c r="J913" i="1" s="1"/>
  <c r="I911" i="1"/>
  <c r="J911" i="1" s="1"/>
  <c r="J909" i="1"/>
  <c r="H909" i="1"/>
  <c r="G909" i="1"/>
  <c r="G907" i="1"/>
  <c r="H907" i="1" s="1"/>
  <c r="J907" i="1" s="1"/>
  <c r="H905" i="1"/>
  <c r="J905" i="1" s="1"/>
  <c r="G905" i="1"/>
  <c r="J904" i="1"/>
  <c r="H904" i="1"/>
  <c r="G904" i="1"/>
  <c r="G896" i="1"/>
  <c r="H896" i="1" s="1"/>
  <c r="J896" i="1" s="1"/>
  <c r="I894" i="1"/>
  <c r="J894" i="1" s="1"/>
  <c r="J892" i="1"/>
  <c r="I892" i="1"/>
  <c r="H890" i="1"/>
  <c r="J890" i="1" s="1"/>
  <c r="G889" i="1"/>
  <c r="H889" i="1" s="1"/>
  <c r="J889" i="1" s="1"/>
  <c r="G888" i="1"/>
  <c r="H888" i="1" s="1"/>
  <c r="J888" i="1" s="1"/>
  <c r="J886" i="1"/>
  <c r="H886" i="1"/>
  <c r="H884" i="1"/>
  <c r="J884" i="1" s="1"/>
  <c r="G884" i="1"/>
  <c r="G882" i="1"/>
  <c r="H882" i="1" s="1"/>
  <c r="J882" i="1" s="1"/>
  <c r="H880" i="1"/>
  <c r="J880" i="1" s="1"/>
  <c r="G880" i="1"/>
  <c r="J879" i="1"/>
  <c r="H879" i="1"/>
  <c r="G879" i="1"/>
  <c r="G877" i="1"/>
  <c r="H877" i="1" s="1"/>
  <c r="J877" i="1" s="1"/>
  <c r="H875" i="1"/>
  <c r="J875" i="1" s="1"/>
  <c r="G875" i="1"/>
  <c r="J874" i="1"/>
  <c r="H874" i="1"/>
  <c r="G874" i="1"/>
  <c r="G872" i="1"/>
  <c r="H872" i="1" s="1"/>
  <c r="J872" i="1" s="1"/>
  <c r="G870" i="1"/>
  <c r="H870" i="1" s="1"/>
  <c r="J870" i="1" s="1"/>
  <c r="J868" i="1"/>
  <c r="H868" i="1"/>
  <c r="G868" i="1"/>
  <c r="H866" i="1"/>
  <c r="J866" i="1" s="1"/>
  <c r="G866" i="1"/>
  <c r="J864" i="1"/>
  <c r="H864" i="1"/>
  <c r="G864" i="1"/>
  <c r="I852" i="1"/>
  <c r="J852" i="1" s="1"/>
  <c r="J850" i="1"/>
  <c r="H850" i="1"/>
  <c r="H848" i="1"/>
  <c r="J848" i="1" s="1"/>
  <c r="G848" i="1"/>
  <c r="J847" i="1"/>
  <c r="H847" i="1"/>
  <c r="G847" i="1"/>
  <c r="G845" i="1"/>
  <c r="H845" i="1" s="1"/>
  <c r="J845" i="1" s="1"/>
  <c r="G843" i="1"/>
  <c r="H843" i="1" s="1"/>
  <c r="J843" i="1" s="1"/>
  <c r="H841" i="1"/>
  <c r="J841" i="1" s="1"/>
  <c r="G841" i="1"/>
  <c r="J839" i="1"/>
  <c r="H839" i="1"/>
  <c r="G839" i="1"/>
  <c r="H838" i="1"/>
  <c r="J838" i="1" s="1"/>
  <c r="G838" i="1"/>
  <c r="J836" i="1"/>
  <c r="I836" i="1"/>
  <c r="I834" i="1"/>
  <c r="J834" i="1" s="1"/>
  <c r="J832" i="1"/>
  <c r="H832" i="1"/>
  <c r="G832" i="1"/>
  <c r="G830" i="1"/>
  <c r="H830" i="1" s="1"/>
  <c r="J830" i="1" s="1"/>
  <c r="J828" i="1"/>
  <c r="H828" i="1"/>
  <c r="G828" i="1"/>
  <c r="J826" i="1"/>
  <c r="H826" i="1"/>
  <c r="G826" i="1"/>
  <c r="H818" i="1"/>
  <c r="J818" i="1" s="1"/>
  <c r="H817" i="1"/>
  <c r="J817" i="1" s="1"/>
  <c r="G817" i="1"/>
  <c r="G816" i="1"/>
  <c r="H816" i="1" s="1"/>
  <c r="J816" i="1" s="1"/>
  <c r="G815" i="1"/>
  <c r="H815" i="1" s="1"/>
  <c r="J815" i="1" s="1"/>
  <c r="I813" i="1"/>
  <c r="J813" i="1" s="1"/>
  <c r="H811" i="1"/>
  <c r="J811" i="1" s="1"/>
  <c r="G811" i="1"/>
  <c r="J809" i="1"/>
  <c r="H809" i="1"/>
  <c r="G809" i="1"/>
  <c r="J807" i="1"/>
  <c r="H807" i="1"/>
  <c r="G807" i="1"/>
  <c r="G805" i="1"/>
  <c r="H805" i="1" s="1"/>
  <c r="J805" i="1" s="1"/>
  <c r="H803" i="1"/>
  <c r="J803" i="1" s="1"/>
  <c r="G803" i="1"/>
  <c r="J801" i="1"/>
  <c r="H801" i="1"/>
  <c r="G800" i="1"/>
  <c r="H800" i="1" s="1"/>
  <c r="J800" i="1" s="1"/>
  <c r="G798" i="1"/>
  <c r="H798" i="1" s="1"/>
  <c r="J798" i="1" s="1"/>
  <c r="J796" i="1"/>
  <c r="H796" i="1"/>
  <c r="I795" i="1"/>
  <c r="J795" i="1" s="1"/>
  <c r="G793" i="1"/>
  <c r="H793" i="1" s="1"/>
  <c r="J793" i="1" s="1"/>
  <c r="H791" i="1"/>
  <c r="J791" i="1" s="1"/>
  <c r="H789" i="1"/>
  <c r="J789" i="1" s="1"/>
  <c r="G789" i="1"/>
  <c r="H787" i="1"/>
  <c r="J787" i="1" s="1"/>
  <c r="G787" i="1"/>
  <c r="G780" i="1"/>
  <c r="H780" i="1" s="1"/>
  <c r="J780" i="1" s="1"/>
  <c r="H778" i="1"/>
  <c r="J778" i="1" s="1"/>
  <c r="G778" i="1"/>
  <c r="J776" i="1"/>
  <c r="H776" i="1"/>
  <c r="H774" i="1"/>
  <c r="J774" i="1" s="1"/>
  <c r="G774" i="1"/>
  <c r="J772" i="1"/>
  <c r="H772" i="1"/>
  <c r="G772" i="1"/>
  <c r="G770" i="1"/>
  <c r="H770" i="1" s="1"/>
  <c r="J770" i="1" s="1"/>
  <c r="G769" i="1"/>
  <c r="H769" i="1" s="1"/>
  <c r="J769" i="1" s="1"/>
  <c r="G767" i="1"/>
  <c r="H767" i="1" s="1"/>
  <c r="J767" i="1" s="1"/>
  <c r="G765" i="1"/>
  <c r="H765" i="1" s="1"/>
  <c r="J765" i="1" s="1"/>
  <c r="J763" i="1"/>
  <c r="H763" i="1"/>
  <c r="G763" i="1"/>
  <c r="J762" i="1"/>
  <c r="H762" i="1"/>
  <c r="G762" i="1"/>
  <c r="J761" i="1"/>
  <c r="H761" i="1"/>
  <c r="G761" i="1"/>
  <c r="G759" i="1"/>
  <c r="H759" i="1" s="1"/>
  <c r="J759" i="1" s="1"/>
  <c r="G758" i="1"/>
  <c r="H758" i="1" s="1"/>
  <c r="J758" i="1" s="1"/>
  <c r="G756" i="1"/>
  <c r="H756" i="1" s="1"/>
  <c r="J756" i="1" s="1"/>
  <c r="G754" i="1"/>
  <c r="H754" i="1" s="1"/>
  <c r="J754" i="1" s="1"/>
  <c r="H753" i="1"/>
  <c r="J753" i="1" s="1"/>
  <c r="G753" i="1"/>
  <c r="J752" i="1"/>
  <c r="H752" i="1"/>
  <c r="G752" i="1"/>
  <c r="J750" i="1"/>
  <c r="H750" i="1"/>
  <c r="G750" i="1"/>
  <c r="G748" i="1"/>
  <c r="H748" i="1" s="1"/>
  <c r="J748" i="1" s="1"/>
  <c r="J741" i="1"/>
  <c r="H741" i="1"/>
  <c r="G741" i="1"/>
  <c r="J739" i="1"/>
  <c r="H739" i="1"/>
  <c r="I737" i="1"/>
  <c r="J737" i="1" s="1"/>
  <c r="H736" i="1"/>
  <c r="J736" i="1" s="1"/>
  <c r="G736" i="1"/>
  <c r="H735" i="1"/>
  <c r="J735" i="1" s="1"/>
  <c r="G735" i="1"/>
  <c r="J733" i="1"/>
  <c r="I733" i="1"/>
  <c r="J732" i="1"/>
  <c r="I732" i="1"/>
  <c r="I731" i="1"/>
  <c r="J731" i="1" s="1"/>
  <c r="I729" i="1"/>
  <c r="J729" i="1" s="1"/>
  <c r="H728" i="1"/>
  <c r="H726" i="1"/>
  <c r="J726" i="1" s="1"/>
  <c r="G726" i="1"/>
  <c r="G725" i="1"/>
  <c r="H725" i="1" s="1"/>
  <c r="J725" i="1" s="1"/>
  <c r="H723" i="1"/>
  <c r="J723" i="1" s="1"/>
  <c r="G723" i="1"/>
  <c r="H721" i="1"/>
  <c r="J721" i="1" s="1"/>
  <c r="G721" i="1"/>
  <c r="G719" i="1"/>
  <c r="H719" i="1" s="1"/>
  <c r="J719" i="1" s="1"/>
  <c r="G717" i="1"/>
  <c r="H717" i="1" s="1"/>
  <c r="J717" i="1" s="1"/>
  <c r="H715" i="1"/>
  <c r="J715" i="1" s="1"/>
  <c r="G715" i="1"/>
  <c r="G714" i="1"/>
  <c r="H714" i="1" s="1"/>
  <c r="J714" i="1" s="1"/>
  <c r="J713" i="1"/>
  <c r="H713" i="1"/>
  <c r="G713" i="1"/>
  <c r="J711" i="1"/>
  <c r="H711" i="1"/>
  <c r="G711" i="1"/>
  <c r="G709" i="1"/>
  <c r="H709" i="1" s="1"/>
  <c r="J709" i="1" s="1"/>
  <c r="J702" i="1"/>
  <c r="H702" i="1"/>
  <c r="H701" i="1"/>
  <c r="J701" i="1" s="1"/>
  <c r="G699" i="1"/>
  <c r="H699" i="1" s="1"/>
  <c r="J699" i="1" s="1"/>
  <c r="J697" i="1"/>
  <c r="H697" i="1"/>
  <c r="G696" i="1"/>
  <c r="H696" i="1" s="1"/>
  <c r="J696" i="1" s="1"/>
  <c r="H695" i="1"/>
  <c r="J695" i="1" s="1"/>
  <c r="G695" i="1"/>
  <c r="G694" i="1"/>
  <c r="H694" i="1" s="1"/>
  <c r="J694" i="1" s="1"/>
  <c r="G693" i="1"/>
  <c r="H693" i="1" s="1"/>
  <c r="J693" i="1" s="1"/>
  <c r="H691" i="1"/>
  <c r="J691" i="1" s="1"/>
  <c r="G691" i="1"/>
  <c r="J690" i="1"/>
  <c r="H690" i="1"/>
  <c r="G690" i="1"/>
  <c r="G689" i="1"/>
  <c r="H689" i="1" s="1"/>
  <c r="J689" i="1" s="1"/>
  <c r="G687" i="1"/>
  <c r="H687" i="1" s="1"/>
  <c r="J687" i="1" s="1"/>
  <c r="J686" i="1"/>
  <c r="H686" i="1"/>
  <c r="G686" i="1"/>
  <c r="J685" i="1"/>
  <c r="H685" i="1"/>
  <c r="G685" i="1"/>
  <c r="G683" i="1"/>
  <c r="H683" i="1" s="1"/>
  <c r="J683" i="1" s="1"/>
  <c r="I681" i="1"/>
  <c r="J681" i="1" s="1"/>
  <c r="J680" i="1"/>
  <c r="I680" i="1"/>
  <c r="J679" i="1"/>
  <c r="I679" i="1"/>
  <c r="H677" i="1"/>
  <c r="J677" i="1" s="1"/>
  <c r="H676" i="1"/>
  <c r="J676" i="1" s="1"/>
  <c r="H674" i="1"/>
  <c r="J674" i="1" s="1"/>
  <c r="H672" i="1"/>
  <c r="J672" i="1" s="1"/>
  <c r="G672" i="1"/>
  <c r="H670" i="1"/>
  <c r="J670" i="1" s="1"/>
  <c r="G670" i="1"/>
  <c r="G669" i="1"/>
  <c r="H669" i="1" s="1"/>
  <c r="J669" i="1" s="1"/>
  <c r="N668" i="1"/>
  <c r="N669" i="1" s="1"/>
  <c r="N670" i="1" s="1"/>
  <c r="N671" i="1" s="1"/>
  <c r="N672" i="1" s="1"/>
  <c r="N673" i="1" s="1"/>
  <c r="N663" i="1"/>
  <c r="N662" i="1"/>
  <c r="N661" i="1"/>
  <c r="G658" i="1"/>
  <c r="H658" i="1" s="1"/>
  <c r="J658" i="1" s="1"/>
  <c r="H656" i="1"/>
  <c r="J656" i="1" s="1"/>
  <c r="G656" i="1"/>
  <c r="J654" i="1"/>
  <c r="I654" i="1"/>
  <c r="H652" i="1"/>
  <c r="J652" i="1" s="1"/>
  <c r="G652" i="1"/>
  <c r="H650" i="1"/>
  <c r="J650" i="1" s="1"/>
  <c r="G650" i="1"/>
  <c r="G648" i="1"/>
  <c r="H648" i="1" s="1"/>
  <c r="J648" i="1" s="1"/>
  <c r="G647" i="1"/>
  <c r="H647" i="1" s="1"/>
  <c r="J647" i="1" s="1"/>
  <c r="G645" i="1"/>
  <c r="H645" i="1" s="1"/>
  <c r="J645" i="1" s="1"/>
  <c r="H644" i="1"/>
  <c r="J644" i="1" s="1"/>
  <c r="G644" i="1"/>
  <c r="H642" i="1"/>
  <c r="J642" i="1" s="1"/>
  <c r="G642" i="1"/>
  <c r="H641" i="1"/>
  <c r="J641" i="1" s="1"/>
  <c r="G641" i="1"/>
  <c r="H639" i="1"/>
  <c r="J639" i="1" s="1"/>
  <c r="G639" i="1"/>
  <c r="G637" i="1"/>
  <c r="H637" i="1" s="1"/>
  <c r="J637" i="1" s="1"/>
  <c r="H635" i="1"/>
  <c r="J635" i="1" s="1"/>
  <c r="G635" i="1"/>
  <c r="H632" i="1"/>
  <c r="J632" i="1" s="1"/>
  <c r="G632" i="1"/>
  <c r="G631" i="1"/>
  <c r="H631" i="1" s="1"/>
  <c r="J631" i="1" s="1"/>
  <c r="J623" i="1"/>
  <c r="H623" i="1"/>
  <c r="G623" i="1"/>
  <c r="G622" i="1"/>
  <c r="H622" i="1" s="1"/>
  <c r="J622" i="1" s="1"/>
  <c r="G620" i="1"/>
  <c r="H620" i="1" s="1"/>
  <c r="J620" i="1" s="1"/>
  <c r="J618" i="1"/>
  <c r="H618" i="1"/>
  <c r="G617" i="1"/>
  <c r="H617" i="1" s="1"/>
  <c r="J617" i="1" s="1"/>
  <c r="G615" i="1"/>
  <c r="H615" i="1" s="1"/>
  <c r="J615" i="1" s="1"/>
  <c r="H613" i="1"/>
  <c r="J613" i="1" s="1"/>
  <c r="G613" i="1"/>
  <c r="J611" i="1"/>
  <c r="H611" i="1"/>
  <c r="G611" i="1"/>
  <c r="H609" i="1"/>
  <c r="J609" i="1" s="1"/>
  <c r="H608" i="1"/>
  <c r="J608" i="1" s="1"/>
  <c r="H607" i="1"/>
  <c r="J607" i="1" s="1"/>
  <c r="G607" i="1"/>
  <c r="J605" i="1"/>
  <c r="H605" i="1"/>
  <c r="G605" i="1"/>
  <c r="H603" i="1"/>
  <c r="J603" i="1" s="1"/>
  <c r="G603" i="1"/>
  <c r="G601" i="1"/>
  <c r="H601" i="1" s="1"/>
  <c r="J601" i="1" s="1"/>
  <c r="H599" i="1"/>
  <c r="J599" i="1" s="1"/>
  <c r="G599" i="1"/>
  <c r="H597" i="1"/>
  <c r="G596" i="1"/>
  <c r="E596" i="1"/>
  <c r="H596" i="1" s="1"/>
  <c r="H595" i="1"/>
  <c r="I595" i="1" s="1"/>
  <c r="J595" i="1" s="1"/>
  <c r="H594" i="1"/>
  <c r="J594" i="1" s="1"/>
  <c r="G592" i="1"/>
  <c r="H592" i="1" s="1"/>
  <c r="J592" i="1" s="1"/>
  <c r="H585" i="1"/>
  <c r="J585" i="1" s="1"/>
  <c r="G585" i="1"/>
  <c r="J584" i="1"/>
  <c r="H584" i="1"/>
  <c r="G584" i="1"/>
  <c r="I582" i="1"/>
  <c r="J582" i="1" s="1"/>
  <c r="H580" i="1"/>
  <c r="J580" i="1" s="1"/>
  <c r="H579" i="1"/>
  <c r="J579" i="1" s="1"/>
  <c r="G579" i="1"/>
  <c r="J577" i="1"/>
  <c r="I577" i="1"/>
  <c r="I575" i="1"/>
  <c r="J575" i="1" s="1"/>
  <c r="G573" i="1"/>
  <c r="H573" i="1" s="1"/>
  <c r="J573" i="1" s="1"/>
  <c r="G571" i="1"/>
  <c r="H571" i="1" s="1"/>
  <c r="J571" i="1" s="1"/>
  <c r="G569" i="1"/>
  <c r="H569" i="1" s="1"/>
  <c r="J569" i="1" s="1"/>
  <c r="G567" i="1"/>
  <c r="H567" i="1" s="1"/>
  <c r="J567" i="1" s="1"/>
  <c r="J565" i="1"/>
  <c r="H565" i="1"/>
  <c r="E565" i="1"/>
  <c r="J564" i="1"/>
  <c r="H564" i="1"/>
  <c r="H563" i="1"/>
  <c r="J563" i="1" s="1"/>
  <c r="G563" i="1"/>
  <c r="I561" i="1"/>
  <c r="J561" i="1" s="1"/>
  <c r="J559" i="1"/>
  <c r="I559" i="1"/>
  <c r="J557" i="1"/>
  <c r="I557" i="1"/>
  <c r="I556" i="1"/>
  <c r="J556" i="1" s="1"/>
  <c r="I555" i="1"/>
  <c r="J555" i="1" s="1"/>
  <c r="H553" i="1"/>
  <c r="J553" i="1" s="1"/>
  <c r="H546" i="1"/>
  <c r="J546" i="1" s="1"/>
  <c r="G545" i="1"/>
  <c r="H545" i="1" s="1"/>
  <c r="J545" i="1" s="1"/>
  <c r="G543" i="1"/>
  <c r="H543" i="1" s="1"/>
  <c r="J543" i="1" s="1"/>
  <c r="J541" i="1"/>
  <c r="H541" i="1"/>
  <c r="G541" i="1"/>
  <c r="H539" i="1"/>
  <c r="J539" i="1" s="1"/>
  <c r="J538" i="1"/>
  <c r="H538" i="1"/>
  <c r="H537" i="1"/>
  <c r="J537" i="1" s="1"/>
  <c r="G537" i="1"/>
  <c r="J535" i="1"/>
  <c r="H535" i="1"/>
  <c r="J533" i="1"/>
  <c r="H533" i="1"/>
  <c r="J531" i="1"/>
  <c r="H531" i="1"/>
  <c r="G529" i="1"/>
  <c r="H529" i="1" s="1"/>
  <c r="J529" i="1" s="1"/>
  <c r="G527" i="1"/>
  <c r="H527" i="1" s="1"/>
  <c r="J527" i="1" s="1"/>
  <c r="G525" i="1"/>
  <c r="H525" i="1" s="1"/>
  <c r="J525" i="1" s="1"/>
  <c r="G524" i="1"/>
  <c r="H524" i="1" s="1"/>
  <c r="J524" i="1" s="1"/>
  <c r="H522" i="1"/>
  <c r="J522" i="1" s="1"/>
  <c r="G522" i="1"/>
  <c r="G520" i="1"/>
  <c r="H520" i="1" s="1"/>
  <c r="J520" i="1" s="1"/>
  <c r="G518" i="1"/>
  <c r="H518" i="1" s="1"/>
  <c r="J518" i="1" s="1"/>
  <c r="G517" i="1"/>
  <c r="H517" i="1" s="1"/>
  <c r="J517" i="1" s="1"/>
  <c r="G516" i="1"/>
  <c r="H516" i="1" s="1"/>
  <c r="J516" i="1" s="1"/>
  <c r="I514" i="1"/>
  <c r="J514" i="1" s="1"/>
  <c r="G506" i="1"/>
  <c r="H506" i="1" s="1"/>
  <c r="J506" i="1" s="1"/>
  <c r="G504" i="1"/>
  <c r="H504" i="1" s="1"/>
  <c r="J504" i="1" s="1"/>
  <c r="G503" i="1"/>
  <c r="H503" i="1" s="1"/>
  <c r="J503" i="1" s="1"/>
  <c r="G501" i="1"/>
  <c r="H501" i="1" s="1"/>
  <c r="J501" i="1" s="1"/>
  <c r="H500" i="1"/>
  <c r="J500" i="1" s="1"/>
  <c r="G500" i="1"/>
  <c r="H498" i="1"/>
  <c r="J498" i="1" s="1"/>
  <c r="G498" i="1"/>
  <c r="J496" i="1"/>
  <c r="H496" i="1"/>
  <c r="G496" i="1"/>
  <c r="G495" i="1"/>
  <c r="H495" i="1" s="1"/>
  <c r="J495" i="1" s="1"/>
  <c r="G493" i="1"/>
  <c r="H493" i="1" s="1"/>
  <c r="J493" i="1" s="1"/>
  <c r="G491" i="1"/>
  <c r="H491" i="1" s="1"/>
  <c r="J491" i="1" s="1"/>
  <c r="G490" i="1"/>
  <c r="H490" i="1" s="1"/>
  <c r="J490" i="1" s="1"/>
  <c r="G489" i="1"/>
  <c r="H489" i="1" s="1"/>
  <c r="J489" i="1" s="1"/>
  <c r="G488" i="1"/>
  <c r="H488" i="1" s="1"/>
  <c r="J488" i="1" s="1"/>
  <c r="G487" i="1"/>
  <c r="H487" i="1" s="1"/>
  <c r="J487" i="1" s="1"/>
  <c r="H485" i="1"/>
  <c r="J485" i="1" s="1"/>
  <c r="G485" i="1"/>
  <c r="J483" i="1"/>
  <c r="H483" i="1"/>
  <c r="G483" i="1"/>
  <c r="G481" i="1"/>
  <c r="H481" i="1" s="1"/>
  <c r="J481" i="1" s="1"/>
  <c r="G479" i="1"/>
  <c r="H479" i="1" s="1"/>
  <c r="J479" i="1" s="1"/>
  <c r="H478" i="1"/>
  <c r="J478" i="1" s="1"/>
  <c r="G478" i="1"/>
  <c r="H476" i="1"/>
  <c r="J476" i="1" s="1"/>
  <c r="G476" i="1"/>
  <c r="J474" i="1"/>
  <c r="H474" i="1"/>
  <c r="G474" i="1"/>
  <c r="N457" i="1"/>
  <c r="N458" i="1" s="1"/>
  <c r="N459" i="1" s="1"/>
  <c r="N460" i="1" s="1"/>
  <c r="N461" i="1" s="1"/>
  <c r="N462" i="1" s="1"/>
  <c r="N463" i="1" s="1"/>
  <c r="N464" i="1" s="1"/>
  <c r="N465" i="1" s="1"/>
  <c r="N466" i="1" s="1"/>
  <c r="N467" i="1" s="1"/>
  <c r="N468" i="1" s="1"/>
  <c r="N473" i="1" s="1"/>
  <c r="N474" i="1" s="1"/>
  <c r="N475" i="1" s="1"/>
  <c r="N476" i="1" s="1"/>
  <c r="N477" i="1" s="1"/>
  <c r="N478" i="1" s="1"/>
  <c r="N479" i="1" s="1"/>
  <c r="N480" i="1" s="1"/>
  <c r="N481" i="1" s="1"/>
  <c r="N482" i="1" s="1"/>
  <c r="N483" i="1" s="1"/>
  <c r="N484" i="1" s="1"/>
  <c r="N485" i="1" s="1"/>
  <c r="N486" i="1" s="1"/>
  <c r="N487" i="1" s="1"/>
  <c r="N488" i="1" s="1"/>
  <c r="G454" i="1"/>
  <c r="H454" i="1" s="1"/>
  <c r="J454" i="1" s="1"/>
  <c r="J452" i="1"/>
  <c r="H452" i="1"/>
  <c r="G452" i="1"/>
  <c r="J450" i="1"/>
  <c r="H450" i="1"/>
  <c r="G450" i="1"/>
  <c r="J448" i="1"/>
  <c r="I448" i="1"/>
  <c r="G447" i="1"/>
  <c r="H447" i="1" s="1"/>
  <c r="J447" i="1" s="1"/>
  <c r="J445" i="1"/>
  <c r="I445" i="1"/>
  <c r="J444" i="1"/>
  <c r="I444" i="1"/>
  <c r="H442" i="1"/>
  <c r="J442" i="1" s="1"/>
  <c r="G442" i="1"/>
  <c r="G441" i="1"/>
  <c r="H441" i="1" s="1"/>
  <c r="J441" i="1" s="1"/>
  <c r="G439" i="1"/>
  <c r="H439" i="1" s="1"/>
  <c r="J439" i="1" s="1"/>
  <c r="G437" i="1"/>
  <c r="H437" i="1" s="1"/>
  <c r="J437" i="1" s="1"/>
  <c r="G436" i="1"/>
  <c r="H436" i="1" s="1"/>
  <c r="J436" i="1" s="1"/>
  <c r="J429" i="1"/>
  <c r="I429" i="1"/>
  <c r="J427" i="1"/>
  <c r="H427" i="1"/>
  <c r="G427" i="1"/>
  <c r="J425" i="1"/>
  <c r="H425" i="1"/>
  <c r="G424" i="1"/>
  <c r="H424" i="1" s="1"/>
  <c r="J424" i="1" s="1"/>
  <c r="J422" i="1"/>
  <c r="H422" i="1"/>
  <c r="G422" i="1"/>
  <c r="G420" i="1"/>
  <c r="H420" i="1" s="1"/>
  <c r="J420" i="1" s="1"/>
  <c r="H418" i="1"/>
  <c r="J418" i="1" s="1"/>
  <c r="H417" i="1"/>
  <c r="J417" i="1" s="1"/>
  <c r="G417" i="1"/>
  <c r="I415" i="1"/>
  <c r="J415" i="1" s="1"/>
  <c r="I414" i="1"/>
  <c r="J414" i="1" s="1"/>
  <c r="J413" i="1"/>
  <c r="I413" i="1"/>
  <c r="H411" i="1"/>
  <c r="J411" i="1" s="1"/>
  <c r="J410" i="1"/>
  <c r="H410" i="1"/>
  <c r="G410" i="1"/>
  <c r="G408" i="1"/>
  <c r="H408" i="1" s="1"/>
  <c r="J408" i="1" s="1"/>
  <c r="G406" i="1"/>
  <c r="H406" i="1" s="1"/>
  <c r="J406" i="1" s="1"/>
  <c r="H404" i="1"/>
  <c r="J404" i="1" s="1"/>
  <c r="G404" i="1"/>
  <c r="J402" i="1"/>
  <c r="H402" i="1"/>
  <c r="G402" i="1"/>
  <c r="I400" i="1"/>
  <c r="J400" i="1" s="1"/>
  <c r="H398" i="1"/>
  <c r="J398" i="1" s="1"/>
  <c r="J397" i="1"/>
  <c r="H397" i="1"/>
  <c r="G397" i="1"/>
  <c r="H388" i="1"/>
  <c r="J388" i="1" s="1"/>
  <c r="G388" i="1"/>
  <c r="G386" i="1"/>
  <c r="H386" i="1" s="1"/>
  <c r="J386" i="1" s="1"/>
  <c r="H384" i="1"/>
  <c r="J384" i="1" s="1"/>
  <c r="I382" i="1"/>
  <c r="J382" i="1" s="1"/>
  <c r="H380" i="1"/>
  <c r="H378" i="1"/>
  <c r="J378" i="1" s="1"/>
  <c r="G378" i="1"/>
  <c r="H377" i="1"/>
  <c r="J377" i="1" s="1"/>
  <c r="G377" i="1"/>
  <c r="H375" i="1"/>
  <c r="J375" i="1" s="1"/>
  <c r="H374" i="1"/>
  <c r="J374" i="1" s="1"/>
  <c r="G374" i="1"/>
  <c r="J372" i="1"/>
  <c r="H372" i="1"/>
  <c r="G372" i="1"/>
  <c r="J371" i="1"/>
  <c r="H371" i="1"/>
  <c r="G371" i="1"/>
  <c r="H369" i="1"/>
  <c r="J369" i="1" s="1"/>
  <c r="G369" i="1"/>
  <c r="G367" i="1"/>
  <c r="H367" i="1" s="1"/>
  <c r="J367" i="1" s="1"/>
  <c r="G366" i="1"/>
  <c r="H366" i="1" s="1"/>
  <c r="J366" i="1" s="1"/>
  <c r="H364" i="1"/>
  <c r="J364" i="1" s="1"/>
  <c r="H362" i="1"/>
  <c r="J362" i="1" s="1"/>
  <c r="G362" i="1"/>
  <c r="J360" i="1"/>
  <c r="I360" i="1"/>
  <c r="J358" i="1"/>
  <c r="H358" i="1"/>
  <c r="H350" i="1"/>
  <c r="J350" i="1" s="1"/>
  <c r="G349" i="1"/>
  <c r="H349" i="1" s="1"/>
  <c r="J349" i="1" s="1"/>
  <c r="G348" i="1"/>
  <c r="H348" i="1" s="1"/>
  <c r="J348" i="1" s="1"/>
  <c r="G346" i="1"/>
  <c r="H346" i="1" s="1"/>
  <c r="J346" i="1" s="1"/>
  <c r="J344" i="1"/>
  <c r="H344" i="1"/>
  <c r="G344" i="1"/>
  <c r="J342" i="1"/>
  <c r="H342" i="1"/>
  <c r="H341" i="1"/>
  <c r="J341" i="1" s="1"/>
  <c r="G341" i="1"/>
  <c r="G340" i="1"/>
  <c r="H340" i="1" s="1"/>
  <c r="J340" i="1" s="1"/>
  <c r="H339" i="1"/>
  <c r="J339" i="1" s="1"/>
  <c r="G339" i="1"/>
  <c r="J337" i="1"/>
  <c r="H337" i="1"/>
  <c r="G337" i="1"/>
  <c r="J335" i="1"/>
  <c r="H335" i="1"/>
  <c r="H334" i="1"/>
  <c r="J334" i="1" s="1"/>
  <c r="J332" i="1"/>
  <c r="H332" i="1"/>
  <c r="G332" i="1"/>
  <c r="G330" i="1"/>
  <c r="H330" i="1" s="1"/>
  <c r="J330" i="1" s="1"/>
  <c r="J329" i="1"/>
  <c r="H329" i="1"/>
  <c r="G329" i="1"/>
  <c r="G327" i="1"/>
  <c r="H327" i="1" s="1"/>
  <c r="J327" i="1" s="1"/>
  <c r="H325" i="1"/>
  <c r="J325" i="1" s="1"/>
  <c r="G325" i="1"/>
  <c r="J323" i="1"/>
  <c r="H323" i="1"/>
  <c r="G323" i="1"/>
  <c r="G321" i="1"/>
  <c r="H321" i="1" s="1"/>
  <c r="J321" i="1" s="1"/>
  <c r="G319" i="1"/>
  <c r="H319" i="1" s="1"/>
  <c r="J319" i="1" s="1"/>
  <c r="J311" i="1"/>
  <c r="H311" i="1"/>
  <c r="G311" i="1"/>
  <c r="I309" i="1"/>
  <c r="J309" i="1" s="1"/>
  <c r="H307" i="1"/>
  <c r="J307" i="1" s="1"/>
  <c r="G307" i="1"/>
  <c r="G306" i="1"/>
  <c r="H306" i="1" s="1"/>
  <c r="J306" i="1" s="1"/>
  <c r="G304" i="1"/>
  <c r="H304" i="1" s="1"/>
  <c r="J304" i="1" s="1"/>
  <c r="J302" i="1"/>
  <c r="H302" i="1"/>
  <c r="G302" i="1"/>
  <c r="J300" i="1"/>
  <c r="I300" i="1"/>
  <c r="H300" i="1"/>
  <c r="G298" i="1"/>
  <c r="H298" i="1" s="1"/>
  <c r="J298" i="1" s="1"/>
  <c r="H296" i="1"/>
  <c r="J296" i="1" s="1"/>
  <c r="G296" i="1"/>
  <c r="J294" i="1"/>
  <c r="I294" i="1"/>
  <c r="H294" i="1"/>
  <c r="H292" i="1"/>
  <c r="J292" i="1" s="1"/>
  <c r="G292" i="1"/>
  <c r="H290" i="1"/>
  <c r="J290" i="1" s="1"/>
  <c r="G290" i="1"/>
  <c r="H288" i="1"/>
  <c r="J288" i="1" s="1"/>
  <c r="G287" i="1"/>
  <c r="H287" i="1" s="1"/>
  <c r="J287" i="1" s="1"/>
  <c r="H285" i="1"/>
  <c r="J285" i="1" s="1"/>
  <c r="G285" i="1"/>
  <c r="J283" i="1"/>
  <c r="H283" i="1"/>
  <c r="G283" i="1"/>
  <c r="J281" i="1"/>
  <c r="H281" i="1"/>
  <c r="G281" i="1"/>
  <c r="H280" i="1"/>
  <c r="J280" i="1" s="1"/>
  <c r="G280" i="1"/>
  <c r="H273" i="1"/>
  <c r="J273" i="1" s="1"/>
  <c r="G273" i="1"/>
  <c r="J271" i="1"/>
  <c r="H271" i="1"/>
  <c r="H270" i="1"/>
  <c r="J270" i="1" s="1"/>
  <c r="G270" i="1"/>
  <c r="G268" i="1"/>
  <c r="H268" i="1" s="1"/>
  <c r="J268" i="1" s="1"/>
  <c r="J267" i="1"/>
  <c r="H267" i="1"/>
  <c r="G267" i="1"/>
  <c r="J265" i="1"/>
  <c r="H265" i="1"/>
  <c r="G265" i="1"/>
  <c r="G263" i="1"/>
  <c r="H263" i="1" s="1"/>
  <c r="J263" i="1" s="1"/>
  <c r="I261" i="1"/>
  <c r="J261" i="1" s="1"/>
  <c r="I260" i="1"/>
  <c r="J260" i="1" s="1"/>
  <c r="J259" i="1"/>
  <c r="I259" i="1"/>
  <c r="H257" i="1"/>
  <c r="J257" i="1" s="1"/>
  <c r="G255" i="1"/>
  <c r="H255" i="1" s="1"/>
  <c r="J255" i="1" s="1"/>
  <c r="G253" i="1"/>
  <c r="H253" i="1" s="1"/>
  <c r="J253" i="1" s="1"/>
  <c r="G252" i="1"/>
  <c r="H252" i="1" s="1"/>
  <c r="J252" i="1" s="1"/>
  <c r="I250" i="1"/>
  <c r="J250" i="1" s="1"/>
  <c r="H248" i="1"/>
  <c r="J248" i="1" s="1"/>
  <c r="G248" i="1"/>
  <c r="J246" i="1"/>
  <c r="H246" i="1"/>
  <c r="G246" i="1"/>
  <c r="H244" i="1"/>
  <c r="J244" i="1" s="1"/>
  <c r="G244" i="1"/>
  <c r="I234" i="1"/>
  <c r="J234" i="1" s="1"/>
  <c r="G232" i="1"/>
  <c r="H232" i="1" s="1"/>
  <c r="J232" i="1" s="1"/>
  <c r="G230" i="1"/>
  <c r="H230" i="1" s="1"/>
  <c r="J230" i="1" s="1"/>
  <c r="H229" i="1"/>
  <c r="J229" i="1" s="1"/>
  <c r="G229" i="1"/>
  <c r="H228" i="1"/>
  <c r="J228" i="1" s="1"/>
  <c r="G228" i="1"/>
  <c r="J226" i="1"/>
  <c r="H226" i="1"/>
  <c r="G226" i="1"/>
  <c r="G224" i="1"/>
  <c r="H224" i="1" s="1"/>
  <c r="J224" i="1" s="1"/>
  <c r="H222" i="1"/>
  <c r="J222" i="1" s="1"/>
  <c r="J221" i="1"/>
  <c r="H221" i="1"/>
  <c r="J220" i="1"/>
  <c r="H220" i="1"/>
  <c r="G220" i="1"/>
  <c r="I218" i="1"/>
  <c r="J218" i="1" s="1"/>
  <c r="J217" i="1"/>
  <c r="I217" i="1"/>
  <c r="J215" i="1"/>
  <c r="H215" i="1"/>
  <c r="G215" i="1"/>
  <c r="G213" i="1"/>
  <c r="H213" i="1" s="1"/>
  <c r="J213" i="1" s="1"/>
  <c r="G211" i="1"/>
  <c r="H211" i="1" s="1"/>
  <c r="J211" i="1" s="1"/>
  <c r="J209" i="1"/>
  <c r="H209" i="1"/>
  <c r="H207" i="1"/>
  <c r="J207" i="1" s="1"/>
  <c r="G207" i="1"/>
  <c r="G206" i="1"/>
  <c r="H206" i="1" s="1"/>
  <c r="J206" i="1" s="1"/>
  <c r="G204" i="1"/>
  <c r="H204" i="1" s="1"/>
  <c r="J204" i="1" s="1"/>
  <c r="J202" i="1"/>
  <c r="H202" i="1"/>
  <c r="G202" i="1"/>
  <c r="G195" i="1"/>
  <c r="H195" i="1" s="1"/>
  <c r="J195" i="1" s="1"/>
  <c r="G193" i="1"/>
  <c r="H193" i="1" s="1"/>
  <c r="J193" i="1" s="1"/>
  <c r="H191" i="1"/>
  <c r="J191" i="1" s="1"/>
  <c r="G191" i="1"/>
  <c r="J189" i="1"/>
  <c r="I189" i="1"/>
  <c r="I188" i="1"/>
  <c r="J188" i="1" s="1"/>
  <c r="G186" i="1"/>
  <c r="H186" i="1" s="1"/>
  <c r="J186" i="1" s="1"/>
  <c r="G184" i="1"/>
  <c r="H184" i="1" s="1"/>
  <c r="J184" i="1" s="1"/>
  <c r="G182" i="1"/>
  <c r="H182" i="1" s="1"/>
  <c r="J182" i="1" s="1"/>
  <c r="G180" i="1"/>
  <c r="H180" i="1" s="1"/>
  <c r="J180" i="1" s="1"/>
  <c r="G179" i="1"/>
  <c r="H179" i="1" s="1"/>
  <c r="J179" i="1" s="1"/>
  <c r="I177" i="1"/>
  <c r="J177" i="1" s="1"/>
  <c r="I175" i="1"/>
  <c r="J175" i="1" s="1"/>
  <c r="I173" i="1"/>
  <c r="J173" i="1" s="1"/>
  <c r="H171" i="1"/>
  <c r="J171" i="1" s="1"/>
  <c r="G170" i="1"/>
  <c r="H170" i="1" s="1"/>
  <c r="J170" i="1" s="1"/>
  <c r="J168" i="1"/>
  <c r="I168" i="1"/>
  <c r="I166" i="1"/>
  <c r="J166" i="1" s="1"/>
  <c r="J165" i="1"/>
  <c r="H165" i="1"/>
  <c r="G165" i="1"/>
  <c r="H163" i="1"/>
  <c r="J163" i="1" s="1"/>
  <c r="G163" i="1"/>
  <c r="H156" i="1"/>
  <c r="J156" i="1" s="1"/>
  <c r="G156" i="1"/>
  <c r="H155" i="1"/>
  <c r="J155" i="1" s="1"/>
  <c r="G155" i="1"/>
  <c r="G153" i="1"/>
  <c r="H153" i="1" s="1"/>
  <c r="J153" i="1" s="1"/>
  <c r="G152" i="1"/>
  <c r="H152" i="1" s="1"/>
  <c r="J152" i="1" s="1"/>
  <c r="G150" i="1"/>
  <c r="H150" i="1" s="1"/>
  <c r="J150" i="1" s="1"/>
  <c r="J148" i="1"/>
  <c r="H148" i="1"/>
  <c r="G146" i="1"/>
  <c r="H146" i="1" s="1"/>
  <c r="J146" i="1" s="1"/>
  <c r="G144" i="1"/>
  <c r="H144" i="1" s="1"/>
  <c r="J144" i="1" s="1"/>
  <c r="J142" i="1"/>
  <c r="I142" i="1"/>
  <c r="G140" i="1"/>
  <c r="H140" i="1" s="1"/>
  <c r="J140" i="1" s="1"/>
  <c r="H138" i="1"/>
  <c r="J138" i="1" s="1"/>
  <c r="G138" i="1"/>
  <c r="H136" i="1"/>
  <c r="J136" i="1" s="1"/>
  <c r="G136" i="1"/>
  <c r="H134" i="1"/>
  <c r="J134" i="1" s="1"/>
  <c r="H132" i="1"/>
  <c r="J132" i="1" s="1"/>
  <c r="G132" i="1"/>
  <c r="G130" i="1"/>
  <c r="H130" i="1" s="1"/>
  <c r="J130" i="1" s="1"/>
  <c r="H128" i="1"/>
  <c r="J128" i="1" s="1"/>
  <c r="G128" i="1"/>
  <c r="J126" i="1"/>
  <c r="I126" i="1"/>
  <c r="I125" i="1"/>
  <c r="J125" i="1" s="1"/>
  <c r="I124" i="1"/>
  <c r="J124" i="1" s="1"/>
  <c r="I117" i="1"/>
  <c r="J117" i="1" s="1"/>
  <c r="J116" i="1"/>
  <c r="I116" i="1"/>
  <c r="G114" i="1"/>
  <c r="H114" i="1" s="1"/>
  <c r="J114" i="1" s="1"/>
  <c r="H112" i="1"/>
  <c r="J112" i="1" s="1"/>
  <c r="H110" i="1"/>
  <c r="J110" i="1" s="1"/>
  <c r="G110" i="1"/>
  <c r="H109" i="1"/>
  <c r="J109" i="1" s="1"/>
  <c r="G109" i="1"/>
  <c r="H108" i="1"/>
  <c r="J108" i="1" s="1"/>
  <c r="G108" i="1"/>
  <c r="H106" i="1"/>
  <c r="J106" i="1" s="1"/>
  <c r="G106" i="1"/>
  <c r="G105" i="1"/>
  <c r="H105" i="1" s="1"/>
  <c r="J105" i="1" s="1"/>
  <c r="G103" i="1"/>
  <c r="H103" i="1" s="1"/>
  <c r="J103" i="1" s="1"/>
  <c r="I101" i="1"/>
  <c r="J101" i="1" s="1"/>
  <c r="I100" i="1"/>
  <c r="J100" i="1" s="1"/>
  <c r="J99" i="1"/>
  <c r="G99" i="1"/>
  <c r="H99" i="1" s="1"/>
  <c r="I97" i="1"/>
  <c r="J97" i="1" s="1"/>
  <c r="H95" i="1"/>
  <c r="J95" i="1" s="1"/>
  <c r="G94" i="1"/>
  <c r="H94" i="1" s="1"/>
  <c r="J94" i="1" s="1"/>
  <c r="H92" i="1"/>
  <c r="J92" i="1" s="1"/>
  <c r="G92" i="1"/>
  <c r="G90" i="1"/>
  <c r="H90" i="1" s="1"/>
  <c r="J90" i="1" s="1"/>
  <c r="G88" i="1"/>
  <c r="H88" i="1" s="1"/>
  <c r="J88" i="1" s="1"/>
  <c r="H87" i="1"/>
  <c r="J87" i="1" s="1"/>
  <c r="G87" i="1"/>
  <c r="J85" i="1"/>
  <c r="I85" i="1"/>
  <c r="G78" i="1"/>
  <c r="H78" i="1" s="1"/>
  <c r="J78" i="1" s="1"/>
  <c r="G76" i="1"/>
  <c r="H76" i="1" s="1"/>
  <c r="J76" i="1" s="1"/>
  <c r="H74" i="1"/>
  <c r="J74" i="1" s="1"/>
  <c r="G74" i="1"/>
  <c r="H72" i="1"/>
  <c r="J72" i="1" s="1"/>
  <c r="G72" i="1"/>
  <c r="H70" i="1"/>
  <c r="J70" i="1" s="1"/>
  <c r="G70" i="1"/>
  <c r="G68" i="1"/>
  <c r="H68" i="1" s="1"/>
  <c r="J68" i="1" s="1"/>
  <c r="G67" i="1"/>
  <c r="H67" i="1" s="1"/>
  <c r="J67" i="1" s="1"/>
  <c r="J65" i="1"/>
  <c r="H65" i="1"/>
  <c r="H63" i="1"/>
  <c r="J63" i="1" s="1"/>
  <c r="G63" i="1"/>
  <c r="J61" i="1"/>
  <c r="H61" i="1"/>
  <c r="G60" i="1"/>
  <c r="H60" i="1" s="1"/>
  <c r="J60" i="1" s="1"/>
  <c r="G59" i="1"/>
  <c r="H59" i="1" s="1"/>
  <c r="J59" i="1" s="1"/>
  <c r="H58" i="1"/>
  <c r="J58" i="1" s="1"/>
  <c r="G58" i="1"/>
  <c r="H57" i="1"/>
  <c r="J57" i="1" s="1"/>
  <c r="G57" i="1"/>
  <c r="H55" i="1"/>
  <c r="J55" i="1" s="1"/>
  <c r="G55" i="1"/>
  <c r="H54" i="1"/>
  <c r="J54" i="1" s="1"/>
  <c r="G54" i="1"/>
  <c r="H52" i="1"/>
  <c r="J52" i="1" s="1"/>
  <c r="G50" i="1"/>
  <c r="H50" i="1" s="1"/>
  <c r="J50" i="1" s="1"/>
  <c r="I48" i="1"/>
  <c r="J48" i="1" s="1"/>
  <c r="I46" i="1"/>
  <c r="J46" i="1" s="1"/>
  <c r="H39" i="1"/>
  <c r="J39" i="1" s="1"/>
  <c r="G39" i="1"/>
  <c r="H37" i="1"/>
  <c r="J37" i="1" s="1"/>
  <c r="G37" i="1"/>
  <c r="H36" i="1"/>
  <c r="J36" i="1" s="1"/>
  <c r="G36" i="1"/>
  <c r="H34" i="1"/>
  <c r="J34" i="1" s="1"/>
  <c r="G33" i="1"/>
  <c r="H33" i="1" s="1"/>
  <c r="J33" i="1" s="1"/>
  <c r="G31" i="1"/>
  <c r="H31" i="1" s="1"/>
  <c r="J31" i="1" s="1"/>
  <c r="G29" i="1"/>
  <c r="H29" i="1" s="1"/>
  <c r="J29" i="1" s="1"/>
  <c r="H27" i="1"/>
  <c r="J27" i="1" s="1"/>
  <c r="G27" i="1"/>
  <c r="G26" i="1"/>
  <c r="H26" i="1" s="1"/>
  <c r="J26" i="1" s="1"/>
  <c r="H24" i="1"/>
  <c r="J24" i="1" s="1"/>
  <c r="G24" i="1"/>
  <c r="H22" i="1"/>
  <c r="J22" i="1" s="1"/>
  <c r="G22" i="1"/>
  <c r="G20" i="1"/>
  <c r="H20" i="1" s="1"/>
  <c r="J20" i="1" s="1"/>
  <c r="G18" i="1"/>
  <c r="H18" i="1" s="1"/>
  <c r="J18" i="1" s="1"/>
  <c r="G16" i="1"/>
  <c r="H16" i="1" s="1"/>
  <c r="J16" i="1" s="1"/>
  <c r="G14" i="1"/>
  <c r="H14" i="1" s="1"/>
  <c r="J14" i="1" s="1"/>
  <c r="H12" i="1"/>
  <c r="J12" i="1" s="1"/>
  <c r="G12" i="1"/>
  <c r="H10" i="1"/>
  <c r="J10" i="1" s="1"/>
  <c r="G10" i="1"/>
  <c r="G8" i="1"/>
  <c r="H8" i="1" s="1"/>
  <c r="J8" i="1" s="1"/>
  <c r="J6" i="1"/>
  <c r="H6" i="1" s="1"/>
  <c r="I6" i="1" s="1"/>
  <c r="N489" i="1" l="1"/>
  <c r="N490" i="1" s="1"/>
  <c r="N491" i="1" s="1"/>
  <c r="N492" i="1" s="1"/>
  <c r="N493" i="1" s="1"/>
  <c r="N494" i="1" s="1"/>
  <c r="N495" i="1" s="1"/>
  <c r="N496" i="1" s="1"/>
  <c r="N497" i="1" s="1"/>
  <c r="N498" i="1" s="1"/>
  <c r="N499" i="1" s="1"/>
  <c r="N500" i="1" s="1"/>
  <c r="N501" i="1" s="1"/>
  <c r="N502" i="1" s="1"/>
  <c r="N503" i="1" s="1"/>
  <c r="N504" i="1" s="1"/>
  <c r="N505" i="1" s="1"/>
  <c r="N506" i="1" s="1"/>
  <c r="N507" i="1" s="1"/>
  <c r="N512" i="1" s="1"/>
  <c r="N513" i="1" s="1"/>
  <c r="N514" i="1" s="1"/>
  <c r="N515" i="1" s="1"/>
  <c r="N516" i="1" s="1"/>
  <c r="N517" i="1" s="1"/>
  <c r="N518" i="1" s="1"/>
  <c r="N519" i="1" s="1"/>
  <c r="N520" i="1" s="1"/>
  <c r="N521" i="1" s="1"/>
  <c r="N522" i="1" s="1"/>
  <c r="N523" i="1" s="1"/>
  <c r="N524" i="1" s="1"/>
  <c r="N525" i="1" s="1"/>
  <c r="N526" i="1" s="1"/>
  <c r="N527" i="1" s="1"/>
  <c r="N528" i="1" s="1"/>
  <c r="N529" i="1" s="1"/>
  <c r="N530" i="1" s="1"/>
  <c r="N531" i="1" s="1"/>
  <c r="N532" i="1" s="1"/>
  <c r="N533" i="1" s="1"/>
  <c r="N534" i="1" s="1"/>
  <c r="N535" i="1" s="1"/>
  <c r="N536" i="1" s="1"/>
  <c r="N537" i="1" s="1"/>
  <c r="N538" i="1" s="1"/>
  <c r="N539" i="1" s="1"/>
  <c r="N540" i="1" s="1"/>
  <c r="N541" i="1" s="1"/>
  <c r="N542" i="1" s="1"/>
  <c r="N543" i="1" s="1"/>
  <c r="N544" i="1" s="1"/>
  <c r="N545" i="1" s="1"/>
  <c r="N546" i="1" s="1"/>
  <c r="N551" i="1" s="1"/>
  <c r="N552" i="1" s="1"/>
  <c r="N553" i="1" s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N565" i="1" s="1"/>
  <c r="N566" i="1" s="1"/>
  <c r="N567" i="1" s="1"/>
  <c r="N568" i="1" s="1"/>
  <c r="N569" i="1" s="1"/>
  <c r="N570" i="1" s="1"/>
  <c r="N571" i="1" s="1"/>
  <c r="N572" i="1" s="1"/>
  <c r="N573" i="1" s="1"/>
  <c r="N574" i="1" s="1"/>
  <c r="N575" i="1" s="1"/>
  <c r="N576" i="1" s="1"/>
  <c r="N577" i="1" s="1"/>
  <c r="N578" i="1" s="1"/>
  <c r="N579" i="1" s="1"/>
  <c r="N580" i="1" s="1"/>
  <c r="N581" i="1" s="1"/>
  <c r="N582" i="1" s="1"/>
  <c r="N583" i="1" s="1"/>
  <c r="N584" i="1" s="1"/>
  <c r="N585" i="1" s="1"/>
  <c r="N590" i="1" s="1"/>
  <c r="N591" i="1" s="1"/>
  <c r="N592" i="1" s="1"/>
  <c r="N593" i="1" s="1"/>
  <c r="N594" i="1" s="1"/>
  <c r="N595" i="1" s="1"/>
  <c r="N6" i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N272" i="1" s="1"/>
  <c r="N273" i="1" s="1"/>
  <c r="N278" i="1" s="1"/>
  <c r="N279" i="1" s="1"/>
  <c r="N280" i="1" s="1"/>
  <c r="N281" i="1" s="1"/>
  <c r="N282" i="1" s="1"/>
  <c r="N283" i="1" s="1"/>
  <c r="N284" i="1" s="1"/>
  <c r="N285" i="1" s="1"/>
  <c r="N286" i="1" s="1"/>
  <c r="N287" i="1" s="1"/>
  <c r="N288" i="1" s="1"/>
  <c r="N289" i="1" s="1"/>
  <c r="N290" i="1" s="1"/>
  <c r="N291" i="1" s="1"/>
  <c r="N292" i="1" s="1"/>
  <c r="N293" i="1" s="1"/>
  <c r="N294" i="1" s="1"/>
  <c r="N295" i="1" s="1"/>
  <c r="N296" i="1" s="1"/>
  <c r="N297" i="1" s="1"/>
  <c r="N298" i="1" s="1"/>
  <c r="N299" i="1" s="1"/>
  <c r="N300" i="1" s="1"/>
  <c r="N301" i="1" s="1"/>
  <c r="N302" i="1" s="1"/>
  <c r="N303" i="1" s="1"/>
  <c r="N304" i="1" s="1"/>
  <c r="N305" i="1" s="1"/>
  <c r="N306" i="1" s="1"/>
  <c r="N307" i="1" s="1"/>
  <c r="N308" i="1" s="1"/>
  <c r="N309" i="1" s="1"/>
  <c r="N310" i="1" s="1"/>
  <c r="N311" i="1" s="1"/>
  <c r="N312" i="1" s="1"/>
  <c r="N317" i="1" s="1"/>
  <c r="N318" i="1" s="1"/>
  <c r="N319" i="1" s="1"/>
  <c r="N320" i="1" s="1"/>
  <c r="N321" i="1" s="1"/>
  <c r="N322" i="1" s="1"/>
  <c r="N323" i="1" s="1"/>
  <c r="N324" i="1" s="1"/>
  <c r="N325" i="1" s="1"/>
  <c r="N326" i="1" s="1"/>
  <c r="N327" i="1" s="1"/>
  <c r="N328" i="1" s="1"/>
  <c r="N329" i="1" s="1"/>
  <c r="N330" i="1" s="1"/>
  <c r="N331" i="1" s="1"/>
  <c r="N332" i="1" s="1"/>
  <c r="N333" i="1" s="1"/>
  <c r="N334" i="1" s="1"/>
  <c r="N335" i="1" s="1"/>
  <c r="N336" i="1" s="1"/>
  <c r="N337" i="1" s="1"/>
  <c r="N338" i="1" s="1"/>
  <c r="N339" i="1" s="1"/>
  <c r="N340" i="1" s="1"/>
  <c r="N341" i="1" s="1"/>
  <c r="N342" i="1" s="1"/>
  <c r="N343" i="1" s="1"/>
  <c r="N344" i="1" s="1"/>
  <c r="N345" i="1" s="1"/>
  <c r="N346" i="1" s="1"/>
  <c r="N347" i="1" s="1"/>
  <c r="N348" i="1" s="1"/>
  <c r="N349" i="1" s="1"/>
  <c r="N350" i="1" s="1"/>
  <c r="N351" i="1" s="1"/>
  <c r="N356" i="1" s="1"/>
  <c r="N357" i="1" s="1"/>
  <c r="N358" i="1" s="1"/>
  <c r="N359" i="1" s="1"/>
  <c r="N360" i="1" s="1"/>
  <c r="N361" i="1" s="1"/>
  <c r="N362" i="1" s="1"/>
  <c r="N363" i="1" s="1"/>
  <c r="N364" i="1" s="1"/>
  <c r="N365" i="1" s="1"/>
  <c r="N366" i="1" s="1"/>
  <c r="N367" i="1" s="1"/>
  <c r="N368" i="1" s="1"/>
  <c r="N369" i="1" s="1"/>
  <c r="N370" i="1" s="1"/>
  <c r="N371" i="1" s="1"/>
  <c r="N372" i="1" s="1"/>
  <c r="N373" i="1" s="1"/>
  <c r="N374" i="1" s="1"/>
  <c r="N375" i="1" s="1"/>
  <c r="N376" i="1" s="1"/>
  <c r="N377" i="1" s="1"/>
  <c r="N378" i="1" s="1"/>
  <c r="N379" i="1" s="1"/>
  <c r="I596" i="1"/>
  <c r="J596" i="1" s="1"/>
  <c r="N674" i="1"/>
  <c r="N675" i="1" s="1"/>
  <c r="N676" i="1" s="1"/>
  <c r="N677" i="1" s="1"/>
  <c r="N678" i="1" s="1"/>
  <c r="N679" i="1" s="1"/>
  <c r="N680" i="1" s="1"/>
  <c r="N681" i="1" s="1"/>
  <c r="N682" i="1" s="1"/>
  <c r="N683" i="1" s="1"/>
  <c r="N684" i="1" s="1"/>
  <c r="N685" i="1" s="1"/>
  <c r="N686" i="1" s="1"/>
  <c r="N687" i="1" s="1"/>
  <c r="N688" i="1" s="1"/>
  <c r="N689" i="1" s="1"/>
  <c r="N690" i="1" s="1"/>
  <c r="N691" i="1" s="1"/>
  <c r="N692" i="1" s="1"/>
  <c r="N693" i="1" s="1"/>
  <c r="N694" i="1" s="1"/>
  <c r="N695" i="1" s="1"/>
  <c r="N696" i="1" s="1"/>
  <c r="N697" i="1" s="1"/>
  <c r="N698" i="1" s="1"/>
  <c r="N699" i="1" s="1"/>
  <c r="N700" i="1" s="1"/>
  <c r="N701" i="1" s="1"/>
  <c r="N702" i="1" s="1"/>
  <c r="N707" i="1" s="1"/>
  <c r="N708" i="1" s="1"/>
  <c r="N709" i="1" s="1"/>
  <c r="N710" i="1" s="1"/>
  <c r="N711" i="1" s="1"/>
  <c r="N712" i="1" s="1"/>
  <c r="N713" i="1" s="1"/>
  <c r="N714" i="1" s="1"/>
  <c r="N715" i="1" s="1"/>
  <c r="N716" i="1" s="1"/>
  <c r="N717" i="1" s="1"/>
  <c r="N718" i="1" s="1"/>
  <c r="N719" i="1" s="1"/>
  <c r="N720" i="1" s="1"/>
  <c r="N721" i="1" s="1"/>
  <c r="N722" i="1" s="1"/>
  <c r="N723" i="1" s="1"/>
  <c r="N724" i="1" s="1"/>
  <c r="N725" i="1" s="1"/>
  <c r="N726" i="1" s="1"/>
  <c r="N727" i="1" s="1"/>
  <c r="I380" i="1"/>
  <c r="J380" i="1" s="1"/>
  <c r="I597" i="1"/>
  <c r="J597" i="1" s="1"/>
  <c r="I728" i="1"/>
  <c r="J728" i="1" s="1"/>
  <c r="J1458" i="1"/>
  <c r="I1413" i="1"/>
  <c r="J1413" i="1" s="1"/>
  <c r="N1413" i="1" s="1"/>
  <c r="N1414" i="1" s="1"/>
  <c r="N1415" i="1" s="1"/>
  <c r="N1416" i="1" s="1"/>
  <c r="N1417" i="1" s="1"/>
  <c r="N1418" i="1" s="1"/>
  <c r="N1419" i="1" s="1"/>
  <c r="N1420" i="1" s="1"/>
  <c r="N1421" i="1" s="1"/>
  <c r="N1422" i="1" s="1"/>
  <c r="N1423" i="1" s="1"/>
  <c r="N1424" i="1" s="1"/>
  <c r="N1425" i="1" s="1"/>
  <c r="N1426" i="1" s="1"/>
  <c r="N1427" i="1" s="1"/>
  <c r="N1428" i="1" s="1"/>
  <c r="N1429" i="1" s="1"/>
  <c r="N1430" i="1" s="1"/>
  <c r="N1431" i="1" s="1"/>
  <c r="N1432" i="1" s="1"/>
  <c r="N1433" i="1" s="1"/>
  <c r="N1434" i="1" s="1"/>
  <c r="N1435" i="1" s="1"/>
  <c r="N1436" i="1" s="1"/>
  <c r="N1437" i="1" s="1"/>
  <c r="N1438" i="1" s="1"/>
  <c r="N1439" i="1" s="1"/>
  <c r="N1440" i="1" s="1"/>
  <c r="N1441" i="1" s="1"/>
  <c r="N1442" i="1" s="1"/>
  <c r="N1443" i="1" s="1"/>
  <c r="N1448" i="1" s="1"/>
  <c r="N1449" i="1" s="1"/>
  <c r="N1450" i="1" s="1"/>
  <c r="N1451" i="1" s="1"/>
  <c r="N1452" i="1" s="1"/>
  <c r="N1453" i="1" s="1"/>
  <c r="N1454" i="1" s="1"/>
  <c r="N1455" i="1" s="1"/>
  <c r="N1456" i="1" s="1"/>
  <c r="N1457" i="1" s="1"/>
  <c r="N1458" i="1" s="1"/>
  <c r="N1459" i="1" s="1"/>
  <c r="N1460" i="1" s="1"/>
  <c r="N1461" i="1" s="1"/>
  <c r="N1462" i="1" s="1"/>
  <c r="N1463" i="1" s="1"/>
  <c r="N1464" i="1" s="1"/>
  <c r="N1465" i="1" s="1"/>
  <c r="N1466" i="1" s="1"/>
  <c r="N1467" i="1" s="1"/>
  <c r="N1468" i="1" s="1"/>
  <c r="N1469" i="1" s="1"/>
  <c r="N1470" i="1" s="1"/>
  <c r="N1471" i="1" s="1"/>
  <c r="N1472" i="1" s="1"/>
  <c r="N1473" i="1" s="1"/>
  <c r="N1474" i="1" s="1"/>
  <c r="N1475" i="1" s="1"/>
  <c r="N1476" i="1" s="1"/>
  <c r="N1477" i="1" s="1"/>
  <c r="N1478" i="1" s="1"/>
  <c r="N1479" i="1" s="1"/>
  <c r="N1480" i="1" s="1"/>
  <c r="N1481" i="1" s="1"/>
  <c r="N1482" i="1" s="1"/>
  <c r="N1487" i="1" s="1"/>
  <c r="N1488" i="1" s="1"/>
  <c r="N1489" i="1" s="1"/>
  <c r="N1490" i="1" s="1"/>
  <c r="N1491" i="1" s="1"/>
  <c r="N1492" i="1" s="1"/>
  <c r="N1493" i="1" s="1"/>
  <c r="N1494" i="1" s="1"/>
  <c r="N1495" i="1" s="1"/>
  <c r="N1496" i="1" s="1"/>
  <c r="N1497" i="1" s="1"/>
  <c r="N1498" i="1" s="1"/>
  <c r="N1499" i="1" s="1"/>
  <c r="N1500" i="1" s="1"/>
  <c r="N1501" i="1" s="1"/>
  <c r="N1502" i="1" s="1"/>
  <c r="N1503" i="1" s="1"/>
  <c r="N1504" i="1" s="1"/>
  <c r="N1505" i="1" s="1"/>
  <c r="N1506" i="1" s="1"/>
  <c r="N1507" i="1" s="1"/>
  <c r="N1508" i="1" s="1"/>
  <c r="N1509" i="1" s="1"/>
  <c r="N1510" i="1" s="1"/>
  <c r="N1511" i="1" s="1"/>
  <c r="N1512" i="1" s="1"/>
  <c r="N1513" i="1" s="1"/>
  <c r="N1514" i="1" s="1"/>
  <c r="N1515" i="1" s="1"/>
  <c r="N1516" i="1" s="1"/>
  <c r="N1517" i="1" s="1"/>
  <c r="N1518" i="1" s="1"/>
  <c r="N1519" i="1" s="1"/>
  <c r="N1520" i="1" s="1"/>
  <c r="N1521" i="1" s="1"/>
  <c r="N1526" i="1" s="1"/>
  <c r="N1527" i="1" s="1"/>
  <c r="N1528" i="1" s="1"/>
  <c r="N1529" i="1" s="1"/>
  <c r="N1530" i="1" s="1"/>
  <c r="N1531" i="1" s="1"/>
  <c r="N1532" i="1" s="1"/>
  <c r="N1533" i="1" s="1"/>
  <c r="N1534" i="1" s="1"/>
  <c r="N1535" i="1" s="1"/>
  <c r="N1536" i="1" s="1"/>
  <c r="N1537" i="1" s="1"/>
  <c r="N1538" i="1" s="1"/>
  <c r="N1539" i="1" s="1"/>
  <c r="N1540" i="1" s="1"/>
  <c r="N1541" i="1" s="1"/>
  <c r="N1542" i="1" s="1"/>
  <c r="N1543" i="1" s="1"/>
  <c r="N1544" i="1" s="1"/>
  <c r="N1545" i="1" s="1"/>
  <c r="N1546" i="1" s="1"/>
  <c r="N1547" i="1" s="1"/>
  <c r="N1548" i="1" s="1"/>
  <c r="N1549" i="1" s="1"/>
  <c r="N1550" i="1" s="1"/>
  <c r="N1551" i="1" s="1"/>
  <c r="N1552" i="1" s="1"/>
  <c r="N1553" i="1" s="1"/>
  <c r="N1554" i="1" s="1"/>
  <c r="N1555" i="1" s="1"/>
  <c r="N1556" i="1" s="1"/>
  <c r="N1557" i="1" s="1"/>
  <c r="N1558" i="1" s="1"/>
  <c r="N1559" i="1" s="1"/>
  <c r="N1560" i="1" s="1"/>
  <c r="N1565" i="1" s="1"/>
  <c r="N1566" i="1" s="1"/>
  <c r="N1567" i="1" s="1"/>
  <c r="N1568" i="1" s="1"/>
  <c r="N1569" i="1" s="1"/>
  <c r="N1570" i="1" s="1"/>
  <c r="N1571" i="1" s="1"/>
  <c r="N1572" i="1" s="1"/>
  <c r="N1573" i="1" s="1"/>
  <c r="N1574" i="1" s="1"/>
  <c r="N1575" i="1" s="1"/>
  <c r="N1576" i="1" s="1"/>
  <c r="N1577" i="1" s="1"/>
  <c r="N1578" i="1" s="1"/>
  <c r="N1579" i="1" s="1"/>
  <c r="N1580" i="1" s="1"/>
  <c r="N1581" i="1" s="1"/>
  <c r="N1582" i="1" s="1"/>
  <c r="N1583" i="1" s="1"/>
  <c r="N1584" i="1" s="1"/>
  <c r="N1585" i="1" s="1"/>
  <c r="N1586" i="1" s="1"/>
  <c r="N1587" i="1" s="1"/>
  <c r="N1588" i="1" s="1"/>
  <c r="N1589" i="1" s="1"/>
  <c r="N1590" i="1" s="1"/>
  <c r="N1591" i="1" s="1"/>
  <c r="N1592" i="1" s="1"/>
  <c r="N1593" i="1" s="1"/>
  <c r="N1594" i="1" s="1"/>
  <c r="N1595" i="1" s="1"/>
  <c r="N1596" i="1" s="1"/>
  <c r="N1597" i="1" s="1"/>
  <c r="N1598" i="1" s="1"/>
  <c r="N1599" i="1" s="1"/>
  <c r="N1604" i="1" s="1"/>
  <c r="N1605" i="1" s="1"/>
  <c r="N1606" i="1" s="1"/>
  <c r="N1607" i="1" s="1"/>
  <c r="N1608" i="1" s="1"/>
  <c r="N1609" i="1" s="1"/>
  <c r="N1610" i="1" s="1"/>
  <c r="N1611" i="1" s="1"/>
  <c r="N1612" i="1" s="1"/>
  <c r="N1613" i="1" s="1"/>
  <c r="N1614" i="1" s="1"/>
  <c r="N1615" i="1" s="1"/>
  <c r="N1616" i="1" s="1"/>
  <c r="N1617" i="1" s="1"/>
  <c r="N1618" i="1" s="1"/>
  <c r="N1619" i="1" s="1"/>
  <c r="N1620" i="1" s="1"/>
  <c r="N1621" i="1" s="1"/>
  <c r="N1622" i="1" s="1"/>
  <c r="N1623" i="1" s="1"/>
  <c r="N1624" i="1" s="1"/>
  <c r="N1625" i="1" s="1"/>
  <c r="N1626" i="1" s="1"/>
  <c r="N1627" i="1" s="1"/>
  <c r="N1628" i="1" s="1"/>
  <c r="N1629" i="1" s="1"/>
  <c r="N1630" i="1" s="1"/>
  <c r="N1631" i="1" s="1"/>
  <c r="N1632" i="1" s="1"/>
  <c r="N1633" i="1" s="1"/>
  <c r="N1634" i="1" s="1"/>
  <c r="N1635" i="1" s="1"/>
  <c r="N1636" i="1" s="1"/>
  <c r="N1637" i="1" s="1"/>
  <c r="N1638" i="1" s="1"/>
  <c r="N1643" i="1" s="1"/>
  <c r="N1644" i="1" s="1"/>
  <c r="N1645" i="1" s="1"/>
  <c r="N1646" i="1" s="1"/>
  <c r="N1647" i="1" s="1"/>
  <c r="N1648" i="1" s="1"/>
  <c r="N1649" i="1" s="1"/>
  <c r="N1650" i="1" s="1"/>
  <c r="N1651" i="1" s="1"/>
  <c r="N1652" i="1" s="1"/>
  <c r="N1653" i="1" s="1"/>
  <c r="N1654" i="1" s="1"/>
  <c r="N1655" i="1" s="1"/>
  <c r="N1656" i="1" s="1"/>
  <c r="N1657" i="1" s="1"/>
  <c r="N1658" i="1" s="1"/>
  <c r="N1659" i="1" s="1"/>
  <c r="N1660" i="1" s="1"/>
  <c r="N1661" i="1" s="1"/>
  <c r="N1662" i="1" s="1"/>
  <c r="N1663" i="1" s="1"/>
  <c r="N1664" i="1" s="1"/>
  <c r="N1665" i="1" s="1"/>
  <c r="N1666" i="1" s="1"/>
  <c r="N1667" i="1" s="1"/>
  <c r="N1668" i="1" s="1"/>
  <c r="N1669" i="1" s="1"/>
  <c r="N1670" i="1" s="1"/>
  <c r="N1671" i="1" s="1"/>
  <c r="N1672" i="1" s="1"/>
  <c r="N1673" i="1" s="1"/>
  <c r="N1674" i="1" s="1"/>
  <c r="N1675" i="1" s="1"/>
  <c r="N1676" i="1" s="1"/>
  <c r="N1677" i="1" s="1"/>
  <c r="I1508" i="1"/>
  <c r="J1508" i="1" s="1"/>
  <c r="N728" i="1" l="1"/>
  <c r="N729" i="1" s="1"/>
  <c r="N730" i="1" s="1"/>
  <c r="N731" i="1" s="1"/>
  <c r="N732" i="1" s="1"/>
  <c r="N733" i="1" s="1"/>
  <c r="N734" i="1" s="1"/>
  <c r="N735" i="1" s="1"/>
  <c r="N736" i="1" s="1"/>
  <c r="N737" i="1" s="1"/>
  <c r="N738" i="1" s="1"/>
  <c r="N739" i="1" s="1"/>
  <c r="N740" i="1" s="1"/>
  <c r="N741" i="1" s="1"/>
  <c r="N746" i="1" s="1"/>
  <c r="N747" i="1" s="1"/>
  <c r="N748" i="1" s="1"/>
  <c r="N749" i="1" s="1"/>
  <c r="N750" i="1" s="1"/>
  <c r="N751" i="1" s="1"/>
  <c r="N752" i="1" s="1"/>
  <c r="N753" i="1" s="1"/>
  <c r="N754" i="1" s="1"/>
  <c r="N755" i="1" s="1"/>
  <c r="N756" i="1" s="1"/>
  <c r="N757" i="1" s="1"/>
  <c r="N758" i="1" s="1"/>
  <c r="N759" i="1" s="1"/>
  <c r="N760" i="1" s="1"/>
  <c r="N761" i="1" s="1"/>
  <c r="N762" i="1" s="1"/>
  <c r="N763" i="1" s="1"/>
  <c r="N764" i="1" s="1"/>
  <c r="N765" i="1" s="1"/>
  <c r="N766" i="1" s="1"/>
  <c r="N767" i="1" s="1"/>
  <c r="N768" i="1" s="1"/>
  <c r="N769" i="1" s="1"/>
  <c r="N770" i="1" s="1"/>
  <c r="N771" i="1" s="1"/>
  <c r="N772" i="1" s="1"/>
  <c r="N773" i="1" s="1"/>
  <c r="N774" i="1" s="1"/>
  <c r="N775" i="1" s="1"/>
  <c r="N776" i="1" s="1"/>
  <c r="N777" i="1" s="1"/>
  <c r="N778" i="1" s="1"/>
  <c r="N779" i="1" s="1"/>
  <c r="N780" i="1" s="1"/>
  <c r="N785" i="1" s="1"/>
  <c r="N786" i="1" s="1"/>
  <c r="N787" i="1" s="1"/>
  <c r="N788" i="1" s="1"/>
  <c r="N789" i="1" s="1"/>
  <c r="N790" i="1" s="1"/>
  <c r="N791" i="1" s="1"/>
  <c r="N792" i="1" s="1"/>
  <c r="N793" i="1" s="1"/>
  <c r="N794" i="1" s="1"/>
  <c r="N795" i="1" s="1"/>
  <c r="N796" i="1" s="1"/>
  <c r="N797" i="1" s="1"/>
  <c r="N798" i="1" s="1"/>
  <c r="N799" i="1" s="1"/>
  <c r="N800" i="1" s="1"/>
  <c r="N801" i="1" s="1"/>
  <c r="N802" i="1" s="1"/>
  <c r="N803" i="1" s="1"/>
  <c r="N804" i="1" s="1"/>
  <c r="N805" i="1" s="1"/>
  <c r="N806" i="1" s="1"/>
  <c r="N807" i="1" s="1"/>
  <c r="N808" i="1" s="1"/>
  <c r="N809" i="1" s="1"/>
  <c r="N810" i="1" s="1"/>
  <c r="N811" i="1" s="1"/>
  <c r="N812" i="1" s="1"/>
  <c r="N813" i="1" s="1"/>
  <c r="N814" i="1" s="1"/>
  <c r="N815" i="1" s="1"/>
  <c r="N816" i="1" s="1"/>
  <c r="N817" i="1" s="1"/>
  <c r="N818" i="1" s="1"/>
  <c r="N819" i="1" s="1"/>
  <c r="N824" i="1" s="1"/>
  <c r="N825" i="1" s="1"/>
  <c r="N826" i="1" s="1"/>
  <c r="N827" i="1" s="1"/>
  <c r="N828" i="1" s="1"/>
  <c r="N829" i="1" s="1"/>
  <c r="N830" i="1" s="1"/>
  <c r="N831" i="1" s="1"/>
  <c r="N832" i="1" s="1"/>
  <c r="N833" i="1" s="1"/>
  <c r="N834" i="1" s="1"/>
  <c r="N835" i="1" s="1"/>
  <c r="N836" i="1" s="1"/>
  <c r="N837" i="1" s="1"/>
  <c r="N838" i="1" s="1"/>
  <c r="N839" i="1" s="1"/>
  <c r="N840" i="1" s="1"/>
  <c r="N841" i="1" s="1"/>
  <c r="N842" i="1" s="1"/>
  <c r="N843" i="1" s="1"/>
  <c r="N844" i="1" s="1"/>
  <c r="N845" i="1" s="1"/>
  <c r="N846" i="1" s="1"/>
  <c r="N847" i="1" s="1"/>
  <c r="N848" i="1" s="1"/>
  <c r="N849" i="1" s="1"/>
  <c r="N850" i="1" s="1"/>
  <c r="N851" i="1" s="1"/>
  <c r="N852" i="1" s="1"/>
  <c r="N853" i="1" s="1"/>
  <c r="N854" i="1" s="1"/>
  <c r="N855" i="1" s="1"/>
  <c r="N856" i="1" s="1"/>
  <c r="N857" i="1" s="1"/>
  <c r="N858" i="1" s="1"/>
  <c r="N863" i="1" s="1"/>
  <c r="N864" i="1" s="1"/>
  <c r="N865" i="1" s="1"/>
  <c r="N866" i="1" s="1"/>
  <c r="N867" i="1" s="1"/>
  <c r="N868" i="1" s="1"/>
  <c r="N869" i="1" s="1"/>
  <c r="N870" i="1" s="1"/>
  <c r="N871" i="1" s="1"/>
  <c r="N872" i="1" s="1"/>
  <c r="N873" i="1" s="1"/>
  <c r="N874" i="1" s="1"/>
  <c r="N875" i="1" s="1"/>
  <c r="N876" i="1" s="1"/>
  <c r="N877" i="1" s="1"/>
  <c r="N878" i="1" s="1"/>
  <c r="N879" i="1" s="1"/>
  <c r="N880" i="1" s="1"/>
  <c r="N881" i="1" s="1"/>
  <c r="N882" i="1" s="1"/>
  <c r="N883" i="1" s="1"/>
  <c r="N884" i="1" s="1"/>
  <c r="N885" i="1" s="1"/>
  <c r="N886" i="1" s="1"/>
  <c r="N887" i="1" s="1"/>
  <c r="N888" i="1" s="1"/>
  <c r="N889" i="1" s="1"/>
  <c r="N890" i="1" s="1"/>
  <c r="N891" i="1" s="1"/>
  <c r="N892" i="1" s="1"/>
  <c r="N893" i="1" s="1"/>
  <c r="N894" i="1" s="1"/>
  <c r="N895" i="1" s="1"/>
  <c r="N896" i="1" s="1"/>
  <c r="N897" i="1" s="1"/>
  <c r="N902" i="1" s="1"/>
  <c r="N903" i="1" s="1"/>
  <c r="N904" i="1" s="1"/>
  <c r="N905" i="1" s="1"/>
  <c r="N906" i="1" s="1"/>
  <c r="N907" i="1" s="1"/>
  <c r="N908" i="1" s="1"/>
  <c r="N909" i="1" s="1"/>
  <c r="N910" i="1" s="1"/>
  <c r="N911" i="1" s="1"/>
  <c r="N912" i="1" s="1"/>
  <c r="N913" i="1" s="1"/>
  <c r="N914" i="1" s="1"/>
  <c r="N915" i="1" s="1"/>
  <c r="N916" i="1" s="1"/>
  <c r="N917" i="1" s="1"/>
  <c r="N918" i="1" s="1"/>
  <c r="N919" i="1" s="1"/>
  <c r="N920" i="1" s="1"/>
  <c r="N921" i="1" s="1"/>
  <c r="N922" i="1" s="1"/>
  <c r="N923" i="1" s="1"/>
  <c r="N924" i="1" s="1"/>
  <c r="N925" i="1" s="1"/>
  <c r="N926" i="1" s="1"/>
  <c r="N927" i="1" s="1"/>
  <c r="N928" i="1" s="1"/>
  <c r="N929" i="1" s="1"/>
  <c r="N930" i="1" s="1"/>
  <c r="N931" i="1" s="1"/>
  <c r="N932" i="1" s="1"/>
  <c r="N933" i="1" s="1"/>
  <c r="N934" i="1" s="1"/>
  <c r="N935" i="1" s="1"/>
  <c r="N936" i="1" s="1"/>
  <c r="N941" i="1" s="1"/>
  <c r="N942" i="1" s="1"/>
  <c r="N943" i="1" s="1"/>
  <c r="N944" i="1" s="1"/>
  <c r="N945" i="1" s="1"/>
  <c r="N946" i="1" s="1"/>
  <c r="N947" i="1" s="1"/>
  <c r="N948" i="1" s="1"/>
  <c r="N949" i="1" s="1"/>
  <c r="N950" i="1" s="1"/>
  <c r="N951" i="1" s="1"/>
  <c r="N952" i="1" s="1"/>
  <c r="N953" i="1" s="1"/>
  <c r="N954" i="1" s="1"/>
  <c r="N955" i="1" s="1"/>
  <c r="N956" i="1" s="1"/>
  <c r="N957" i="1" s="1"/>
  <c r="N958" i="1" s="1"/>
  <c r="N959" i="1" s="1"/>
  <c r="N960" i="1" s="1"/>
  <c r="N961" i="1" s="1"/>
  <c r="N962" i="1" s="1"/>
  <c r="N963" i="1" s="1"/>
  <c r="N964" i="1" s="1"/>
  <c r="N965" i="1" s="1"/>
  <c r="N966" i="1" s="1"/>
  <c r="N967" i="1" s="1"/>
  <c r="N968" i="1" s="1"/>
  <c r="N969" i="1" s="1"/>
  <c r="N970" i="1" s="1"/>
  <c r="N971" i="1" s="1"/>
  <c r="N972" i="1" s="1"/>
  <c r="N973" i="1" s="1"/>
  <c r="N974" i="1" s="1"/>
  <c r="N975" i="1" s="1"/>
  <c r="N980" i="1" s="1"/>
  <c r="N981" i="1" s="1"/>
  <c r="N982" i="1" s="1"/>
  <c r="N983" i="1" s="1"/>
  <c r="N984" i="1" s="1"/>
  <c r="N985" i="1" s="1"/>
  <c r="N986" i="1" s="1"/>
  <c r="N987" i="1" s="1"/>
  <c r="N988" i="1" s="1"/>
  <c r="N989" i="1" s="1"/>
  <c r="N990" i="1" s="1"/>
  <c r="N991" i="1" s="1"/>
  <c r="N992" i="1" s="1"/>
  <c r="N993" i="1" s="1"/>
  <c r="N994" i="1" s="1"/>
  <c r="N995" i="1" s="1"/>
  <c r="N996" i="1" s="1"/>
  <c r="N997" i="1" s="1"/>
  <c r="N998" i="1" s="1"/>
  <c r="N999" i="1" s="1"/>
  <c r="N1000" i="1" s="1"/>
  <c r="N1001" i="1" s="1"/>
  <c r="N1002" i="1" s="1"/>
  <c r="N1003" i="1" s="1"/>
  <c r="N1004" i="1" s="1"/>
  <c r="N1005" i="1" s="1"/>
  <c r="N1006" i="1" s="1"/>
  <c r="N1007" i="1" s="1"/>
  <c r="N1008" i="1" s="1"/>
  <c r="N1009" i="1" s="1"/>
  <c r="N1010" i="1" s="1"/>
  <c r="N1011" i="1" s="1"/>
  <c r="N1012" i="1" s="1"/>
  <c r="N380" i="1"/>
  <c r="N381" i="1" s="1"/>
  <c r="N382" i="1" s="1"/>
  <c r="N383" i="1" s="1"/>
  <c r="N384" i="1" s="1"/>
  <c r="N385" i="1" s="1"/>
  <c r="N386" i="1" s="1"/>
  <c r="N387" i="1" s="1"/>
  <c r="N388" i="1" s="1"/>
  <c r="N389" i="1" s="1"/>
  <c r="N390" i="1" s="1"/>
  <c r="N395" i="1" s="1"/>
  <c r="N396" i="1" s="1"/>
  <c r="N397" i="1" s="1"/>
  <c r="N398" i="1" s="1"/>
  <c r="N399" i="1" s="1"/>
  <c r="N400" i="1" s="1"/>
  <c r="N401" i="1" s="1"/>
  <c r="N402" i="1" s="1"/>
  <c r="N403" i="1" s="1"/>
  <c r="N404" i="1" s="1"/>
  <c r="N405" i="1" s="1"/>
  <c r="N406" i="1" s="1"/>
  <c r="N407" i="1" s="1"/>
  <c r="N408" i="1" s="1"/>
  <c r="N409" i="1" s="1"/>
  <c r="N410" i="1" s="1"/>
  <c r="N411" i="1" s="1"/>
  <c r="N412" i="1" s="1"/>
  <c r="N413" i="1" s="1"/>
  <c r="N414" i="1" s="1"/>
  <c r="N415" i="1" s="1"/>
  <c r="N416" i="1" s="1"/>
  <c r="N417" i="1" s="1"/>
  <c r="N418" i="1" s="1"/>
  <c r="N419" i="1" s="1"/>
  <c r="N420" i="1" s="1"/>
  <c r="N421" i="1" s="1"/>
  <c r="N422" i="1" s="1"/>
  <c r="N423" i="1" s="1"/>
  <c r="N424" i="1" s="1"/>
  <c r="N425" i="1" s="1"/>
  <c r="N426" i="1" s="1"/>
  <c r="N427" i="1" s="1"/>
  <c r="N428" i="1" s="1"/>
  <c r="N429" i="1" s="1"/>
  <c r="N434" i="1" s="1"/>
  <c r="N435" i="1" s="1"/>
  <c r="N436" i="1" s="1"/>
  <c r="N437" i="1" s="1"/>
  <c r="N438" i="1" s="1"/>
  <c r="N439" i="1" s="1"/>
  <c r="N440" i="1" s="1"/>
  <c r="N441" i="1" s="1"/>
  <c r="N442" i="1" s="1"/>
  <c r="N443" i="1" s="1"/>
  <c r="N444" i="1" s="1"/>
  <c r="N445" i="1" s="1"/>
  <c r="N446" i="1" s="1"/>
  <c r="N447" i="1" s="1"/>
  <c r="N448" i="1" s="1"/>
  <c r="N449" i="1" s="1"/>
  <c r="N450" i="1" s="1"/>
  <c r="N451" i="1" s="1"/>
  <c r="N452" i="1" s="1"/>
  <c r="N453" i="1" s="1"/>
  <c r="N454" i="1" s="1"/>
  <c r="N455" i="1" s="1"/>
  <c r="N596" i="1"/>
  <c r="N597" i="1" s="1"/>
  <c r="N598" i="1" s="1"/>
  <c r="N599" i="1" s="1"/>
  <c r="N600" i="1" s="1"/>
  <c r="N601" i="1" s="1"/>
  <c r="N602" i="1" s="1"/>
  <c r="N603" i="1" s="1"/>
  <c r="N604" i="1" s="1"/>
  <c r="N605" i="1" s="1"/>
  <c r="N606" i="1" s="1"/>
  <c r="N607" i="1" s="1"/>
  <c r="N608" i="1" s="1"/>
  <c r="N609" i="1" s="1"/>
  <c r="N610" i="1" s="1"/>
  <c r="N611" i="1" s="1"/>
  <c r="N612" i="1" s="1"/>
  <c r="N613" i="1" s="1"/>
  <c r="N614" i="1" s="1"/>
  <c r="N615" i="1" s="1"/>
  <c r="N616" i="1" s="1"/>
  <c r="N617" i="1" s="1"/>
  <c r="N618" i="1" s="1"/>
  <c r="N619" i="1" s="1"/>
  <c r="N620" i="1" s="1"/>
  <c r="N621" i="1" s="1"/>
  <c r="N622" i="1" s="1"/>
  <c r="N623" i="1" s="1"/>
  <c r="N624" i="1" s="1"/>
  <c r="N629" i="1" s="1"/>
  <c r="N630" i="1" s="1"/>
  <c r="N631" i="1" s="1"/>
  <c r="N632" i="1" s="1"/>
  <c r="N633" i="1" s="1"/>
  <c r="N634" i="1" s="1"/>
  <c r="N635" i="1" s="1"/>
  <c r="N636" i="1" s="1"/>
  <c r="N637" i="1" s="1"/>
  <c r="N638" i="1" s="1"/>
  <c r="N639" i="1" s="1"/>
  <c r="N640" i="1" s="1"/>
  <c r="N641" i="1" s="1"/>
  <c r="N642" i="1" s="1"/>
  <c r="N643" i="1" s="1"/>
  <c r="N644" i="1" s="1"/>
  <c r="N645" i="1" s="1"/>
  <c r="N646" i="1" s="1"/>
  <c r="N647" i="1" s="1"/>
  <c r="N648" i="1" s="1"/>
  <c r="N649" i="1" s="1"/>
  <c r="N650" i="1" s="1"/>
  <c r="N651" i="1" s="1"/>
  <c r="N652" i="1" s="1"/>
  <c r="N653" i="1" s="1"/>
  <c r="N654" i="1" s="1"/>
  <c r="N655" i="1" s="1"/>
  <c r="N656" i="1" s="1"/>
  <c r="N657" i="1" s="1"/>
  <c r="N658" i="1" s="1"/>
  <c r="N65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E1" authorId="0" shapeId="0" xr:uid="{301608E0-8BFD-4E7A-891F-ED40798788A0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40" authorId="0" shapeId="0" xr:uid="{7666FD43-0655-4750-A3C9-DBF38CBDEC47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79" authorId="0" shapeId="0" xr:uid="{B6EF012C-01B3-403E-94A8-F314ACFD7995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118" authorId="0" shapeId="0" xr:uid="{2527588D-6EDF-424F-AF87-E70CD77CDAD8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157" authorId="0" shapeId="0" xr:uid="{27C177F3-14A4-4B66-A058-DE9715872C0D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196" authorId="0" shapeId="0" xr:uid="{710DCBAB-9C4A-41C7-8D8C-61FCF594484C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235" authorId="0" shapeId="0" xr:uid="{77C752E5-B970-44BC-A0E6-E15BC70B4868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C249" authorId="0" shapeId="0" xr:uid="{B2C3A6E0-D699-441F-936C-89B6267A967C}">
      <text>
        <r>
          <rPr>
            <b/>
            <sz val="9"/>
            <color indexed="81"/>
            <rFont val="Tahoma"/>
            <family val="2"/>
          </rPr>
          <t xml:space="preserve">1/20,1/21,1/22 </t>
        </r>
        <r>
          <rPr>
            <b/>
            <sz val="9"/>
            <color indexed="81"/>
            <rFont val="돋움"/>
            <family val="3"/>
            <charset val="129"/>
          </rPr>
          <t>발주건</t>
        </r>
      </text>
    </comment>
    <comment ref="E274" authorId="0" shapeId="0" xr:uid="{640B4DF0-2ECC-40F5-8B4F-CE5816EF606B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313" authorId="0" shapeId="0" xr:uid="{191DE798-5E43-4973-9086-EE5DB27D3602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352" authorId="0" shapeId="0" xr:uid="{84E01EB5-3334-46DA-B368-F058FC1AC695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391" authorId="0" shapeId="0" xr:uid="{735BED5A-A21C-45C5-9A7F-FECCE718E2A4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430" authorId="0" shapeId="0" xr:uid="{B79819CB-32D8-42C9-A97A-12C6A9FDFD73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469" authorId="0" shapeId="0" xr:uid="{96F2ADF6-3F0F-491E-8EEA-CF84F3B904DD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508" authorId="0" shapeId="0" xr:uid="{F0A3F19B-D648-4BEC-95F5-D6F8B54611CB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547" authorId="0" shapeId="0" xr:uid="{F848E87D-89A3-4A88-822A-C331697F4691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586" authorId="0" shapeId="0" xr:uid="{34E036E9-B365-4247-9EE8-D2A410C4C7EF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625" authorId="0" shapeId="0" xr:uid="{06679C5A-DEA8-4550-A270-F2F3CD74E44D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C653" authorId="0" shapeId="0" xr:uid="{B698968E-4921-461B-A3A8-23A81B79C919}">
      <text>
        <r>
          <rPr>
            <b/>
            <sz val="9"/>
            <color indexed="81"/>
            <rFont val="Tahoma"/>
            <family val="2"/>
          </rPr>
          <t xml:space="preserve">3/21 </t>
        </r>
        <r>
          <rPr>
            <b/>
            <sz val="9"/>
            <color indexed="81"/>
            <rFont val="돋움"/>
            <family val="3"/>
            <charset val="129"/>
          </rPr>
          <t>발주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장</t>
        </r>
      </text>
    </comment>
    <comment ref="E664" authorId="0" shapeId="0" xr:uid="{B215F2EE-05FF-4B22-8E08-C02F726FF676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703" authorId="0" shapeId="0" xr:uid="{F0FAE0A7-7C61-4DD5-BCE2-2D8EDD76EF68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742" authorId="0" shapeId="0" xr:uid="{C3D80A3C-97D3-4497-B999-B02D07AB96CC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781" authorId="0" shapeId="0" xr:uid="{615C94E0-4D1A-4739-8A49-2FCC94FB7E90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820" authorId="0" shapeId="0" xr:uid="{64045016-F027-480E-89AC-ABD71FF0BB3C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859" authorId="0" shapeId="0" xr:uid="{9BB8D0E6-B5C4-40CA-BB9F-01E347461D60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898" authorId="0" shapeId="0" xr:uid="{4CB77329-8754-4634-B519-8309CCABE7F7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937" authorId="0" shapeId="0" xr:uid="{F2578201-4EFC-43C5-9630-958BD221DC79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976" authorId="0" shapeId="0" xr:uid="{27E5EA96-DB5F-415C-BC85-C094246304CB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1015" authorId="0" shapeId="0" xr:uid="{FC21C0F3-97E5-42A3-841D-81FC39BA0D64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1054" authorId="0" shapeId="0" xr:uid="{87ABB1BF-DA6C-4748-BCD0-3C619E7613A2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1093" authorId="0" shapeId="0" xr:uid="{CADB3C9B-C105-4370-9D59-8F4AE9CFF0D2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1132" authorId="0" shapeId="0" xr:uid="{1D1C2174-2356-41CF-AD59-CF458F4ADB54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1171" authorId="0" shapeId="0" xr:uid="{2FDAE7B6-1EB2-4894-89DB-9BB04AEC69BB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1210" authorId="0" shapeId="0" xr:uid="{F7D91D69-1D11-43C5-B2C2-20EB77122344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1249" authorId="0" shapeId="0" xr:uid="{9DB4091E-2FA4-4330-9E0F-5A44559BF3B6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C1258" authorId="0" shapeId="0" xr:uid="{FAA880E9-82C0-4F83-8D52-4FFFB5DCF561}">
      <text>
        <r>
          <rPr>
            <b/>
            <sz val="9"/>
            <color indexed="81"/>
            <rFont val="Tahoma"/>
            <family val="2"/>
          </rPr>
          <t xml:space="preserve">6/19 </t>
        </r>
        <r>
          <rPr>
            <b/>
            <sz val="9"/>
            <color indexed="81"/>
            <rFont val="돋움"/>
            <family val="3"/>
            <charset val="129"/>
          </rPr>
          <t>발주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 xml:space="preserve">장
</t>
        </r>
        <r>
          <rPr>
            <b/>
            <sz val="9"/>
            <color indexed="81"/>
            <rFont val="Tahoma"/>
            <family val="2"/>
          </rPr>
          <t xml:space="preserve">6/25 </t>
        </r>
        <r>
          <rPr>
            <b/>
            <sz val="9"/>
            <color indexed="81"/>
            <rFont val="돋움"/>
            <family val="3"/>
            <charset val="129"/>
          </rPr>
          <t>발주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 xml:space="preserve">장
</t>
        </r>
        <r>
          <rPr>
            <b/>
            <sz val="9"/>
            <color indexed="81"/>
            <rFont val="Tahoma"/>
            <family val="2"/>
          </rPr>
          <t xml:space="preserve">6/26 </t>
        </r>
        <r>
          <rPr>
            <b/>
            <sz val="9"/>
            <color indexed="81"/>
            <rFont val="돋움"/>
            <family val="3"/>
            <charset val="129"/>
          </rPr>
          <t>발주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장
경북대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수의대</t>
        </r>
        <r>
          <rPr>
            <b/>
            <sz val="9"/>
            <color indexed="81"/>
            <rFont val="Tahoma"/>
            <family val="2"/>
          </rPr>
          <t xml:space="preserve"> 38</t>
        </r>
        <r>
          <rPr>
            <b/>
            <sz val="9"/>
            <color indexed="81"/>
            <rFont val="돋움"/>
            <family val="3"/>
            <charset val="129"/>
          </rPr>
          <t>장</t>
        </r>
      </text>
    </comment>
    <comment ref="E1288" authorId="0" shapeId="0" xr:uid="{A966390B-20AD-43EA-B321-031B23CAD05F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C1306" authorId="0" shapeId="0" xr:uid="{E0DB1424-3A77-424A-AF83-F49B66362F65}">
      <text>
        <r>
          <rPr>
            <b/>
            <sz val="9"/>
            <color indexed="81"/>
            <rFont val="Tahoma"/>
            <family val="2"/>
          </rPr>
          <t>6/30 36</t>
        </r>
        <r>
          <rPr>
            <b/>
            <sz val="9"/>
            <color indexed="81"/>
            <rFont val="돋움"/>
            <family val="3"/>
            <charset val="129"/>
          </rPr>
          <t>장</t>
        </r>
      </text>
    </comment>
    <comment ref="C1310" authorId="0" shapeId="0" xr:uid="{9EAAC39D-9C04-496E-9724-68D55292B614}">
      <text>
        <r>
          <rPr>
            <b/>
            <sz val="9"/>
            <color indexed="81"/>
            <rFont val="돋움"/>
            <family val="3"/>
            <charset val="129"/>
          </rPr>
          <t>개진보건소</t>
        </r>
        <r>
          <rPr>
            <b/>
            <sz val="9"/>
            <color indexed="81"/>
            <rFont val="Tahoma"/>
            <family val="2"/>
          </rPr>
          <t xml:space="preserve"> 37</t>
        </r>
        <r>
          <rPr>
            <b/>
            <sz val="9"/>
            <color indexed="81"/>
            <rFont val="돋움"/>
            <family val="3"/>
            <charset val="129"/>
          </rPr>
          <t>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같이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</text>
    </comment>
    <comment ref="E1327" authorId="0" shapeId="0" xr:uid="{C7370C2C-ADC5-409C-AA16-87EA2623A8D6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1366" authorId="0" shapeId="0" xr:uid="{B54CDBD0-4B67-4A26-97C5-24D465B72F30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1405" authorId="0" shapeId="0" xr:uid="{C7A832D0-9FD7-419D-A7B8-9ECBD406718E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1444" authorId="0" shapeId="0" xr:uid="{89E86842-9736-468E-8FC6-25634FD4743A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1483" authorId="0" shapeId="0" xr:uid="{11D810B9-6BEA-470D-8323-F4959CA7E850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C1505" authorId="0" shapeId="0" xr:uid="{F22EBC75-5597-4D7E-BEBF-7639BC9C28AE}">
      <text>
        <r>
          <rPr>
            <b/>
            <sz val="9"/>
            <color indexed="81"/>
            <rFont val="돋움"/>
            <family val="3"/>
            <charset val="129"/>
          </rPr>
          <t>도어</t>
        </r>
        <r>
          <rPr>
            <b/>
            <sz val="9"/>
            <color indexed="81"/>
            <rFont val="Tahoma"/>
            <family val="2"/>
          </rPr>
          <t xml:space="preserve"> 6</t>
        </r>
        <r>
          <rPr>
            <b/>
            <sz val="9"/>
            <color indexed="81"/>
            <rFont val="돋움"/>
            <family val="3"/>
            <charset val="129"/>
          </rPr>
          <t>장</t>
        </r>
      </text>
    </comment>
    <comment ref="C1507" authorId="0" shapeId="0" xr:uid="{69C87D3E-2143-48FE-B14E-6787BA0C7A20}">
      <text>
        <r>
          <rPr>
            <b/>
            <sz val="9"/>
            <color indexed="81"/>
            <rFont val="돋움"/>
            <family val="3"/>
            <charset val="129"/>
          </rPr>
          <t>박대표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운임비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하라고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했음</t>
        </r>
      </text>
    </comment>
    <comment ref="C1509" authorId="0" shapeId="0" xr:uid="{55EF82FD-5E93-4DCC-B97B-8D7152246E5F}">
      <text>
        <r>
          <rPr>
            <b/>
            <sz val="9"/>
            <color indexed="81"/>
            <rFont val="돋움"/>
            <family val="3"/>
            <charset val="129"/>
          </rPr>
          <t>박대표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운임비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하라고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했음</t>
        </r>
      </text>
    </comment>
    <comment ref="E1522" authorId="0" shapeId="0" xr:uid="{E4165367-BDE9-48F7-BDCE-290AD74B9335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1561" authorId="0" shapeId="0" xr:uid="{F94F5905-A977-4B67-BA91-AE067A89DC9B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E1600" authorId="0" shapeId="0" xr:uid="{C2A23A9C-75BF-45C8-9495-D1F0BA18CDBF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C1613" authorId="0" shapeId="0" xr:uid="{279C2737-2437-4213-BEE5-D88B9632D67D}">
      <text>
        <r>
          <rPr>
            <b/>
            <sz val="9"/>
            <color indexed="81"/>
            <rFont val="Tahoma"/>
            <family val="2"/>
          </rPr>
          <t xml:space="preserve">LH </t>
        </r>
        <r>
          <rPr>
            <b/>
            <sz val="9"/>
            <color indexed="81"/>
            <rFont val="돋움"/>
            <family val="3"/>
            <charset val="129"/>
          </rPr>
          <t>금곡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덕천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모라</t>
        </r>
      </text>
    </comment>
    <comment ref="C1633" authorId="0" shapeId="0" xr:uid="{11504916-C356-4C5B-A636-822C18EBB796}">
      <text>
        <r>
          <rPr>
            <b/>
            <sz val="9"/>
            <color indexed="81"/>
            <rFont val="Tahoma"/>
            <family val="2"/>
          </rPr>
          <t xml:space="preserve">8/6 </t>
        </r>
        <r>
          <rPr>
            <b/>
            <sz val="9"/>
            <color indexed="81"/>
            <rFont val="돋움"/>
            <family val="3"/>
            <charset val="129"/>
          </rPr>
          <t>발주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장</t>
        </r>
      </text>
    </comment>
    <comment ref="C1635" authorId="0" shapeId="0" xr:uid="{2908C4E5-01B4-4B22-A2F6-0EE65D3020D5}">
      <text>
        <r>
          <rPr>
            <b/>
            <sz val="9"/>
            <color indexed="81"/>
            <rFont val="Tahoma"/>
            <family val="2"/>
          </rPr>
          <t xml:space="preserve">8/20 </t>
        </r>
        <r>
          <rPr>
            <b/>
            <sz val="9"/>
            <color indexed="81"/>
            <rFont val="돋움"/>
            <family val="3"/>
            <charset val="129"/>
          </rPr>
          <t>발주</t>
        </r>
        <r>
          <rPr>
            <b/>
            <sz val="9"/>
            <color indexed="81"/>
            <rFont val="Tahoma"/>
            <family val="2"/>
          </rPr>
          <t xml:space="preserve"> 36</t>
        </r>
        <r>
          <rPr>
            <b/>
            <sz val="9"/>
            <color indexed="81"/>
            <rFont val="돋움"/>
            <family val="3"/>
            <charset val="129"/>
          </rPr>
          <t>장</t>
        </r>
      </text>
    </comment>
    <comment ref="E1639" authorId="0" shapeId="0" xr:uid="{48B49040-D04E-4675-9189-0AE16D0A4105}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박찬도</t>
        </r>
      </text>
    </comment>
    <comment ref="C1663" authorId="0" shapeId="0" xr:uid="{6EA2A68A-3281-4F40-8125-45203FA25626}">
      <text>
        <r>
          <rPr>
            <b/>
            <sz val="9"/>
            <color indexed="81"/>
            <rFont val="Tahoma"/>
            <family val="2"/>
          </rPr>
          <t>313,314</t>
        </r>
        <r>
          <rPr>
            <b/>
            <sz val="9"/>
            <color indexed="81"/>
            <rFont val="돋움"/>
            <family val="3"/>
            <charset val="129"/>
          </rPr>
          <t>동</t>
        </r>
      </text>
    </comment>
  </commentList>
</comments>
</file>

<file path=xl/sharedStrings.xml><?xml version="1.0" encoding="utf-8"?>
<sst xmlns="http://schemas.openxmlformats.org/spreadsheetml/2006/main" count="2094" uniqueCount="560">
  <si>
    <t>천우건업㈜</t>
    <phoneticPr fontId="3" type="noConversion"/>
  </si>
  <si>
    <t>(2025년)</t>
    <phoneticPr fontId="7" type="noConversion"/>
  </si>
  <si>
    <t>주식회사 한백글라스</t>
    <phoneticPr fontId="3" type="noConversion"/>
  </si>
  <si>
    <t>월</t>
    <phoneticPr fontId="7" type="noConversion"/>
  </si>
  <si>
    <t>일</t>
    <phoneticPr fontId="7" type="noConversion"/>
  </si>
  <si>
    <t>품명</t>
    <phoneticPr fontId="7" type="noConversion"/>
  </si>
  <si>
    <t>수량</t>
    <phoneticPr fontId="7" type="noConversion"/>
  </si>
  <si>
    <t>평수</t>
    <phoneticPr fontId="7" type="noConversion"/>
  </si>
  <si>
    <t>단가</t>
    <phoneticPr fontId="7" type="noConversion"/>
  </si>
  <si>
    <t>공급가액</t>
    <phoneticPr fontId="3" type="noConversion"/>
  </si>
  <si>
    <t>세액</t>
    <phoneticPr fontId="3" type="noConversion"/>
  </si>
  <si>
    <t>금액</t>
    <phoneticPr fontId="7" type="noConversion"/>
  </si>
  <si>
    <t>결재</t>
    <phoneticPr fontId="7" type="noConversion"/>
  </si>
  <si>
    <t>VAT</t>
    <phoneticPr fontId="7" type="noConversion"/>
  </si>
  <si>
    <t>잔액</t>
    <phoneticPr fontId="7" type="noConversion"/>
  </si>
  <si>
    <t>(제주도 용암삼동)</t>
    <phoneticPr fontId="3" type="noConversion"/>
  </si>
  <si>
    <t>반투명 실리콘</t>
    <phoneticPr fontId="3" type="noConversion"/>
  </si>
  <si>
    <t>ea</t>
    <phoneticPr fontId="3" type="noConversion"/>
  </si>
  <si>
    <t>(32보급연대)</t>
    <phoneticPr fontId="3" type="noConversion"/>
  </si>
  <si>
    <t>24T(5투명+14&lt;단열&gt;아르곤+5PLAONE)</t>
  </si>
  <si>
    <t>(성우경로당)</t>
    <phoneticPr fontId="3" type="noConversion"/>
  </si>
  <si>
    <t>24T(5 SKN154Ⅱ반강화+14&lt;SWS&gt;아르곤+5투명)</t>
  </si>
  <si>
    <t>(경북대학교 4합동 강의동)</t>
    <phoneticPr fontId="3" type="noConversion"/>
  </si>
  <si>
    <t>24T(5 MZT152반강화+14&lt;SWS&gt;아르곤+5투명)</t>
  </si>
  <si>
    <t>(하주초등학교)</t>
    <phoneticPr fontId="3" type="noConversion"/>
  </si>
  <si>
    <t>(구미시 거의동 303/푸르지오 아파트 앞)</t>
    <phoneticPr fontId="3" type="noConversion"/>
  </si>
  <si>
    <t>24T(5투명반강화+14아르곤+5듀라반강화)</t>
  </si>
  <si>
    <t>(동국대 연화동 기숙사 폴딩)</t>
    <phoneticPr fontId="3" type="noConversion"/>
  </si>
  <si>
    <t>24T(5투명+14아르곤+5듀라)</t>
  </si>
  <si>
    <t>(대구 제일고등학교 - 환풍기)</t>
    <phoneticPr fontId="3" type="noConversion"/>
  </si>
  <si>
    <t>22T 투명+아르곤+듀라</t>
  </si>
  <si>
    <t>43T(5 SKN154Ⅱ반강화+14&lt;SWS&gt;아르곤+5투명+14&lt;SWS&gt;아르곤+5 PLAONE)</t>
  </si>
  <si>
    <t>(음성 모듈러교실)</t>
    <phoneticPr fontId="3" type="noConversion"/>
  </si>
  <si>
    <t>24T(5 MCT154반강화+14&lt;SWS&gt;아르곤+5투명)</t>
  </si>
  <si>
    <t>24T(5투명+14&lt;단열&gt;아르곤+5 PLAONE)</t>
  </si>
  <si>
    <t>(포항트라우마센터)</t>
    <phoneticPr fontId="3" type="noConversion"/>
  </si>
  <si>
    <t>12T 투명강화</t>
  </si>
  <si>
    <t>(고아읍 오로리 829 - 사무동)</t>
    <phoneticPr fontId="3" type="noConversion"/>
  </si>
  <si>
    <t>26T(5블루+16아르곤+5듀라)</t>
  </si>
  <si>
    <t>24T(5블루+14아르곤+5듀라)</t>
  </si>
  <si>
    <t>(동인초등학교 - PL창)</t>
    <phoneticPr fontId="3" type="noConversion"/>
  </si>
  <si>
    <t>이월금액</t>
    <phoneticPr fontId="3" type="noConversion"/>
  </si>
  <si>
    <t>(경북대)</t>
    <phoneticPr fontId="3" type="noConversion"/>
  </si>
  <si>
    <t>5톤 대기후 왕복 운임비</t>
    <phoneticPr fontId="3" type="noConversion"/>
  </si>
  <si>
    <t>(하주초)문짝출고</t>
    <phoneticPr fontId="3" type="noConversion"/>
  </si>
  <si>
    <t>5톤 출고 운임비</t>
    <phoneticPr fontId="3" type="noConversion"/>
  </si>
  <si>
    <t>8T 투명강화</t>
  </si>
  <si>
    <t>(영일만향 정문초소)</t>
    <phoneticPr fontId="3" type="noConversion"/>
  </si>
  <si>
    <t>24T(5 SKN154Ⅱ반강화+14아르곤+5투명)</t>
  </si>
  <si>
    <t>24T(5 SKN154Ⅱ반강화+14아르곤+5투명올소노)</t>
  </si>
  <si>
    <t>(사진3항 마을회관 해심센터)</t>
    <phoneticPr fontId="3" type="noConversion"/>
  </si>
  <si>
    <t>22T 투명+듀라</t>
  </si>
  <si>
    <t>22T 그린+듀라</t>
  </si>
  <si>
    <t>24T(5그린+14아르곤+5듀라)</t>
  </si>
  <si>
    <t>24T(5투명올소노+14아르곤+5듀라)</t>
  </si>
  <si>
    <t>12T 그린강화</t>
  </si>
  <si>
    <t>(달성 신협)</t>
    <phoneticPr fontId="3" type="noConversion"/>
  </si>
  <si>
    <t>24T(5 SKN154Ⅱ반강화+14&lt;SWS&gt;아르곤+5블루반강화)</t>
  </si>
  <si>
    <t>(달성 신협 - 뽄)</t>
    <phoneticPr fontId="3" type="noConversion"/>
  </si>
  <si>
    <t>50%할증</t>
    <phoneticPr fontId="3" type="noConversion"/>
  </si>
  <si>
    <t>(동인초등학교)</t>
    <phoneticPr fontId="3" type="noConversion"/>
  </si>
  <si>
    <t>43T(5 SKN154Ⅱ반강화+14&lt;SWS&gt;아르곤+5투명+14&lt;SWS&gt;아르곤+5 SKN154Ⅱ반강화)</t>
  </si>
  <si>
    <t>(동인초등학교 - 문)</t>
    <phoneticPr fontId="3" type="noConversion"/>
  </si>
  <si>
    <t>42T(6 SKN154Ⅱ반강화+12&lt;SWS&gt;아르곤+6투명+12&lt;SWS&gt;아르곤+6 SKN154Ⅱ반강화)</t>
  </si>
  <si>
    <t>(하주초등학교 - 커튼월)</t>
    <phoneticPr fontId="3" type="noConversion"/>
  </si>
  <si>
    <t>(배터리 공유 스테이션)</t>
    <phoneticPr fontId="3" type="noConversion"/>
  </si>
  <si>
    <t>(왜관리 276-16)</t>
    <phoneticPr fontId="3" type="noConversion"/>
  </si>
  <si>
    <t>24T(5투명+14+5투명)</t>
  </si>
  <si>
    <t>(달성신협)</t>
    <phoneticPr fontId="3" type="noConversion"/>
  </si>
  <si>
    <t>(상화동산)</t>
    <phoneticPr fontId="3" type="noConversion"/>
  </si>
  <si>
    <t>24T(5 SKN154Ⅱ반강화+14&lt;SWS&gt;아르곤+5투명올소노)</t>
  </si>
  <si>
    <t>(동인초등학교 - PJ)</t>
    <phoneticPr fontId="3" type="noConversion"/>
  </si>
  <si>
    <t>43T(5 SKN154ⅡN반강화+14&lt;SWS&gt;아르곤+5투명+14&lt;SWS&gt;아르곤+5 SKN154ⅡN반강화)</t>
  </si>
  <si>
    <t>(멕시카나 역삼동 신사옥 신축공사)</t>
    <phoneticPr fontId="3" type="noConversion"/>
  </si>
  <si>
    <t>28T(6 PLAONEⅡ반강화(외부)+16&lt;SWS&gt;아르곤+6투명)</t>
  </si>
  <si>
    <t>10T 투명강화</t>
  </si>
  <si>
    <t>(부산7권역)반송</t>
    <phoneticPr fontId="3" type="noConversion"/>
  </si>
  <si>
    <t>5톤축 2대 출고 운임비</t>
    <phoneticPr fontId="3" type="noConversion"/>
  </si>
  <si>
    <t>(경산 복합문화센터 - 선출고분)</t>
    <phoneticPr fontId="3" type="noConversion"/>
  </si>
  <si>
    <t>24T(5 SKN154ⅡN반강화+14&lt;SWS&gt;아르곤+5투명)</t>
  </si>
  <si>
    <t>5톤축 빈용기 회수 운임비</t>
    <phoneticPr fontId="3" type="noConversion"/>
  </si>
  <si>
    <t>지게차비</t>
    <phoneticPr fontId="3" type="noConversion"/>
  </si>
  <si>
    <t>(만촌동 영원무역)</t>
    <phoneticPr fontId="3" type="noConversion"/>
  </si>
  <si>
    <t>28T(6 그레이반강화+16아르곤+6듀라반강화)</t>
  </si>
  <si>
    <t>8T 투명올소노강화</t>
  </si>
  <si>
    <t>(문화동 - 문짝)</t>
    <phoneticPr fontId="3" type="noConversion"/>
  </si>
  <si>
    <t>24T(5투명+14아르곤+5듀라맥스)</t>
  </si>
  <si>
    <t>24T(5블루+14아르곤+5듀라맥스)</t>
  </si>
  <si>
    <t>(봉화 펫 고등학교)</t>
    <phoneticPr fontId="3" type="noConversion"/>
  </si>
  <si>
    <t>5T 투명</t>
  </si>
  <si>
    <t>(월성동)</t>
    <phoneticPr fontId="3" type="noConversion"/>
  </si>
  <si>
    <t>(사진3항)</t>
    <phoneticPr fontId="3" type="noConversion"/>
  </si>
  <si>
    <t>5톤축 왕복 운임비</t>
    <phoneticPr fontId="3" type="noConversion"/>
  </si>
  <si>
    <t>(부산7권역)/덕천2</t>
    <phoneticPr fontId="3" type="noConversion"/>
  </si>
  <si>
    <t>(경산 복합문화센터 - 후출고분)</t>
    <phoneticPr fontId="3" type="noConversion"/>
  </si>
  <si>
    <t>(제주시 용담삼동 - 세이프도어)</t>
    <phoneticPr fontId="3" type="noConversion"/>
  </si>
  <si>
    <t>24T(5 SKN154Ⅱ반강화+14&lt;단열&gt;아르곤+5투명)</t>
  </si>
  <si>
    <t>(경산 복합문화센터 - 도어)</t>
    <phoneticPr fontId="3" type="noConversion"/>
  </si>
  <si>
    <t>28T(6 SKN154Ⅱ반강화+16&lt;SWS&gt;아르곤+6투명)</t>
  </si>
  <si>
    <t>(대구 제일고등학교)</t>
    <phoneticPr fontId="3" type="noConversion"/>
  </si>
  <si>
    <t>5T 투명강화</t>
  </si>
  <si>
    <t>(동촌 새마을금고 입석점 - 선출고)</t>
    <phoneticPr fontId="3" type="noConversion"/>
  </si>
  <si>
    <t>(영양여중 미술실)</t>
    <phoneticPr fontId="3" type="noConversion"/>
  </si>
  <si>
    <t>24T(5 SKG144Ⅱ반강화+14&lt;SWS&gt;아르곤+5투명)</t>
  </si>
  <si>
    <t>(하주초)경산</t>
    <phoneticPr fontId="3" type="noConversion"/>
  </si>
  <si>
    <t>1톤 왕복 운임비</t>
    <phoneticPr fontId="3" type="noConversion"/>
  </si>
  <si>
    <t>(부산 7권역 공공주택 리모델링)</t>
    <phoneticPr fontId="3" type="noConversion"/>
  </si>
  <si>
    <t>16T 투명+투명</t>
  </si>
  <si>
    <t>(고아읍 오로리 829)</t>
    <phoneticPr fontId="3" type="noConversion"/>
  </si>
  <si>
    <t>(성진 포항)</t>
    <phoneticPr fontId="3" type="noConversion"/>
  </si>
  <si>
    <t>22T SKN154Ⅱ반강화+&lt;SWS&gt;아르곤+투명</t>
  </si>
  <si>
    <t>(동촌 새마을금고 입석점 - 후출고)</t>
    <phoneticPr fontId="3" type="noConversion"/>
  </si>
  <si>
    <t>24T(6 SKN154Ⅱ반강화+12&lt;SWS&gt;아르곤+6투명)</t>
  </si>
  <si>
    <t>(문화동 - 픽스)</t>
    <phoneticPr fontId="3" type="noConversion"/>
  </si>
  <si>
    <t>(침산동 163-2 근생)</t>
    <phoneticPr fontId="3" type="noConversion"/>
  </si>
  <si>
    <t>22T 투명+투명</t>
  </si>
  <si>
    <t>24T(5 투명반강화+14아르곤+5듀라반강화)</t>
  </si>
  <si>
    <t>5톤축 왕복 운임비/대기후/12/31발주분</t>
    <phoneticPr fontId="3" type="noConversion"/>
  </si>
  <si>
    <t>(제주시 용담삼동)/경기도 하남시</t>
    <phoneticPr fontId="3" type="noConversion"/>
  </si>
  <si>
    <t>(월성1동 공공복합청사)</t>
    <phoneticPr fontId="3" type="noConversion"/>
  </si>
  <si>
    <t>10T 투명</t>
    <phoneticPr fontId="3" type="noConversion"/>
  </si>
  <si>
    <t>(대구동인초)문짝출고 반반부담</t>
    <phoneticPr fontId="3" type="noConversion"/>
  </si>
  <si>
    <t>5톤 1대, 11톤 1대 출고 운임비</t>
    <phoneticPr fontId="3" type="noConversion"/>
  </si>
  <si>
    <t>(멕시카나 역삼동)</t>
    <phoneticPr fontId="3" type="noConversion"/>
  </si>
  <si>
    <t>(대구외국어고등학교 - 1차)</t>
    <phoneticPr fontId="3" type="noConversion"/>
  </si>
  <si>
    <t>(신기중학교)</t>
    <phoneticPr fontId="3" type="noConversion"/>
  </si>
  <si>
    <t>22T 투명+아르곤+듀라맥스</t>
  </si>
  <si>
    <t>(거창노인요양병원)</t>
    <phoneticPr fontId="3" type="noConversion"/>
  </si>
  <si>
    <t>(문현고등학교 - 1차/4층 SL)</t>
    <phoneticPr fontId="3" type="noConversion"/>
  </si>
  <si>
    <t>(문화동)</t>
    <phoneticPr fontId="3" type="noConversion"/>
  </si>
  <si>
    <t>3.5톤 빈용기 회수 운임비</t>
    <phoneticPr fontId="3" type="noConversion"/>
  </si>
  <si>
    <t>(덕인초등학교 - 2차)</t>
    <phoneticPr fontId="3" type="noConversion"/>
  </si>
  <si>
    <t>(시골한우 이인지구)</t>
    <phoneticPr fontId="3" type="noConversion"/>
  </si>
  <si>
    <t>(계성중학교-지하1층,지상1층)</t>
    <phoneticPr fontId="3" type="noConversion"/>
  </si>
  <si>
    <t>(경북대학교 4합동 강의동 )</t>
    <phoneticPr fontId="3" type="noConversion"/>
  </si>
  <si>
    <t>24T(6투명+12아르곤+6듀라)</t>
  </si>
  <si>
    <t>28T(6투명+16아르곤+6듀라)</t>
  </si>
  <si>
    <t>(문현고등학교 - 문짝)</t>
    <phoneticPr fontId="3" type="noConversion"/>
  </si>
  <si>
    <t>(계성중학교-도어)</t>
    <phoneticPr fontId="3" type="noConversion"/>
  </si>
  <si>
    <t>24T(5 SKN154IⅡ반강화+14&lt;SWS&gt;아르곤+5투명)</t>
  </si>
  <si>
    <t>(동촌새마을금고/추가)</t>
    <phoneticPr fontId="3" type="noConversion"/>
  </si>
  <si>
    <t>5톤 왕복 운임비/대기후, 까대기후 상차</t>
    <phoneticPr fontId="3" type="noConversion"/>
  </si>
  <si>
    <t>(동촌 새마을금고 입석점)</t>
    <phoneticPr fontId="3" type="noConversion"/>
  </si>
  <si>
    <t>24T(5 KN154Ⅱ반강화+14&lt;SWS&gt;아르곤+5투명)</t>
  </si>
  <si>
    <t>10T 투명(치수작음)</t>
  </si>
  <si>
    <t>(경산복합문화센터 - 중정)</t>
    <phoneticPr fontId="3" type="noConversion"/>
  </si>
  <si>
    <t>(가야중학교)</t>
    <phoneticPr fontId="3" type="noConversion"/>
  </si>
  <si>
    <t>28T(6 MCT154반강화+16&lt;단열&gt;아르곤+6투명)</t>
  </si>
  <si>
    <t>28T(5 MCT154반강화+18&lt;단열&gt;아르곤+5투명반강화)</t>
  </si>
  <si>
    <t>43T(5 MCT154반강화+14&lt;단열&gt;아르곤+5투명반강화+14&lt;단열&gt;아르곤+5 MCT154반강화)</t>
  </si>
  <si>
    <t>(문현고등학교)</t>
    <phoneticPr fontId="3" type="noConversion"/>
  </si>
  <si>
    <t>(금사동 지식산업센터)충남 논산</t>
    <phoneticPr fontId="3" type="noConversion"/>
  </si>
  <si>
    <t>할인</t>
    <phoneticPr fontId="3" type="noConversion"/>
  </si>
  <si>
    <t>전자</t>
    <phoneticPr fontId="3" type="noConversion"/>
  </si>
  <si>
    <t>(원화여자고등학교/1차)</t>
    <phoneticPr fontId="3" type="noConversion"/>
  </si>
  <si>
    <t>22T 투명+PLAONE</t>
  </si>
  <si>
    <t>(원화여자고등학교/2차)</t>
    <phoneticPr fontId="3" type="noConversion"/>
  </si>
  <si>
    <t>5톤 왕복 운임비/까대기후 상차</t>
    <phoneticPr fontId="3" type="noConversion"/>
  </si>
  <si>
    <t>(신기중)</t>
    <phoneticPr fontId="3" type="noConversion"/>
  </si>
  <si>
    <t>22T 투명+듀라맥스/치수오류 재단비</t>
    <phoneticPr fontId="3" type="noConversion"/>
  </si>
  <si>
    <t>(함지고)</t>
    <phoneticPr fontId="3" type="noConversion"/>
  </si>
  <si>
    <t>(경산복합문화센터)</t>
    <phoneticPr fontId="3" type="noConversion"/>
  </si>
  <si>
    <t>5톤 빈용기회수 운임비</t>
    <phoneticPr fontId="3" type="noConversion"/>
  </si>
  <si>
    <t>(함지고 - SL)</t>
    <phoneticPr fontId="3" type="noConversion"/>
  </si>
  <si>
    <t>(왜관 6차 산업관)</t>
    <phoneticPr fontId="3" type="noConversion"/>
  </si>
  <si>
    <t>(대구 덕인초등학교)</t>
    <phoneticPr fontId="3" type="noConversion"/>
  </si>
  <si>
    <t>43T(5 SKN154Ⅱ반강화+14아르곤+5투명+14아르곤+5 SKN154Ⅱ반강화)</t>
  </si>
  <si>
    <t>24(5 SKN154Ⅱ반강화+14아르곤+5투명)</t>
  </si>
  <si>
    <t>(동국대 연화동 기숙사)</t>
    <phoneticPr fontId="3" type="noConversion"/>
  </si>
  <si>
    <t>(경산복합문화센터 - 3차)</t>
    <phoneticPr fontId="3" type="noConversion"/>
  </si>
  <si>
    <t>(경산복합문화센터 - 3차 추가)</t>
    <phoneticPr fontId="3" type="noConversion"/>
  </si>
  <si>
    <t>(대구외국어고등학교)</t>
    <phoneticPr fontId="3" type="noConversion"/>
  </si>
  <si>
    <t>(성서산업단지 휴폐업공장)</t>
    <phoneticPr fontId="3" type="noConversion"/>
  </si>
  <si>
    <t>(문화동_13-2 /3동)</t>
    <phoneticPr fontId="3" type="noConversion"/>
  </si>
  <si>
    <t>(신기중 - 미출고 및 파손분)</t>
    <phoneticPr fontId="3" type="noConversion"/>
  </si>
  <si>
    <t>(신기중)문짝출고 반반부담</t>
    <phoneticPr fontId="3" type="noConversion"/>
  </si>
  <si>
    <t>11톤 1대, 5톤축 4대 출고 운임비</t>
    <phoneticPr fontId="3" type="noConversion"/>
  </si>
  <si>
    <t>(성서산업단지 휴폐업공장 - 추가)</t>
    <phoneticPr fontId="3" type="noConversion"/>
  </si>
  <si>
    <t>24T(5 MZT152반강화+14&lt;SWS&gt;아르곤+5투명반강화)</t>
  </si>
  <si>
    <t>5톤축 출고 운임비</t>
    <phoneticPr fontId="3" type="noConversion"/>
  </si>
  <si>
    <t>(한국뇌연구원 기숙사)</t>
    <phoneticPr fontId="3" type="noConversion"/>
  </si>
  <si>
    <t>24T(5 XTN145Ⅱ반강화+14&lt;SWS&gt;아르곤+5투명)</t>
  </si>
  <si>
    <t>(수성 더비즈)</t>
    <phoneticPr fontId="3" type="noConversion"/>
  </si>
  <si>
    <t>(문현고등학교 - 보류분)</t>
    <phoneticPr fontId="3" type="noConversion"/>
  </si>
  <si>
    <t>(계성중학교)</t>
    <phoneticPr fontId="3" type="noConversion"/>
  </si>
  <si>
    <t>(구미 인동고등학교)</t>
    <phoneticPr fontId="3" type="noConversion"/>
  </si>
  <si>
    <t>(교대 인문사회관)</t>
    <phoneticPr fontId="3" type="noConversion"/>
  </si>
  <si>
    <t>24T(5 MZT152반강화+14&lt;SWS&gt;아르곤+5투명)</t>
    <phoneticPr fontId="3" type="noConversion"/>
  </si>
  <si>
    <t>(경면 분회경로당)</t>
    <phoneticPr fontId="3" type="noConversion"/>
  </si>
  <si>
    <t>(성주 초전초등학교)</t>
    <phoneticPr fontId="3" type="noConversion"/>
  </si>
  <si>
    <t>(영천 전자고)</t>
    <phoneticPr fontId="3" type="noConversion"/>
  </si>
  <si>
    <t>(풍산고)</t>
    <phoneticPr fontId="3" type="noConversion"/>
  </si>
  <si>
    <t>24T(5 SKN154Ⅱ반강화+14&lt;SWS&gt;아르곤+5투명반강화)</t>
  </si>
  <si>
    <t>(울산호계초등학교)</t>
    <phoneticPr fontId="3" type="noConversion"/>
  </si>
  <si>
    <t>10T 투명</t>
  </si>
  <si>
    <t>(원화여고)문짝출고 반반부담</t>
    <phoneticPr fontId="3" type="noConversion"/>
  </si>
  <si>
    <t>5톤축 4대 출고 운임비</t>
    <phoneticPr fontId="3" type="noConversion"/>
  </si>
  <si>
    <t>(미래의료기술 연구동)</t>
    <phoneticPr fontId="3" type="noConversion"/>
  </si>
  <si>
    <t>(만촌 서한포레스트)</t>
    <phoneticPr fontId="3" type="noConversion"/>
  </si>
  <si>
    <t>27.76T ((5그린+0.76+5투명)+12+5듀라)</t>
  </si>
  <si>
    <t>(덕인초등학교)</t>
    <phoneticPr fontId="3" type="noConversion"/>
  </si>
  <si>
    <t>(마장면 오천리 477-2)</t>
    <phoneticPr fontId="3" type="noConversion"/>
  </si>
  <si>
    <t>(울산 명덕생활문화센터)</t>
    <phoneticPr fontId="3" type="noConversion"/>
  </si>
  <si>
    <t>5톤 5대, 11톤 1대 출고 운임비</t>
    <phoneticPr fontId="3" type="noConversion"/>
  </si>
  <si>
    <t>(덕인초)</t>
    <phoneticPr fontId="3" type="noConversion"/>
  </si>
  <si>
    <t>5T 미스트강화</t>
  </si>
  <si>
    <t>(원화여자고등학교 - 커튼월)</t>
    <phoneticPr fontId="3" type="noConversion"/>
  </si>
  <si>
    <t>(성주 초전초)</t>
    <phoneticPr fontId="3" type="noConversion"/>
  </si>
  <si>
    <t>5톤축 왕복운임비</t>
    <phoneticPr fontId="3" type="noConversion"/>
  </si>
  <si>
    <t>(동인초)</t>
    <phoneticPr fontId="3" type="noConversion"/>
  </si>
  <si>
    <t>28T(5 MCT154반강화+18&lt;단열&gt;아르곤+5투명)</t>
  </si>
  <si>
    <t>(약목면 동안리 831)</t>
    <phoneticPr fontId="3" type="noConversion"/>
  </si>
  <si>
    <t>24T(5그린+14아르곤+5듀라맥스)</t>
  </si>
  <si>
    <t>8T 그린강화</t>
  </si>
  <si>
    <t>1톤 빈용기 회수 운임비</t>
    <phoneticPr fontId="3" type="noConversion"/>
  </si>
  <si>
    <t>22T 투명반강화+투명반강화</t>
  </si>
  <si>
    <t>(원화여자고등학교 - 파손 및 변경분)</t>
    <phoneticPr fontId="3" type="noConversion"/>
  </si>
  <si>
    <t>(원화여고)</t>
    <phoneticPr fontId="3" type="noConversion"/>
  </si>
  <si>
    <t>(원화여자고등학교)</t>
    <phoneticPr fontId="3" type="noConversion"/>
  </si>
  <si>
    <t>(성진 영주)</t>
    <phoneticPr fontId="3" type="noConversion"/>
  </si>
  <si>
    <t>22T 투명+듀라맥스</t>
  </si>
  <si>
    <t>(경산복합센터)</t>
    <phoneticPr fontId="3" type="noConversion"/>
  </si>
  <si>
    <t>5톤 왕복 운임비</t>
    <phoneticPr fontId="3" type="noConversion"/>
  </si>
  <si>
    <t>(더비즈)</t>
    <phoneticPr fontId="3" type="noConversion"/>
  </si>
  <si>
    <t>24T(5 MCT138반강화+14&lt;SWS&gt;아르곤+5투명)</t>
    <phoneticPr fontId="3" type="noConversion"/>
  </si>
  <si>
    <t>5 MCT138반강화/운송비</t>
    <phoneticPr fontId="3" type="noConversion"/>
  </si>
  <si>
    <t>43T(5 MCT154반강화+14&lt;SWS&gt;아르곤+5투명반강화+14&lt;SWS&gt;아르곤+5 MCT154반강화)</t>
  </si>
  <si>
    <t>27T(5 MZT152반강화+16&lt;SWS&gt;아르곤+5투명)</t>
  </si>
  <si>
    <t>(문경 돌리네습지)</t>
    <phoneticPr fontId="3" type="noConversion"/>
  </si>
  <si>
    <t>(문현고등학교 - 강당)</t>
    <phoneticPr fontId="3" type="noConversion"/>
  </si>
  <si>
    <t>28T(5 SKN154Ⅱ반강화+18&lt;단열&gt;아르곤+5투명)</t>
  </si>
  <si>
    <t>(검단동 창고)</t>
    <phoneticPr fontId="3" type="noConversion"/>
  </si>
  <si>
    <t>28T(6투명+16아르곤+6듀라맥스)</t>
  </si>
  <si>
    <t>(오복누리원)</t>
    <phoneticPr fontId="3" type="noConversion"/>
  </si>
  <si>
    <t>22T 그린+투명</t>
  </si>
  <si>
    <t>26T(5그린+16아르곤+5듀라맥스)</t>
  </si>
  <si>
    <t>22T 투명+아르곤+투명올소노</t>
  </si>
  <si>
    <t>24T(5그린반강화+14아르곤+5듀라맥스반강화)</t>
  </si>
  <si>
    <t>(원화여자고등학교 - 환풍기 픽스)</t>
    <phoneticPr fontId="3" type="noConversion"/>
  </si>
  <si>
    <t>(대구교대 상록교육원)</t>
    <phoneticPr fontId="3" type="noConversion"/>
  </si>
  <si>
    <t>(경원고등학교)</t>
    <phoneticPr fontId="3" type="noConversion"/>
  </si>
  <si>
    <t>24T(6투명+12아르곤+6듀라맥스)</t>
  </si>
  <si>
    <t>24T(6투명올소노+12아르곤+6듀라맥스)</t>
  </si>
  <si>
    <t>(현풍호텔)</t>
    <phoneticPr fontId="3" type="noConversion"/>
  </si>
  <si>
    <t>27T(5 MZT152반강화+16&lt;SWS&gt;아르곤+6투명)</t>
  </si>
  <si>
    <t>(성서산업단지 휴페업공장)</t>
    <phoneticPr fontId="3" type="noConversion"/>
  </si>
  <si>
    <t>(문화동 - 1동, 2동)</t>
    <phoneticPr fontId="3" type="noConversion"/>
  </si>
  <si>
    <t>(월성1동 - 전면)</t>
    <phoneticPr fontId="3" type="noConversion"/>
  </si>
  <si>
    <t>30%할증</t>
    <phoneticPr fontId="3" type="noConversion"/>
  </si>
  <si>
    <t>(월성1동 - 측면)</t>
    <phoneticPr fontId="3" type="noConversion"/>
  </si>
  <si>
    <t>(월성1동 - 후면)</t>
    <phoneticPr fontId="3" type="noConversion"/>
  </si>
  <si>
    <t>28T(6그레이반강화+16아르곤+6듀라반강화)</t>
  </si>
  <si>
    <t>(마장면 오천리/경기도 이천)</t>
    <phoneticPr fontId="3" type="noConversion"/>
  </si>
  <si>
    <t>5톤 빈용기 회수 운임비</t>
    <phoneticPr fontId="3" type="noConversion"/>
  </si>
  <si>
    <t>(경북대 백호관)</t>
    <phoneticPr fontId="3" type="noConversion"/>
  </si>
  <si>
    <t>각따내기(장당)</t>
    <phoneticPr fontId="3" type="noConversion"/>
  </si>
  <si>
    <t>(두산동 100번지)</t>
    <phoneticPr fontId="3" type="noConversion"/>
  </si>
  <si>
    <t>24T(5 SKN154Ⅱ반강화+14아르곤+5블루)</t>
  </si>
  <si>
    <t>(문화동 - 2동)</t>
    <phoneticPr fontId="3" type="noConversion"/>
  </si>
  <si>
    <t>(통영 성진건설 사옥 - 도어)</t>
    <phoneticPr fontId="3" type="noConversion"/>
  </si>
  <si>
    <t>25T(6블루반사+14아르곤+5 SKN154Ⅱ반강화)</t>
  </si>
  <si>
    <t>(대구 월성동)</t>
    <phoneticPr fontId="3" type="noConversion"/>
  </si>
  <si>
    <t>(월성1동 - 2차)</t>
    <phoneticPr fontId="3" type="noConversion"/>
  </si>
  <si>
    <t>(대구교대)</t>
    <phoneticPr fontId="3" type="noConversion"/>
  </si>
  <si>
    <t>(문화동 - 3동)</t>
    <phoneticPr fontId="3" type="noConversion"/>
  </si>
  <si>
    <t>12.76T(6투명강화+0.76+6투명강화)∮20=4개/네모서리 살짝</t>
    <phoneticPr fontId="3" type="noConversion"/>
  </si>
  <si>
    <t>타공비(개당)</t>
    <phoneticPr fontId="3" type="noConversion"/>
  </si>
  <si>
    <t>모서리살짝(개당)</t>
    <phoneticPr fontId="3" type="noConversion"/>
  </si>
  <si>
    <t>22T투명+아르곤+듀라</t>
  </si>
  <si>
    <t>(정화여고)</t>
    <phoneticPr fontId="3" type="noConversion"/>
  </si>
  <si>
    <t>(대구교대 인문사회관)</t>
    <phoneticPr fontId="3" type="noConversion"/>
  </si>
  <si>
    <t>(검단동 창고 - SL /선출고)</t>
    <phoneticPr fontId="3" type="noConversion"/>
  </si>
  <si>
    <t>26T(6투명+14아르곤+6듀라맥스)</t>
  </si>
  <si>
    <t>(검단동 창고 - SL /후출고)</t>
    <phoneticPr fontId="3" type="noConversion"/>
  </si>
  <si>
    <t>28T(6투명반강화+16아르곤+6듀라맥스반강화)</t>
  </si>
  <si>
    <t>22T투명+아르곤+듀라맥스</t>
  </si>
  <si>
    <t>24T(5 MCT154반강화+14&lt;단열&gt;아르곤+5투명)</t>
  </si>
  <si>
    <t>(삼덕동1가 28-23)</t>
    <phoneticPr fontId="3" type="noConversion"/>
  </si>
  <si>
    <t>(부산 금사동 지식산업센터 2단지 목업)</t>
    <phoneticPr fontId="3" type="noConversion"/>
  </si>
  <si>
    <t>24T(5 SKG139Ⅱ반강화+14&lt;SWS&gt;아르곤+5투명반강화)</t>
  </si>
  <si>
    <t>24T(5 SKG139Ⅱ반강화+14&lt;SWS&gt;아르곤+5투명)</t>
  </si>
  <si>
    <t>(부산 금사동 지식산업센터 2단지)</t>
    <phoneticPr fontId="3" type="noConversion"/>
  </si>
  <si>
    <t>(동인3가 211-2)</t>
    <phoneticPr fontId="3" type="noConversion"/>
  </si>
  <si>
    <t>24T(5투명반강화+14+5투명)</t>
  </si>
  <si>
    <t>1톤 출고 운임비</t>
    <phoneticPr fontId="3" type="noConversion"/>
  </si>
  <si>
    <t>(영주적십자병원 - 샘플)</t>
    <phoneticPr fontId="3" type="noConversion"/>
  </si>
  <si>
    <t>24T(5 SKN154Ⅱ반강화+14&lt;SWS&gt;아르곤+5 SKN154Ⅱ반강화)</t>
  </si>
  <si>
    <t>26T(5 SKN154Ⅱ반강화+16&lt;SWS&gt;아르곤+5투명)</t>
  </si>
  <si>
    <t>(포항자이애서턴)</t>
    <phoneticPr fontId="3" type="noConversion"/>
  </si>
  <si>
    <t>8.76T(4투명반강화+0.76+4투명반강화)</t>
  </si>
  <si>
    <t>12.76T(6투명반강화+0.76+6투명반강화)타공 = 20 ∮ 4개</t>
  </si>
  <si>
    <t>빈용기 회수 운임비</t>
    <phoneticPr fontId="3" type="noConversion"/>
  </si>
  <si>
    <t>(병곡보건지소 - 문짝 /선출고)</t>
    <phoneticPr fontId="3" type="noConversion"/>
  </si>
  <si>
    <t>39T(5 MCT154반강화+12&lt;SWS&gt;아르곤+5투명+12&lt;SWS&gt;아르곤+5 MCT154반강화)</t>
  </si>
  <si>
    <t>18T(6투명+6+6투명)</t>
  </si>
  <si>
    <t>(병곡보건지소 /후출고)</t>
    <phoneticPr fontId="3" type="noConversion"/>
  </si>
  <si>
    <t>18T(5 MCT154반강화+8&lt;SWS&gt;아르곤+5투명)</t>
  </si>
  <si>
    <t>(대송면 행정복지센터)</t>
    <phoneticPr fontId="3" type="noConversion"/>
  </si>
  <si>
    <t>(성진 울진)</t>
    <phoneticPr fontId="3" type="noConversion"/>
  </si>
  <si>
    <t>(경북대 수의대 - 1차)</t>
    <phoneticPr fontId="3" type="noConversion"/>
  </si>
  <si>
    <t>(신천동 66 오피스빌딩)</t>
    <phoneticPr fontId="3" type="noConversion"/>
  </si>
  <si>
    <t>(영양 교육지원청 연립관사)</t>
    <phoneticPr fontId="3" type="noConversion"/>
  </si>
  <si>
    <t>(경북대 수의대 - 2차)</t>
    <phoneticPr fontId="3" type="noConversion"/>
  </si>
  <si>
    <t>(예천도서관)</t>
    <phoneticPr fontId="3" type="noConversion"/>
  </si>
  <si>
    <t>(사월 화성파크드림 2단지)</t>
    <phoneticPr fontId="3" type="noConversion"/>
  </si>
  <si>
    <t>5T 모루</t>
  </si>
  <si>
    <t>5톤축 1대, 5톤 1대 출고 운임비</t>
    <phoneticPr fontId="3" type="noConversion"/>
  </si>
  <si>
    <t>5톤축 빈용기 회수</t>
    <phoneticPr fontId="3" type="noConversion"/>
  </si>
  <si>
    <t>(경북대 수의대)</t>
    <phoneticPr fontId="3" type="noConversion"/>
  </si>
  <si>
    <t>(성산면 삼대리 191)</t>
    <phoneticPr fontId="3" type="noConversion"/>
  </si>
  <si>
    <t>24T(5 MCT154반강화+14아르곤+5투명)</t>
  </si>
  <si>
    <t>(경북대학교 - EL실)</t>
    <phoneticPr fontId="3" type="noConversion"/>
  </si>
  <si>
    <t>27.76T(5 SKN154Ⅱ반강화+14&lt;SWS&gt;아르곤+8.76(4투명강화+0.76+4투명강화))</t>
  </si>
  <si>
    <t>(병곡보건지소)</t>
    <phoneticPr fontId="3" type="noConversion"/>
  </si>
  <si>
    <t>(하양읍 대학리 1228 - SL /선출고)</t>
    <phoneticPr fontId="3" type="noConversion"/>
  </si>
  <si>
    <t>26T(6블루+14아르곤+6듀라맥스)</t>
  </si>
  <si>
    <t>(하양읍 대학리 1228 - FIX /후출고)</t>
    <phoneticPr fontId="3" type="noConversion"/>
  </si>
  <si>
    <t>24T(6블루+12아르곤+6듀라맥스)</t>
  </si>
  <si>
    <t>(성진 명덕 주택 리모델링)</t>
    <phoneticPr fontId="3" type="noConversion"/>
  </si>
  <si>
    <t>(동남2초)</t>
    <phoneticPr fontId="3" type="noConversion"/>
  </si>
  <si>
    <t>(국가산단대로 52길 6)</t>
    <phoneticPr fontId="3" type="noConversion"/>
  </si>
  <si>
    <t>(산동읍 동곡리 577-4)</t>
    <phoneticPr fontId="3" type="noConversion"/>
  </si>
  <si>
    <t>(숙천동 383-5)</t>
    <phoneticPr fontId="3" type="noConversion"/>
  </si>
  <si>
    <t>3.5톤 출고 운임비</t>
    <phoneticPr fontId="3" type="noConversion"/>
  </si>
  <si>
    <t>8T 그린</t>
  </si>
  <si>
    <t>(경북대 수의대-4차)</t>
    <phoneticPr fontId="3" type="noConversion"/>
  </si>
  <si>
    <t>5 MZT152반강화</t>
  </si>
  <si>
    <t>(대구교대 과학관)</t>
    <phoneticPr fontId="3" type="noConversion"/>
  </si>
  <si>
    <t>(성산면 삼대리)</t>
    <phoneticPr fontId="3" type="noConversion"/>
  </si>
  <si>
    <t>(낙동119)</t>
    <phoneticPr fontId="3" type="noConversion"/>
  </si>
  <si>
    <t>39T(5 SKN154Ⅱ반강화+12&lt;SWS&gt;아르곤+5투명+12&lt;SWS&gt;아르곤+5 SKN154Ⅱ반강화)</t>
  </si>
  <si>
    <t>(하양읍 대학리 1228)</t>
    <phoneticPr fontId="3" type="noConversion"/>
  </si>
  <si>
    <t>24T(5 MZT152+14&lt;SWS&gt;아르곤+5투명)</t>
  </si>
  <si>
    <t>(대구교대 과학관 - 미서기)</t>
    <phoneticPr fontId="3" type="noConversion"/>
  </si>
  <si>
    <t>24T(6그린+12아르곤+6듀라맥스반강화)</t>
  </si>
  <si>
    <t>39T(5듀라+12아르곤+5투명+12아르곤+5투명)</t>
  </si>
  <si>
    <t>(신천동 66 오피스빌딩/전광판자리)</t>
    <phoneticPr fontId="3" type="noConversion"/>
  </si>
  <si>
    <t>(포항 남구 호동 628)</t>
    <phoneticPr fontId="3" type="noConversion"/>
  </si>
  <si>
    <t>(성진 중동)</t>
    <phoneticPr fontId="3" type="noConversion"/>
  </si>
  <si>
    <t>(예천교육지원청 - 청사)</t>
    <phoneticPr fontId="3" type="noConversion"/>
  </si>
  <si>
    <t>(대림교회)</t>
    <phoneticPr fontId="3" type="noConversion"/>
  </si>
  <si>
    <t>(경북대학교 대강당 - EL실)</t>
    <phoneticPr fontId="3" type="noConversion"/>
  </si>
  <si>
    <t>27.76T(5투명반강화+12+10.76(5투명강화+0.76+5투명강화))</t>
  </si>
  <si>
    <t>(고경면 분희경로당)</t>
    <phoneticPr fontId="3" type="noConversion"/>
  </si>
  <si>
    <t>(구미시 장천면 상장리 942-158번지 )</t>
    <phoneticPr fontId="3" type="noConversion"/>
  </si>
  <si>
    <t>(경북대 백호관 - 1층 스텐)</t>
    <phoneticPr fontId="3" type="noConversion"/>
  </si>
  <si>
    <t>(경북대 상주본관 - 선출고)</t>
    <phoneticPr fontId="3" type="noConversion"/>
  </si>
  <si>
    <t>24T(5 MZT152반강화+14아르곤+5투명)</t>
  </si>
  <si>
    <t>(경북대 상주본관 - 후출고)</t>
    <phoneticPr fontId="3" type="noConversion"/>
  </si>
  <si>
    <t>(경주시 북부동 116-3)</t>
    <phoneticPr fontId="3" type="noConversion"/>
  </si>
  <si>
    <t>24T( 5MCT154반강화+14&lt;SWS&gt;아르곤+5듀라맥스)</t>
  </si>
  <si>
    <t>43T(5 MCT154반강화+14&lt;SWS&gt;아르곤+5투명+14&lt;SWS&gt;아르곤+5 MCT154반강화)</t>
  </si>
  <si>
    <t>43T(5 MCT154+14&lt;SWS&gt;아르곤+5투명+14&lt;SWS&gt;아르곤+5 MCT154)</t>
    <phoneticPr fontId="3" type="noConversion"/>
  </si>
  <si>
    <t>43T(5 MZT152반강화+14&lt;SWS&gt;아르곤+5투명+14&lt;SWS&gt;아르곤+5 MZT152반강화)</t>
  </si>
  <si>
    <t>(원호골프 현장 - 1차/배면)</t>
    <phoneticPr fontId="3" type="noConversion"/>
  </si>
  <si>
    <t>44T(6블루반사반강화+14아르곤+5투명반강화+14아르곤+5 SKN154Ⅱ반강화)</t>
  </si>
  <si>
    <t>(포항 남구 호동)</t>
    <phoneticPr fontId="3" type="noConversion"/>
  </si>
  <si>
    <t>(신천동 66-1)</t>
    <phoneticPr fontId="3" type="noConversion"/>
  </si>
  <si>
    <t>8T 투명</t>
  </si>
  <si>
    <t>(왜관청소년수련관)</t>
    <phoneticPr fontId="3" type="noConversion"/>
  </si>
  <si>
    <t>(송정자연휴양림)</t>
    <phoneticPr fontId="3" type="noConversion"/>
  </si>
  <si>
    <t>(디에스스틸)</t>
    <phoneticPr fontId="3" type="noConversion"/>
  </si>
  <si>
    <t>(성진 명덕)</t>
    <phoneticPr fontId="3" type="noConversion"/>
  </si>
  <si>
    <t>(통영 성진건설 사옥)</t>
    <phoneticPr fontId="3" type="noConversion"/>
  </si>
  <si>
    <t>22T 블루+투명</t>
  </si>
  <si>
    <t>27.76T(5투명반강화+12+10.76(5투명강화+0.76+5투명강화)</t>
  </si>
  <si>
    <t>외주 타공 운임비</t>
    <phoneticPr fontId="3" type="noConversion"/>
  </si>
  <si>
    <t>(의성종합운동장)</t>
    <phoneticPr fontId="3" type="noConversion"/>
  </si>
  <si>
    <t>(덴티스)</t>
    <phoneticPr fontId="3" type="noConversion"/>
  </si>
  <si>
    <t>(서한 102동 1302호)</t>
    <phoneticPr fontId="3" type="noConversion"/>
  </si>
  <si>
    <t>(경북대 상주 본관)</t>
    <phoneticPr fontId="3" type="noConversion"/>
  </si>
  <si>
    <t>(사진3항 마을회관 해심센터/도담 영덕)</t>
    <phoneticPr fontId="3" type="noConversion"/>
  </si>
  <si>
    <t>(함창농협)</t>
    <phoneticPr fontId="3" type="noConversion"/>
  </si>
  <si>
    <t>24T(5그린올소노+14+5투명올소노)</t>
  </si>
  <si>
    <t>24T(6그린+12아르곤+6듀라맥스)</t>
  </si>
  <si>
    <t>(예천교육지원청)</t>
    <phoneticPr fontId="3" type="noConversion"/>
  </si>
  <si>
    <t>(청도고등학교)</t>
    <phoneticPr fontId="3" type="noConversion"/>
  </si>
  <si>
    <t>20%할증</t>
    <phoneticPr fontId="3" type="noConversion"/>
  </si>
  <si>
    <t>(영천군부대)</t>
    <phoneticPr fontId="3" type="noConversion"/>
  </si>
  <si>
    <t>5T 미스트</t>
  </si>
  <si>
    <t>(다사읍 세천리 1681-8)</t>
    <phoneticPr fontId="3" type="noConversion"/>
  </si>
  <si>
    <t>(경북대 상주본관)</t>
    <phoneticPr fontId="3" type="noConversion"/>
  </si>
  <si>
    <t>(포항자이애서턴/어린이집)</t>
    <phoneticPr fontId="3" type="noConversion"/>
  </si>
  <si>
    <t>(하양초등학교)</t>
    <phoneticPr fontId="3" type="noConversion"/>
  </si>
  <si>
    <t>24T(5 SKN154Ⅱ반강화+14&lt;SWS&gt;아르곤+5투명)이형</t>
    <phoneticPr fontId="3" type="noConversion"/>
  </si>
  <si>
    <t>(경산기업은행)</t>
    <phoneticPr fontId="3" type="noConversion"/>
  </si>
  <si>
    <t>(안동대 복지관)</t>
    <phoneticPr fontId="3" type="noConversion"/>
  </si>
  <si>
    <t>(갈산동 100-62)</t>
    <phoneticPr fontId="3" type="noConversion"/>
  </si>
  <si>
    <t>5T 투명강화올소노</t>
  </si>
  <si>
    <t>(함창읍 오사리 236)</t>
    <phoneticPr fontId="3" type="noConversion"/>
  </si>
  <si>
    <t>(상모동 산17-2)</t>
    <phoneticPr fontId="3" type="noConversion"/>
  </si>
  <si>
    <t xml:space="preserve">24T(5투명반강화+14아르곤+5듀라맥스반강화) </t>
  </si>
  <si>
    <t>12T 투명올소노강화</t>
  </si>
  <si>
    <t>28T(6 MCT154반강화+16&lt;SWS&gt;아르곤+6투명)</t>
  </si>
  <si>
    <t>18T(6투명+6+6투명올소노)</t>
  </si>
  <si>
    <t>(안동대 복지관)6/2발주 2층 80장</t>
    <phoneticPr fontId="3" type="noConversion"/>
  </si>
  <si>
    <t>5톤 왕복 운임비/까대기 상차</t>
    <phoneticPr fontId="3" type="noConversion"/>
  </si>
  <si>
    <t>(금포리 2496-6/선출고)</t>
    <phoneticPr fontId="3" type="noConversion"/>
  </si>
  <si>
    <t>(금포리 2496-6/후출고)</t>
    <phoneticPr fontId="3" type="noConversion"/>
  </si>
  <si>
    <t>(금포리 2496-6)</t>
    <phoneticPr fontId="3" type="noConversion"/>
  </si>
  <si>
    <t>(포항시 북구 청하면 월포리 529-10)</t>
    <phoneticPr fontId="3" type="noConversion"/>
  </si>
  <si>
    <t>(원동면 화제리 347-2)</t>
    <phoneticPr fontId="3" type="noConversion"/>
  </si>
  <si>
    <t>24T(5 SKN154Ⅱ반강화+14&lt;SWS&gt;아르곤+5투명)</t>
    <phoneticPr fontId="3" type="noConversion"/>
  </si>
  <si>
    <t>43T(5 SKN154Ⅱ반강화+14&lt;SWS&gt;아르곤+5투명+14&lt;SWS&gt;아르곤+5 PLAONEⅡ반강화)</t>
    <phoneticPr fontId="3" type="noConversion"/>
  </si>
  <si>
    <t>5T SKN154/재단후 취소</t>
    <phoneticPr fontId="3" type="noConversion"/>
  </si>
  <si>
    <t>(구미 상모동)</t>
    <phoneticPr fontId="3" type="noConversion"/>
  </si>
  <si>
    <t>5톤 왕복운임비/대기후</t>
    <phoneticPr fontId="3" type="noConversion"/>
  </si>
  <si>
    <t>(포항자이 애서턴)</t>
    <phoneticPr fontId="3" type="noConversion"/>
  </si>
  <si>
    <t>5톤 왕복운임비 / 오전내 대기후</t>
    <phoneticPr fontId="3" type="noConversion"/>
  </si>
  <si>
    <t>(카톨릭 라파엘관)</t>
    <phoneticPr fontId="3" type="noConversion"/>
  </si>
  <si>
    <t>24T(5 SKN154Ⅱ반강화+14아르곤+5투명반강화)</t>
  </si>
  <si>
    <t>28.52T (5 SKN154Ⅱ반강화+12아르곤+11.52(5투명+1.52+5투명))</t>
  </si>
  <si>
    <t>(포항자이애서턴 - 어린이집)</t>
    <phoneticPr fontId="3" type="noConversion"/>
  </si>
  <si>
    <t>(울산아파트)</t>
    <phoneticPr fontId="3" type="noConversion"/>
  </si>
  <si>
    <t>22T SKN154Ⅱ반강화+아르곤+투명</t>
  </si>
  <si>
    <t>(가톨릭 라파엘관)</t>
    <phoneticPr fontId="3" type="noConversion"/>
  </si>
  <si>
    <t>(안동 컬처팜 팩토리)</t>
    <phoneticPr fontId="3" type="noConversion"/>
  </si>
  <si>
    <t>24T(5 MCT154반강화+14&lt;SWS&gt;아르곤+5블루)</t>
  </si>
  <si>
    <t>(원호골프 연습장)</t>
    <phoneticPr fontId="3" type="noConversion"/>
  </si>
  <si>
    <t>43T(5 SKN176Ⅱ반강화+14아르곤+5투명반강화+14아르곤+5투명반강화)</t>
  </si>
  <si>
    <t>44T(6 블루반사반강화+14아르곤+5투명반강화+14아르곤+5 SKN154Ⅱ반강화)</t>
  </si>
  <si>
    <t>(포항 북구 청하면)</t>
    <phoneticPr fontId="3" type="noConversion"/>
  </si>
  <si>
    <t>(울진읍 읍내리 367-2)</t>
    <phoneticPr fontId="3" type="noConversion"/>
  </si>
  <si>
    <t>24T(5 MZT152반강화+14&lt;SWS&gt;아르곤+5그린)</t>
  </si>
  <si>
    <t>(카톨릭 라파엘관 - 2차)</t>
    <phoneticPr fontId="3" type="noConversion"/>
  </si>
  <si>
    <t>28.52T (5SKN154Ⅱ반강화+12아르곤+11.52(5투명+1.52+5투명))</t>
  </si>
  <si>
    <t>(영덕 석리 마을회관-SL문짝)</t>
    <phoneticPr fontId="3" type="noConversion"/>
  </si>
  <si>
    <t>(검단동 창고/최경수 소장)</t>
    <phoneticPr fontId="3" type="noConversion"/>
  </si>
  <si>
    <t>(디에스스틸 - 난간대)</t>
    <phoneticPr fontId="3" type="noConversion"/>
  </si>
  <si>
    <t>12.76T(6투명강화+0.76+6투명강화)</t>
  </si>
  <si>
    <t>면취비(자당)</t>
  </si>
  <si>
    <t>타공비(개당)</t>
  </si>
  <si>
    <t>(예천교육지원청 - 도어)</t>
    <phoneticPr fontId="3" type="noConversion"/>
  </si>
  <si>
    <t>(개진 보건소)</t>
    <phoneticPr fontId="3" type="noConversion"/>
  </si>
  <si>
    <t>16T SKN154Ⅱ반강화+아르곤+투명</t>
  </si>
  <si>
    <t>6T 블루반사</t>
  </si>
  <si>
    <t>(디에스스틸/대구)</t>
    <phoneticPr fontId="3" type="noConversion"/>
  </si>
  <si>
    <t>5톤 빈용기 회수 운인임</t>
    <phoneticPr fontId="3" type="noConversion"/>
  </si>
  <si>
    <t>(대구교대 제2상록관)문짝글레이징</t>
    <phoneticPr fontId="3" type="noConversion"/>
  </si>
  <si>
    <t>5축 2대 출고 운임비/반반부담</t>
    <phoneticPr fontId="3" type="noConversion"/>
  </si>
  <si>
    <t>16T 투명+아르곤+듀라맥스</t>
  </si>
  <si>
    <t>(파티마병원)</t>
    <phoneticPr fontId="3" type="noConversion"/>
  </si>
  <si>
    <t>(세천리 979-2)</t>
    <phoneticPr fontId="3" type="noConversion"/>
  </si>
  <si>
    <t>24T(5브론즈+14아르곤+5듀라맥스)</t>
  </si>
  <si>
    <t>(강원대 변전소)</t>
    <phoneticPr fontId="3" type="noConversion"/>
  </si>
  <si>
    <t>(동운하우징-월성화성)</t>
    <phoneticPr fontId="3" type="noConversion"/>
  </si>
  <si>
    <t>22T 투명+가로줄소노</t>
  </si>
  <si>
    <t>22T 투명+미스트</t>
  </si>
  <si>
    <t>5T 아쿠아</t>
  </si>
  <si>
    <t>(세천리 근생 - 추가)</t>
    <phoneticPr fontId="3" type="noConversion"/>
  </si>
  <si>
    <t>(울진읍)</t>
    <phoneticPr fontId="3" type="noConversion"/>
  </si>
  <si>
    <t>(대구교대 제2상록관)</t>
    <phoneticPr fontId="3" type="noConversion"/>
  </si>
  <si>
    <t>(강원대 변전소 - 문짝)</t>
    <phoneticPr fontId="3" type="noConversion"/>
  </si>
  <si>
    <t>(원호골프현장)</t>
    <phoneticPr fontId="3" type="noConversion"/>
  </si>
  <si>
    <t>25T(6블루반사반강화+14아르곤+5 SKN154Ⅱ반강화)</t>
  </si>
  <si>
    <t>24T(5 SKN176Ⅱ반강화+14아르곤+5투명반강화)</t>
  </si>
  <si>
    <t>(밀양)</t>
    <phoneticPr fontId="3" type="noConversion"/>
  </si>
  <si>
    <t>(동운하우징/월성화성)</t>
    <phoneticPr fontId="3" type="noConversion"/>
  </si>
  <si>
    <t>(개진 보건지소)</t>
    <phoneticPr fontId="3" type="noConversion"/>
  </si>
  <si>
    <t>22T 그린+아르곤+듀라맥스</t>
  </si>
  <si>
    <t>(거창종합사회복지관)</t>
    <phoneticPr fontId="3" type="noConversion"/>
  </si>
  <si>
    <t>(북삼읍 인평리 430-8)</t>
    <phoneticPr fontId="3" type="noConversion"/>
  </si>
  <si>
    <t>28T(6 SKN154Ⅱ반강화+16아르곤+6투명)</t>
  </si>
  <si>
    <t>(원호골프)</t>
    <phoneticPr fontId="3" type="noConversion"/>
  </si>
  <si>
    <t>(포항남구 호동)</t>
    <phoneticPr fontId="3" type="noConversion"/>
  </si>
  <si>
    <t>(안동팜 팩토리)</t>
    <phoneticPr fontId="3" type="noConversion"/>
  </si>
  <si>
    <t>(하양초등학교-도어)</t>
    <phoneticPr fontId="3" type="noConversion"/>
  </si>
  <si>
    <t>(하양초등학교-2차)</t>
    <phoneticPr fontId="3" type="noConversion"/>
  </si>
  <si>
    <t>16T 블루+투명</t>
  </si>
  <si>
    <t>(경북대 농대 - 1차 (문짝))</t>
    <phoneticPr fontId="3" type="noConversion"/>
  </si>
  <si>
    <t>(가톨릭 라파엘관 )</t>
    <phoneticPr fontId="3" type="noConversion"/>
  </si>
  <si>
    <t>35.04T(11.52(5투명반강화+1.52+5투명반강화)+12아르곤+11.52(5투명반강화+1.52+5투명반강화))</t>
  </si>
  <si>
    <t>11.52T(5투명반강화+1.52+5투명반강화)</t>
  </si>
  <si>
    <t>(영주 자이 시그니처 - 1차)</t>
    <phoneticPr fontId="3" type="noConversion"/>
  </si>
  <si>
    <t>(경북대 농대 - 2차 (문짝))</t>
    <phoneticPr fontId="3" type="noConversion"/>
  </si>
  <si>
    <t>(사수동 907)</t>
    <phoneticPr fontId="3" type="noConversion"/>
  </si>
  <si>
    <t>(대영제일 - 도어)</t>
    <phoneticPr fontId="3" type="noConversion"/>
  </si>
  <si>
    <t>24T(5투명+14&lt;SWS&gt;아르곤+5PLAONE)</t>
  </si>
  <si>
    <t>(하양초)</t>
    <phoneticPr fontId="3" type="noConversion"/>
  </si>
  <si>
    <t>24T(5투명+14아르곤+5듀라맥스 )</t>
  </si>
  <si>
    <t>(영주자이시그너처)</t>
    <phoneticPr fontId="3" type="noConversion"/>
  </si>
  <si>
    <t>(경북대 농대)</t>
    <phoneticPr fontId="3" type="noConversion"/>
  </si>
  <si>
    <t>5톤 왕복 운임비/까대기</t>
    <phoneticPr fontId="3" type="noConversion"/>
  </si>
  <si>
    <t>(상주 은척초등학교)</t>
    <phoneticPr fontId="3" type="noConversion"/>
  </si>
  <si>
    <t>22T 블루+아르곤+듀라맥스</t>
  </si>
  <si>
    <t>(경북대 백호관 - 커튼월 1차)</t>
    <phoneticPr fontId="3" type="noConversion"/>
  </si>
  <si>
    <t>(경북대 농대 - 2차,3차/문짝)</t>
    <phoneticPr fontId="3" type="noConversion"/>
  </si>
  <si>
    <t>(경운초등학교 - 문짝)</t>
    <phoneticPr fontId="3" type="noConversion"/>
  </si>
  <si>
    <t>22T투명+아르곤+듀라맥스</t>
    <phoneticPr fontId="3" type="noConversion"/>
  </si>
  <si>
    <t>(경북대 농대)문짝출고 반반부담</t>
    <phoneticPr fontId="3" type="noConversion"/>
  </si>
  <si>
    <t>5톤축 3대 출고 운임비</t>
    <phoneticPr fontId="3" type="noConversion"/>
  </si>
  <si>
    <t>(안동 옥송 상록공원)</t>
    <phoneticPr fontId="3" type="noConversion"/>
  </si>
  <si>
    <t>43T(5 SKN154Ⅱ반강화+14&lt;SWS&gt;아르곤+5투명반강화+14&lt;SWS&gt;아르곤+5 SKN154Ⅱ반강화)</t>
    <phoneticPr fontId="3" type="noConversion"/>
  </si>
  <si>
    <t>(경북대 농대 - 픽스)</t>
    <phoneticPr fontId="3" type="noConversion"/>
  </si>
  <si>
    <t>(가천2길 66-26)</t>
    <phoneticPr fontId="3" type="noConversion"/>
  </si>
  <si>
    <t>23T(6블루반사+12아르곤+5듀라맥스)</t>
  </si>
  <si>
    <t>빈용기 회수</t>
    <phoneticPr fontId="3" type="noConversion"/>
  </si>
  <si>
    <t>(경북대 백호관 - 스텐 2차)</t>
    <phoneticPr fontId="3" type="noConversion"/>
  </si>
  <si>
    <t>5톤축 1대, 11톤 왕복 1대 운임비</t>
    <phoneticPr fontId="3" type="noConversion"/>
  </si>
  <si>
    <t>(경운초등학교)</t>
    <phoneticPr fontId="3" type="noConversion"/>
  </si>
  <si>
    <t>39T(5 SKN154Ⅱ반강화+12&lt;SWS&gt;아르곤+5투명반강화+12&lt;SWS&gt;아르곤+5 SKN154Ⅱ반강화)</t>
  </si>
  <si>
    <t>43T(5 SKN154Ⅱ반강화+14&lt;SWS&gt;아르곤+5투명반강화+14&lt;SWS&gt;아르곤+5 SKN154Ⅱ반강화)</t>
  </si>
  <si>
    <t>(하양초등학교 - 도어)</t>
    <phoneticPr fontId="3" type="noConversion"/>
  </si>
  <si>
    <t>(부산 LH 리모델링 1차)</t>
    <phoneticPr fontId="3" type="noConversion"/>
  </si>
  <si>
    <t>16T 투명+미스트</t>
  </si>
  <si>
    <t>(북삼농협)</t>
    <phoneticPr fontId="3" type="noConversion"/>
  </si>
  <si>
    <t>22T 투명반강화+아르곤+듀라맥스반강화</t>
  </si>
  <si>
    <t>31T(5 SKN154Ⅱ반강화+8&lt;SWS&gt;아르곤+5투명+8&lt;SWS&gt;아르곤+5 SKN154Ⅱ반강화)</t>
  </si>
  <si>
    <t>(예천 꿀벌연구동)</t>
    <phoneticPr fontId="3" type="noConversion"/>
  </si>
  <si>
    <t>(하양초/대구 침산3동)</t>
    <phoneticPr fontId="3" type="noConversion"/>
  </si>
  <si>
    <t>(경운초/대구)</t>
    <phoneticPr fontId="3" type="noConversion"/>
  </si>
  <si>
    <t>5톤 2대 출고 운임비</t>
    <phoneticPr fontId="3" type="noConversion"/>
  </si>
  <si>
    <t>8T 투명강화/이형</t>
    <phoneticPr fontId="3" type="noConversion"/>
  </si>
  <si>
    <t>(대구교대 상록등재관)</t>
    <phoneticPr fontId="3" type="noConversion"/>
  </si>
  <si>
    <t>(문경 산북초)</t>
    <phoneticPr fontId="3" type="noConversion"/>
  </si>
  <si>
    <t>22T 투명+아르곤+MASTERONE</t>
  </si>
  <si>
    <t>(우전무님 현장)</t>
    <phoneticPr fontId="3" type="noConversion"/>
  </si>
  <si>
    <t>(경운초등학교 - 환풍기)</t>
    <phoneticPr fontId="3" type="noConversion"/>
  </si>
  <si>
    <t>(한빛창호)</t>
    <phoneticPr fontId="3" type="noConversion"/>
  </si>
  <si>
    <t>(경북대 농대 - 픽스 2차)</t>
    <phoneticPr fontId="3" type="noConversion"/>
  </si>
  <si>
    <t>(다음건설 양이사님)</t>
    <phoneticPr fontId="3" type="noConversion"/>
  </si>
  <si>
    <t>(부산 LH 리모델링 2차)</t>
    <phoneticPr fontId="3" type="noConversion"/>
  </si>
  <si>
    <t>(대구교대 상록동재관)</t>
    <phoneticPr fontId="3" type="noConversion"/>
  </si>
  <si>
    <t>(경북대 농대 - SSD)</t>
    <phoneticPr fontId="3" type="noConversion"/>
  </si>
  <si>
    <t>(남산면 활력센터)</t>
    <phoneticPr fontId="3" type="noConversion"/>
  </si>
  <si>
    <t>(영주 자이 시그니처 /1-1차)</t>
    <phoneticPr fontId="3" type="noConversion"/>
  </si>
  <si>
    <t>8.76T (4투명반강화+0.76+4투명반강화)</t>
  </si>
  <si>
    <t>(매천초등학교)</t>
    <phoneticPr fontId="3" type="noConversion"/>
  </si>
  <si>
    <t>5톤축 왕복 운임비/까대기</t>
    <phoneticPr fontId="3" type="noConversion"/>
  </si>
  <si>
    <t>43T(5 SKN154Ⅱ반강화+14&lt;SWS&gt;아르곤+5투명반강화+14&lt;SWS&gt;아르곤+5SKN154Ⅱ반강화)</t>
  </si>
  <si>
    <t>(유가읍 위곡리)</t>
    <phoneticPr fontId="3" type="noConversion"/>
  </si>
  <si>
    <t>24T(5투명+14아르곤+5듀라맥스)</t>
    <phoneticPr fontId="3" type="noConversion"/>
  </si>
  <si>
    <t>(포항자이애서턴/3-1차)</t>
    <phoneticPr fontId="3" type="noConversion"/>
  </si>
  <si>
    <t>(포항자이애서턴/3-2차)</t>
    <phoneticPr fontId="3" type="noConversion"/>
  </si>
  <si>
    <t>(포항자이애서턴/3-3차)</t>
    <phoneticPr fontId="3" type="noConversion"/>
  </si>
  <si>
    <t>5톤축 2대+5톤 1대 출고 운임비/문짝출고 반반부담</t>
    <phoneticPr fontId="3" type="noConversion"/>
  </si>
  <si>
    <t>(LH 금곡1+ 덕천2)</t>
    <phoneticPr fontId="3" type="noConversion"/>
  </si>
  <si>
    <t>5톤축 편도 경유 운임비</t>
    <phoneticPr fontId="3" type="noConversion"/>
  </si>
  <si>
    <t>(LH 모라1)</t>
    <phoneticPr fontId="3" type="noConversion"/>
  </si>
  <si>
    <t>빈용기 회수 3군데</t>
    <phoneticPr fontId="3" type="noConversion"/>
  </si>
  <si>
    <t>경유 포함</t>
    <phoneticPr fontId="3" type="noConversion"/>
  </si>
  <si>
    <t>18T(5투명+8+5투명)</t>
  </si>
  <si>
    <t>(경북대 농대 - 슬라이딩)</t>
    <phoneticPr fontId="3" type="noConversion"/>
  </si>
  <si>
    <t>(포항자이 애스턴)</t>
    <phoneticPr fontId="3" type="noConversion"/>
  </si>
  <si>
    <t>(부산 LH 리모델링)</t>
    <phoneticPr fontId="3" type="noConversion"/>
  </si>
  <si>
    <t>8T 투명강화올소노</t>
  </si>
  <si>
    <t>(예천 꿀벌 연구동)</t>
    <phoneticPr fontId="3" type="noConversion"/>
  </si>
  <si>
    <t>3.5톤 왕복 운임비</t>
    <phoneticPr fontId="3" type="noConversion"/>
  </si>
  <si>
    <t>(원호골프장)</t>
    <phoneticPr fontId="3" type="noConversion"/>
  </si>
  <si>
    <t>(의성)</t>
    <phoneticPr fontId="3" type="noConversion"/>
  </si>
  <si>
    <t>(청도)</t>
    <phoneticPr fontId="3" type="noConversion"/>
  </si>
  <si>
    <t>24T(5브론즈+14+5투명)</t>
  </si>
  <si>
    <t>8T 브론즈강화</t>
  </si>
  <si>
    <t>(포항 오천초등학교 - 문짝)</t>
    <phoneticPr fontId="3" type="noConversion"/>
  </si>
  <si>
    <t>22T투명+아르곤+마스터원</t>
    <phoneticPr fontId="3" type="noConversion"/>
  </si>
  <si>
    <t>(포항 오천초등학교)</t>
    <phoneticPr fontId="3" type="noConversion"/>
  </si>
  <si>
    <t>(부산 LH-모라3단지)</t>
    <phoneticPr fontId="3" type="noConversion"/>
  </si>
  <si>
    <t>(부산 LH-모라1단지+금곡4단지)경유</t>
    <phoneticPr fontId="3" type="noConversion"/>
  </si>
  <si>
    <t>현장명 : 계성중학교</t>
    <phoneticPr fontId="14" type="noConversion"/>
  </si>
  <si>
    <t>43T(5 SKN154Ⅱ반강화+14&lt;SWS&gt;아르곤+5투명+14&lt;SWS&gt;아르곤+5 SKN154Ⅱ반강화)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</si>
</sst>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.0_ "/>
    <numFmt numFmtId="177" formatCode="m&quot;/&quot;d;@"/>
    <numFmt numFmtId="178" formatCode="#,##0.0_);[Red]\(#,##0.0\)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u/>
      <sz val="11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굴림"/>
      <family val="3"/>
      <charset val="129"/>
    </font>
    <font>
      <b/>
      <sz val="18"/>
      <color theme="1"/>
      <name val="굴림"/>
      <family val="3"/>
      <charset val="129"/>
    </font>
    <font>
      <b/>
      <u/>
      <sz val="11"/>
      <color rgb="FF000099"/>
      <name val="굴림"/>
      <family val="3"/>
      <charset val="129"/>
    </font>
    <font>
      <sz val="8"/>
      <name val="맑은 고딕"/>
      <family val="3"/>
      <charset val="129"/>
    </font>
    <font>
      <b/>
      <sz val="11"/>
      <color rgb="FFFF0000"/>
      <name val="굴림"/>
      <family val="3"/>
      <charset val="129"/>
    </font>
    <font>
      <b/>
      <sz val="11"/>
      <color rgb="FF000099"/>
      <name val="굴림"/>
      <family val="3"/>
      <charset val="129"/>
    </font>
    <font>
      <b/>
      <sz val="11"/>
      <name val="굴림"/>
      <family val="3"/>
      <charset val="129"/>
    </font>
    <font>
      <b/>
      <sz val="9"/>
      <name val="굴림"/>
      <family val="3"/>
      <charset val="129"/>
    </font>
    <font>
      <b/>
      <sz val="11"/>
      <color rgb="FF00B0F0"/>
      <name val="굴림"/>
      <family val="3"/>
      <charset val="129"/>
    </font>
    <font>
      <b/>
      <sz val="9"/>
      <color rgb="FFFF0000"/>
      <name val="굴림"/>
      <family val="3"/>
      <charset val="129"/>
    </font>
    <font>
      <sz val="8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rgb="FFFF0000"/>
      </top>
      <bottom style="hair">
        <color indexed="64"/>
      </bottom>
      <diagonal/>
    </border>
    <border>
      <left style="hair">
        <color indexed="64"/>
      </left>
      <right/>
      <top style="double">
        <color rgb="FFFF0000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rgb="FFFF0000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rgb="FFFF0000"/>
      </top>
      <bottom style="hair">
        <color indexed="64"/>
      </bottom>
      <diagonal/>
    </border>
    <border>
      <left/>
      <right style="hair">
        <color indexed="64"/>
      </right>
      <top style="double">
        <color rgb="FFFF0000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1" applyNumberFormat="1" applyFont="1" applyBorder="1" applyAlignment="1">
      <alignment horizontal="right" vertical="center"/>
    </xf>
    <xf numFmtId="41" fontId="4" fillId="0" borderId="0" xfId="1" applyFont="1" applyBorder="1" applyAlignment="1">
      <alignment horizontal="center" vertical="center"/>
    </xf>
    <xf numFmtId="41" fontId="4" fillId="0" borderId="0" xfId="1" applyFont="1" applyBorder="1" applyAlignment="1">
      <alignment horizontal="left" vertical="center"/>
    </xf>
    <xf numFmtId="41" fontId="8" fillId="0" borderId="0" xfId="1" applyFont="1" applyBorder="1" applyAlignment="1">
      <alignment horizontal="left" vertical="center"/>
    </xf>
    <xf numFmtId="177" fontId="9" fillId="0" borderId="0" xfId="1" applyNumberFormat="1" applyFont="1" applyBorder="1" applyAlignment="1">
      <alignment horizontal="left" vertical="center"/>
    </xf>
    <xf numFmtId="41" fontId="9" fillId="0" borderId="0" xfId="1" applyFont="1" applyBorder="1" applyAlignment="1">
      <alignment horizontal="left" vertical="center"/>
    </xf>
    <xf numFmtId="41" fontId="4" fillId="0" borderId="0" xfId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 shrinkToFit="1"/>
    </xf>
    <xf numFmtId="176" fontId="4" fillId="0" borderId="2" xfId="1" applyNumberFormat="1" applyFont="1" applyBorder="1" applyAlignment="1">
      <alignment horizontal="center" vertical="center" shrinkToFit="1"/>
    </xf>
    <xf numFmtId="41" fontId="4" fillId="0" borderId="2" xfId="1" applyFont="1" applyBorder="1" applyAlignment="1">
      <alignment horizontal="center" vertical="center" shrinkToFit="1"/>
    </xf>
    <xf numFmtId="41" fontId="8" fillId="2" borderId="3" xfId="1" applyFont="1" applyFill="1" applyBorder="1" applyAlignment="1">
      <alignment horizontal="center" vertical="center" shrinkToFit="1"/>
    </xf>
    <xf numFmtId="41" fontId="4" fillId="0" borderId="4" xfId="1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10" fillId="0" borderId="7" xfId="0" applyFont="1" applyBorder="1" applyAlignment="1">
      <alignment horizontal="center" vertical="center" shrinkToFit="1"/>
    </xf>
    <xf numFmtId="0" fontId="10" fillId="3" borderId="7" xfId="0" applyFont="1" applyFill="1" applyBorder="1">
      <alignment vertical="center"/>
    </xf>
    <xf numFmtId="0" fontId="8" fillId="0" borderId="8" xfId="0" applyFont="1" applyBorder="1" applyAlignment="1">
      <alignment horizontal="center" vertical="center" shrinkToFit="1"/>
    </xf>
    <xf numFmtId="176" fontId="10" fillId="0" borderId="7" xfId="1" applyNumberFormat="1" applyFont="1" applyFill="1" applyBorder="1" applyAlignment="1">
      <alignment horizontal="right" vertical="center" shrinkToFit="1"/>
    </xf>
    <xf numFmtId="41" fontId="10" fillId="0" borderId="7" xfId="1" applyFont="1" applyFill="1" applyBorder="1" applyAlignment="1">
      <alignment horizontal="center" vertical="center" shrinkToFit="1"/>
    </xf>
    <xf numFmtId="41" fontId="10" fillId="0" borderId="7" xfId="1" applyFont="1" applyFill="1" applyBorder="1" applyAlignment="1">
      <alignment horizontal="right" vertical="center" shrinkToFit="1"/>
    </xf>
    <xf numFmtId="41" fontId="8" fillId="2" borderId="9" xfId="1" applyFont="1" applyFill="1" applyBorder="1" applyAlignment="1">
      <alignment horizontal="center" vertical="center" shrinkToFit="1"/>
    </xf>
    <xf numFmtId="177" fontId="9" fillId="0" borderId="10" xfId="1" applyNumberFormat="1" applyFont="1" applyBorder="1" applyAlignment="1">
      <alignment horizontal="center" vertical="center" shrinkToFit="1"/>
    </xf>
    <xf numFmtId="41" fontId="9" fillId="0" borderId="11" xfId="1" applyFont="1" applyBorder="1" applyAlignment="1">
      <alignment horizontal="center" vertical="center" shrinkToFit="1"/>
    </xf>
    <xf numFmtId="41" fontId="10" fillId="0" borderId="12" xfId="1" applyFont="1" applyBorder="1" applyAlignment="1">
      <alignment horizontal="center" vertical="center" shrinkToFit="1"/>
    </xf>
    <xf numFmtId="0" fontId="10" fillId="0" borderId="7" xfId="0" applyFont="1" applyBorder="1">
      <alignment vertical="center"/>
    </xf>
    <xf numFmtId="41" fontId="10" fillId="0" borderId="8" xfId="1" applyFont="1" applyFill="1" applyBorder="1" applyAlignment="1">
      <alignment vertical="center" shrinkToFit="1"/>
    </xf>
    <xf numFmtId="178" fontId="10" fillId="0" borderId="7" xfId="0" applyNumberFormat="1" applyFont="1" applyBorder="1" applyAlignment="1">
      <alignment horizontal="right" vertical="center" shrinkToFit="1"/>
    </xf>
    <xf numFmtId="41" fontId="8" fillId="2" borderId="8" xfId="1" applyFont="1" applyFill="1" applyBorder="1" applyAlignment="1">
      <alignment horizontal="center" vertical="center" shrinkToFit="1"/>
    </xf>
    <xf numFmtId="177" fontId="9" fillId="0" borderId="13" xfId="1" applyNumberFormat="1" applyFont="1" applyBorder="1" applyAlignment="1">
      <alignment horizontal="center" vertical="center" shrinkToFit="1"/>
    </xf>
    <xf numFmtId="41" fontId="9" fillId="0" borderId="14" xfId="1" applyFont="1" applyBorder="1" applyAlignment="1">
      <alignment horizontal="center" vertical="center" shrinkToFit="1"/>
    </xf>
    <xf numFmtId="41" fontId="10" fillId="0" borderId="15" xfId="1" applyFont="1" applyBorder="1" applyAlignment="1">
      <alignment horizontal="center" vertical="center" shrinkToFit="1"/>
    </xf>
    <xf numFmtId="0" fontId="11" fillId="0" borderId="7" xfId="0" applyFont="1" applyBorder="1" applyAlignment="1">
      <alignment vertical="center" wrapText="1"/>
    </xf>
    <xf numFmtId="0" fontId="12" fillId="0" borderId="8" xfId="0" applyFont="1" applyBorder="1" applyAlignment="1">
      <alignment horizontal="center" vertical="center" shrinkToFit="1"/>
    </xf>
    <xf numFmtId="41" fontId="10" fillId="0" borderId="13" xfId="1" applyFont="1" applyBorder="1" applyAlignment="1">
      <alignment horizontal="center" vertical="center" shrinkToFit="1"/>
    </xf>
    <xf numFmtId="0" fontId="10" fillId="0" borderId="7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 shrinkToFit="1"/>
    </xf>
    <xf numFmtId="0" fontId="10" fillId="0" borderId="16" xfId="0" applyFont="1" applyBorder="1" applyAlignment="1">
      <alignment horizontal="center" vertical="center" shrinkToFit="1"/>
    </xf>
    <xf numFmtId="176" fontId="10" fillId="0" borderId="16" xfId="1" applyNumberFormat="1" applyFont="1" applyFill="1" applyBorder="1" applyAlignment="1">
      <alignment horizontal="right" vertical="center" shrinkToFit="1"/>
    </xf>
    <xf numFmtId="41" fontId="10" fillId="0" borderId="16" xfId="1" applyFont="1" applyFill="1" applyBorder="1" applyAlignment="1">
      <alignment horizontal="center" vertical="center" shrinkToFit="1"/>
    </xf>
    <xf numFmtId="41" fontId="10" fillId="0" borderId="16" xfId="1" applyFont="1" applyFill="1" applyBorder="1" applyAlignment="1">
      <alignment horizontal="right" vertical="center" shrinkToFit="1"/>
    </xf>
    <xf numFmtId="0" fontId="11" fillId="0" borderId="7" xfId="0" applyFont="1" applyBorder="1" applyAlignment="1">
      <alignment vertical="center" wrapText="1" shrinkToFit="1"/>
    </xf>
    <xf numFmtId="0" fontId="13" fillId="0" borderId="8" xfId="0" applyFont="1" applyBorder="1" applyAlignment="1">
      <alignment horizontal="center" vertical="center" wrapText="1" shrinkToFit="1"/>
    </xf>
    <xf numFmtId="41" fontId="8" fillId="0" borderId="7" xfId="1" applyFont="1" applyFill="1" applyBorder="1" applyAlignment="1">
      <alignment horizontal="center" vertical="center" shrinkToFit="1"/>
    </xf>
    <xf numFmtId="41" fontId="8" fillId="0" borderId="15" xfId="1" applyFont="1" applyBorder="1" applyAlignment="1">
      <alignment horizontal="center" vertical="center" shrinkToFit="1"/>
    </xf>
    <xf numFmtId="0" fontId="10" fillId="0" borderId="17" xfId="0" applyFont="1" applyBorder="1" applyAlignment="1">
      <alignment horizontal="center" vertical="center" shrinkToFit="1"/>
    </xf>
    <xf numFmtId="0" fontId="11" fillId="0" borderId="17" xfId="0" applyFont="1" applyBorder="1" applyAlignment="1">
      <alignment vertical="center" wrapText="1"/>
    </xf>
    <xf numFmtId="0" fontId="8" fillId="0" borderId="18" xfId="0" applyFont="1" applyBorder="1" applyAlignment="1">
      <alignment horizontal="center" vertical="center" shrinkToFit="1"/>
    </xf>
    <xf numFmtId="176" fontId="10" fillId="0" borderId="17" xfId="1" applyNumberFormat="1" applyFont="1" applyFill="1" applyBorder="1" applyAlignment="1">
      <alignment horizontal="right" vertical="center" shrinkToFit="1"/>
    </xf>
    <xf numFmtId="41" fontId="10" fillId="0" borderId="17" xfId="1" applyFont="1" applyFill="1" applyBorder="1" applyAlignment="1">
      <alignment horizontal="center" vertical="center" shrinkToFit="1"/>
    </xf>
    <xf numFmtId="41" fontId="10" fillId="0" borderId="17" xfId="1" applyFont="1" applyFill="1" applyBorder="1" applyAlignment="1">
      <alignment horizontal="right" vertical="center" shrinkToFit="1"/>
    </xf>
    <xf numFmtId="41" fontId="8" fillId="2" borderId="18" xfId="1" applyFont="1" applyFill="1" applyBorder="1" applyAlignment="1">
      <alignment horizontal="center" vertical="center" shrinkToFit="1"/>
    </xf>
    <xf numFmtId="177" fontId="9" fillId="0" borderId="19" xfId="1" applyNumberFormat="1" applyFont="1" applyBorder="1" applyAlignment="1">
      <alignment horizontal="center" vertical="center" shrinkToFit="1"/>
    </xf>
    <xf numFmtId="41" fontId="9" fillId="0" borderId="20" xfId="1" applyFont="1" applyBorder="1" applyAlignment="1">
      <alignment horizontal="center" vertical="center" shrinkToFit="1"/>
    </xf>
    <xf numFmtId="41" fontId="10" fillId="0" borderId="21" xfId="1" applyFont="1" applyBorder="1" applyAlignment="1">
      <alignment horizontal="center" vertical="center" shrinkToFit="1"/>
    </xf>
    <xf numFmtId="0" fontId="10" fillId="0" borderId="22" xfId="0" applyFont="1" applyBorder="1" applyAlignment="1">
      <alignment horizontal="center" vertical="center" shrinkToFit="1"/>
    </xf>
    <xf numFmtId="0" fontId="10" fillId="0" borderId="22" xfId="0" applyFont="1" applyBorder="1">
      <alignment vertical="center"/>
    </xf>
    <xf numFmtId="0" fontId="8" fillId="0" borderId="23" xfId="0" applyFont="1" applyBorder="1" applyAlignment="1">
      <alignment horizontal="center" vertical="center" shrinkToFit="1"/>
    </xf>
    <xf numFmtId="176" fontId="10" fillId="0" borderId="22" xfId="1" applyNumberFormat="1" applyFont="1" applyFill="1" applyBorder="1" applyAlignment="1">
      <alignment horizontal="right" vertical="center" shrinkToFit="1"/>
    </xf>
    <xf numFmtId="41" fontId="10" fillId="0" borderId="22" xfId="1" applyFont="1" applyFill="1" applyBorder="1" applyAlignment="1">
      <alignment horizontal="center" vertical="center" shrinkToFit="1"/>
    </xf>
    <xf numFmtId="41" fontId="10" fillId="0" borderId="22" xfId="1" applyFont="1" applyFill="1" applyBorder="1" applyAlignment="1">
      <alignment horizontal="right" vertical="center" shrinkToFit="1"/>
    </xf>
    <xf numFmtId="41" fontId="8" fillId="2" borderId="23" xfId="1" applyFont="1" applyFill="1" applyBorder="1" applyAlignment="1">
      <alignment horizontal="center" vertical="center" shrinkToFit="1"/>
    </xf>
    <xf numFmtId="177" fontId="9" fillId="0" borderId="24" xfId="1" applyNumberFormat="1" applyFont="1" applyBorder="1" applyAlignment="1">
      <alignment horizontal="center" vertical="center" shrinkToFit="1"/>
    </xf>
    <xf numFmtId="41" fontId="9" fillId="0" borderId="25" xfId="1" applyFont="1" applyBorder="1" applyAlignment="1">
      <alignment horizontal="center" vertical="center" shrinkToFit="1"/>
    </xf>
    <xf numFmtId="41" fontId="10" fillId="0" borderId="26" xfId="1" applyFont="1" applyBorder="1" applyAlignment="1">
      <alignment horizontal="center" vertical="center" shrinkToFit="1"/>
    </xf>
    <xf numFmtId="0" fontId="10" fillId="0" borderId="7" xfId="0" applyFont="1" applyBorder="1" applyAlignment="1">
      <alignment vertical="center" shrinkToFit="1"/>
    </xf>
    <xf numFmtId="0" fontId="10" fillId="0" borderId="16" xfId="0" applyFont="1" applyBorder="1" applyAlignment="1">
      <alignment vertical="center" wrapText="1"/>
    </xf>
    <xf numFmtId="41" fontId="10" fillId="3" borderId="7" xfId="1" applyFont="1" applyFill="1" applyBorder="1" applyAlignment="1">
      <alignment horizontal="center" vertical="center" shrinkToFit="1"/>
    </xf>
    <xf numFmtId="0" fontId="10" fillId="0" borderId="17" xfId="0" applyFont="1" applyBorder="1" applyAlignment="1">
      <alignment vertical="center" wrapText="1"/>
    </xf>
    <xf numFmtId="0" fontId="10" fillId="0" borderId="16" xfId="0" applyFont="1" applyBorder="1">
      <alignment vertical="center"/>
    </xf>
    <xf numFmtId="0" fontId="11" fillId="0" borderId="7" xfId="0" applyFont="1" applyBorder="1">
      <alignment vertical="center"/>
    </xf>
    <xf numFmtId="0" fontId="10" fillId="0" borderId="22" xfId="0" applyFont="1" applyBorder="1" applyAlignment="1">
      <alignment vertical="center" wrapText="1"/>
    </xf>
    <xf numFmtId="41" fontId="8" fillId="0" borderId="13" xfId="1" applyFont="1" applyBorder="1" applyAlignment="1">
      <alignment horizontal="center" vertical="center" shrinkToFit="1"/>
    </xf>
    <xf numFmtId="0" fontId="10" fillId="0" borderId="17" xfId="0" applyFont="1" applyBorder="1">
      <alignment vertical="center"/>
    </xf>
    <xf numFmtId="41" fontId="10" fillId="0" borderId="19" xfId="1" applyFont="1" applyBorder="1" applyAlignment="1">
      <alignment horizontal="center" vertical="center" shrinkToFit="1"/>
    </xf>
    <xf numFmtId="41" fontId="10" fillId="0" borderId="24" xfId="1" applyFont="1" applyBorder="1" applyAlignment="1">
      <alignment horizontal="center" vertical="center" shrinkToFit="1"/>
    </xf>
    <xf numFmtId="0" fontId="12" fillId="0" borderId="23" xfId="0" applyFont="1" applyBorder="1" applyAlignment="1">
      <alignment horizontal="center" vertical="center" shrinkToFit="1"/>
    </xf>
    <xf numFmtId="0" fontId="11" fillId="0" borderId="22" xfId="0" applyFont="1" applyBorder="1" applyAlignment="1">
      <alignment vertical="center" wrapText="1"/>
    </xf>
    <xf numFmtId="0" fontId="13" fillId="0" borderId="8" xfId="0" applyFont="1" applyBorder="1" applyAlignment="1">
      <alignment horizontal="center" vertical="center" shrinkToFit="1"/>
    </xf>
    <xf numFmtId="0" fontId="10" fillId="0" borderId="0" xfId="0" applyFont="1" applyAlignment="1">
      <alignment vertical="center" shrinkToFit="1"/>
    </xf>
    <xf numFmtId="0" fontId="4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177" fontId="9" fillId="0" borderId="5" xfId="1" applyNumberFormat="1" applyFont="1" applyBorder="1" applyAlignment="1">
      <alignment horizontal="center" vertical="center" shrinkToFit="1"/>
    </xf>
    <xf numFmtId="177" fontId="9" fillId="0" borderId="6" xfId="1" applyNumberFormat="1" applyFont="1" applyBorder="1" applyAlignment="1">
      <alignment horizontal="center" vertical="center" shrinkToFit="1"/>
    </xf>
    <xf numFmtId="0" fontId="10" fillId="3" borderId="7" xfId="0" applyFont="1" applyFill="1" applyBorder="1" applyAlignment="1">
      <alignment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calcChain" Target="calcChain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\Downloads\&#53461;&#51221;%20&#47928;&#49436;&#49688;&#48156;\02%20SE2477%20&#51204;&#51088;(&#50728;&#50577;)&#54224;&#49688;%20&#51613;&#49444;&#44277;&#49324;\01.%20&#50728;&#50577;%20&#49444;&#44228;\&#54801;&#47141;&#50629;&#52404;\&#54616;&#45208;&#51060;&#50644;&#51648;\1129%20&#45236;&#50669;%20&#48143;%20&#46020;&#47732;\&#50728;&#50577;%20&#44228;&#47732;&#54224;&#49688;&#52376;&#47532;%20&#49884;&#49444;&#44277;&#49324;(1129)\&#45236;&#50669;&#49436;\Job100924\&#49340;&#49457;&#51204;&#51088;&#53461;&#51221;&#51333;&#54224;-6&#45800;&#44228;\&#51089;&#50629;&#54028;&#51068;\101015&#51109;&#48708;&#50696;&#49328;\5,6%20Line%20Duct%20&#45800;&#44032;%20&#45236;&#50669;%20&#48143;%20&#49688;&#47049;%20&#49328;&#52636;&#4943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57;&#51064;&#44592;\XFILE\IMSI\DUJUNG2\&#46160;&#51221;2&#5226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\Downloads\01.&#51452;&#49885;&#54924;&#49324;%20&#54620;&#48177;&#44544;&#46972;&#49828;\2025&#45380;\02.&#47588;&#52636;\SE0-DWG\&#52404;&#50977;\XLS\ALL-XLS\ULSAN\PRIC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7000;&#51652;\&#52264;&#47049;&#44592;&#51648;(&#48149;\PROJECT\KANGMAE\&#54665;&#49888;&#52380;\HS&#51068;&#48152;&#49688;&#4704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\Downloads\01.&#51452;&#49885;&#54924;&#49324;%20&#54620;&#48177;&#44544;&#46972;&#49828;\2025&#45380;\02.&#47588;&#52636;\Documents%20and%20Settings\&#51221;&#52285;&#50864;\Local%20Settings\Temp\&#49436;&#50872;&#45824;&#51032;&#49373;&#47749;&#44284;&#54617;&#44288;&amp;&#44036;&#54840;&#45824;&#44592;&#49689;&#49324;.zip&#50640;%20&#45824;&#54620;%20&#51076;&#49884;%20&#46356;&#47113;&#53552;&#47532;%201\&#48149;&#49457;&#54620;\&#45236;&#50669;&#49436;2000\&#46020;&#47196;&#54869;&#54252;&#51109;&#50864;&#54924;\&#50864;&#51221;%20&#51089;&#50629;&#51473;\&#50864;&#51221;&#49368;&#54540;2\&#50864;&#51221;&#45236;&#5066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wj\c\1997\&#51077;&#52272;\04\&#54644;&#50868;\Hw-CV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46301;&#44428;\C\WORK\&#44305;&#51452;\KKK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\Downloads\01.&#51452;&#49885;&#54924;&#49324;%20&#54620;&#48177;&#44544;&#46972;&#49828;\2025&#45380;\02.&#47588;&#52636;\WINDOWS\TEMP\&#44288;&#44277;&#49324;&#51077;&#52272;\2001&#45380;\&#46020;&#47196;&#51216;&#50857;&#4730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\Downloads\01.&#51452;&#49885;&#54924;&#49324;%20&#54620;&#48177;&#44544;&#46972;&#49828;\2025&#45380;\02.&#47588;&#52636;\Documents%20and%20Settings\&#51221;&#52285;&#50864;\Local%20Settings\Temp\&#49436;&#50872;&#45824;&#51032;&#49373;&#47749;&#44284;&#54617;&#44288;&amp;&#44036;&#54840;&#45824;&#44592;&#49689;&#49324;.zip&#50640;%20&#45824;&#54620;%20&#51076;&#49884;%20&#46356;&#47113;&#53552;&#47532;%201\data\IFB\GJL\SIL_B_4\ITEM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7000;&#51652;\&#52264;&#47049;&#44592;&#51648;(&#48149;\&#52264;&#47049;&#44592;&#51648;(&#54728;&#44540;&#50689;)\&#49892;&#51221;&#48372;&#44256;\&#49888;&#49444;&#45453;&#49688;&#47196;\&#53664;&#4427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20;&#50980;\C\HEE-DONG\&#44592;&#53440;\&#54801;&#51312;&#5120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46301;&#44428;\C\&#44053;&#51652;&#49689;\&#47928;&#44221;-a\KKK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93;&#44540;\&#49340;&#49457;\Project2001\&#45236;&#49552;&#51648;&#44396;\&#49688;&#47049;\&#44032;&#49884;&#49444;&#44277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20;&#50980;\C\HEE-DONG\&#49688;&#48520;&#49552;&#51061;\9614\&#49688;&#48520;&#45236;&#49688;.14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4644;&#50896;\&#44277;&#50976;&#44277;&#44036;\&#50900;&#49457;&#54861;&#48372;&#44288;\&#51088;&#47308;\&#45208;&#49328;&#51312;&#44221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48337;&#52384;\&#52572;&#44540;\&#54532;&#47004;(PLAN)\&#52397;&#52380;\200&#48156;&#51452;\2000&#52397;&#52380;-&#45909;&#54217;&#48156;&#51452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\Downloads\&#44277;&#49324;\&#48708;&#49345;&#51665;&#49688;&#51312;2\&#44277;&#47924;\&#49444;&#44228;&#48320;&#44221;\1&#54924;%20&#49444;&#44228;&#48320;&#44221;\1&#54924;%20&#49444;&#44228;&#48320;&#44221;_&#48708;&#49345;&#51665;&#49688;&#51312;%20&#48176;&#44288;-2(&#54620;&#50577;&#51060;&#50644;&#51648;)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jeon\work\work\0000%20-%20&#44204;&#51201;&#54028;&#51068;\P9773%20-%20&#54252;&#54637;3,4&#53448;&#54889;&#49548;&#44208;&#44277;&#51221;WWT(&#54620;&#44397;&#51473;&#44277;&#50629;)\&#44204;&#51201;&#45236;&#50669;&#4943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7000;&#51652;\&#52264;&#47049;&#44592;&#51648;(&#48149;\PROJECT\DOC95\EXCEL\in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ADISE\&#51201;&#44201;\&#54620;&#44397;&#50528;&#45768;\&#51089;&#50629;\&#49436;&#479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4984;1\amco\Documents%20and%20Settings\&#51060;&#49569;&#55148;.&#49569;&#55148;&#52980;\My%20Documents\&#49569;&#55148;&#47928;&#49436;\&#51064;&#49324;\DATAJUNG\DATA\&#54032;&#44288;&#48708;\98&#54032;&#44288;&#48708;\&#49892;&#51201;&#48516;&#49437;\98&#54032;&#44288;&#48708;3&#52264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\Downloads\&#44277;&#49324;\PJ20120010\&#50728;&#50577;%20&#44228;&#47732;&#54224;&#49688;&#52376;&#47532;%20&#51613;&#49444;%20&#48143;%20&#44060;&#48372;&#49688;&#44277;&#49324;\&#49888;&#49444;&#44277;&#49324;\&#44277;&#47924;\&#44228;&#50557;&#49436;&#47448;\&#51077;&#52272;%20&#44204;&#51201;\Documents%20and%20Settings\user\Local%20Settings\Temporary%20Internet%20Files\Content.IE5\WDEVO1UB\WINDOWS\&#48148;&#53461;%20&#54868;&#47732;\WORK\&#54868;&#51116;&#53456;&#51648;&#49444;&#48708;\&#44032;&#49444;&#44228;\&#46041;&#51204;&#51452;&#49444;&#44228;&#49436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\Downloads\&#44277;&#49324;\PJ20120010\&#50728;&#50577;%20&#44228;&#47732;&#54224;&#49688;&#52376;&#47532;%20&#51613;&#49444;%20&#48143;%20&#44060;&#48372;&#49688;&#44277;&#49324;\&#49888;&#49444;&#44277;&#49324;\&#44277;&#47924;\&#44228;&#50557;&#49436;&#47448;\&#51077;&#52272;%20&#44204;&#51201;\Documents%20and%20Settings\user\Local%20Settings\Temporary%20Internet%20Files\Content.IE5\WDEVO1UB\WINDOWS\&#48148;&#53461;%20&#54868;&#47732;\&#44277;&#49324;(&#51312;&#47749;)\2002&#51312;&#47749;\&#44060;&#54252;\&#44060;&#54252;&#51312;&#47749;%20&#52509;&#44292;&#45236;&#50669;&#49436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48337;&#52384;\&#52572;&#44540;\TEMP\&#51312;&#51221;3&#50900;13&#51068;&#47308;&#51068;&#49352;&#48317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16;&#53468;&#54840;\C\ex-data\&#44592;&#53440;&#51088;&#47308;\&#44221;&#50689;&#49345;&#53468;\00&#44221;&#50689;&#51201;&#44201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93;&#44540;\&#49340;&#49457;\project\&#49345;&#54616;&#49688;&#46020;\&#49345;&#49688;\&#51060;&#52380;&#49345;&#49688;&#46020;\&#51652;&#50504;\&#53664;&#47785;\&#49688;&#47049;&#49328;&#52636;&#49436;\&#52264;&#51665;&#44288;&#47196;\&#44396;&#51312;&#47932;&#44277;\&#47592;&#54848;&#49688;&#47049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333;&#54788;\D\PROJECT-DWG\&#51221;&#49440;&#44397;&#46020;\&#51109;&#51204;&#51648;&#44396;\&#49688;&#47049;\&#52509;&#44292;&#49688;&#47049;&#51665;&#4422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(&#54532;&#47536;&#53552;)\C\IMSI\DUJUNG2\&#46160;&#51221;2&#52264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48337;&#52384;\&#52572;&#44540;\&#49324;&#50629;2000excell\E&#44397;&#51648;&#46020;\&#47928;&#44305;&#52397;&#52380;\2000year\&#52397;&#52380;&#44396;&#44036;\&#52397;&#52380;&#45909;&#54217;&#44036;\2000&#52397;&#52380;-&#45909;&#54217;&#48156;&#51452;&#54252;&#51109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93;&#44540;\&#49340;&#49457;\My%20Documents\&#51228;&#51452;&#50724;&#46972;\&#49345;&#49688;\PHASE1-1&#49688;&#47049;&#49328;&#52636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\Downloads\01.&#51452;&#49885;&#54924;&#49324;%20&#54620;&#48177;&#44544;&#46972;&#49828;\2025&#45380;\02.&#47588;&#52636;\Documents%20and%20Settings\&#51221;&#52285;&#50864;\Local%20Settings\Temp\&#49436;&#50872;&#45824;&#51032;&#49373;&#47749;&#44284;&#54617;&#44288;&amp;&#44036;&#54840;&#45824;&#44592;&#49689;&#49324;.zip&#50640;%20&#45824;&#54620;%20&#51076;&#49884;%20&#46356;&#47113;&#53552;&#47532;%201\&#54620;&#44397;&#50528;&#45768;\&#51089;&#50629;\&#49436;&#47928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21;&#47532;\C\&#44221;&#47532;&#44284;\&#44221;&#47532;&#44284;\&#44228;&#47329;&#44148;&#49444;\My%20Documents\Naeyerk\YangJoo\&#54616;&#46020;&#45236;&#50669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\Downloads\&#44277;&#49324;\PJ20120010\&#50728;&#50577;%20&#44228;&#47732;&#54224;&#49688;&#52376;&#47532;%20&#51613;&#49444;%20&#48143;%20&#44060;&#48372;&#49688;&#44277;&#49324;\&#49888;&#49444;&#44277;&#49324;\&#44277;&#47924;\&#44228;&#50557;&#49436;&#47448;\&#51077;&#52272;%20&#44204;&#51201;\My%20Documents\&#49892;&#54665;\&#48169;&#54617;&#46041;\XFILE\sungik\sh-comm\apt-site\&#50504;&#49328;&#44256;&#51092;2&#52264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\Downloads\&#44277;&#49324;\PJ20120010\&#50728;&#50577;%20&#44228;&#47732;&#54224;&#49688;&#52376;&#47532;%20&#51613;&#49444;%20&#48143;%20&#44060;&#48372;&#49688;&#44277;&#49324;\&#49888;&#49444;&#44277;&#49324;\&#44277;&#47924;\&#44228;&#50557;&#49436;&#47448;\&#51077;&#52272;%20&#44204;&#51201;\Documents%20and%20Settings\user\Local%20Settings\Temporary%20Internet%20Files\Content.IE5\WDEVO1UB\WINDOWS\&#48148;&#53461;%20&#54868;&#47732;\dacom\&#51652;&#52380;~&#51613;&#54217;\&#51652;&#52380;,&#51613;&#54217;(9.3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1452;&#54840;\D\PIYAK\1999\&#49457;&#48513;&#44396;\&#51109;&#50948;&#49437;&#44288;2\&#49688;&#47049;\&#51109;&#50948;&#46041;1\&#49688;&#47049;\1\&#53664;&#44277;\excel\&#47784;&#47000;9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08;&#47564;&#49688;\D\&#48512;&#45824;&#44277;-1\&#51333;&#48176;&#49688;&#44288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437;&#51652;\&#49437;&#51652;&#54532;&#47196;&#51229;&#53944;\&#44608;&#44592;&#49324;1\&#49436;&#44305;\Book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93;&#44540;\&#49340;&#49457;\project\&#49345;&#54616;&#49688;&#46020;\&#54616;&#49688;\&#47564;&#47532;&#54252;\&#49688;&#47049;\&#47564;&#47532;&#54252;&#52376;&#47532;&#44396;&#50669;\1.0&#47564;&#47532;&#54252;&#53664;&#44277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MSI\DUJUNG2\&#46160;&#51221;2&#52264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JH\&#51333;&#54868;&#51032;&#51089;&#50629;&#48169;\&#54620;&#44397;&#50528;&#45768;\&#51089;&#50629;\&#49436;&#47928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6041;&#46160;&#52380;\&#44592;&#44228;&#48512;&#45824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\Downloads\&#53461;&#51221;%20&#47928;&#49436;&#49688;&#48156;\02%20SE2477%20&#51204;&#51088;(&#50728;&#50577;)&#54224;&#49688;%20&#51613;&#49444;&#44277;&#49324;\01.%20&#50728;&#50577;%20&#49444;&#44228;\&#54801;&#47141;&#50629;&#52404;\&#54616;&#45208;&#51060;&#50644;&#51648;\1129%20&#45236;&#50669;%20&#48143;%20&#46020;&#47732;\&#50728;&#50577;%20&#44228;&#47732;&#54224;&#49688;&#52376;&#47532;%20&#49884;&#49444;&#44277;&#49324;(1129)\&#45236;&#50669;&#49436;\Job100924\&#49340;&#49457;&#51204;&#51088;&#53461;&#51221;&#51333;&#54224;-6&#45800;&#44228;\&#51089;&#50629;&#54028;&#51068;\101015&#51109;&#48708;&#50696;&#49328;\&#49457;&#48513;&#44396;\11%20line\11-&#50896;&#54805;&#47592;&#54848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4952;&#49437;&#51697;\D\Office\&#48149;&#44592;&#49324;%20&#51089;&#50629;&#50857;\DATA\MR-BAB\&#50641;&#49472;DATA\3.&#48176;&#49688;&#44277;\&#48149;&#44592;&#49324;-&#48512;&#45824;&#44277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\Downloads\01.&#51452;&#49885;&#54924;&#49324;%20&#54620;&#48177;&#44544;&#46972;&#49828;\2025&#45380;\02.&#47588;&#52636;\Documents%20and%20Settings\&#51221;&#52285;&#50864;\Local%20Settings\Temp\&#49436;&#50872;&#45824;&#51032;&#49373;&#47749;&#44284;&#54617;&#44288;&amp;&#44036;&#54840;&#45824;&#44592;&#49689;&#49324;.zip&#50640;%20&#45824;&#54620;%20&#51076;&#49884;%20&#46356;&#47113;&#53552;&#47532;%201\My%20Documents\&#50689;&#51452;&#49884;&#44288;&#45236;%20&#50864;&#54924;&#46020;&#47196;\&#50689;&#51452;&#50864;&#54924;&#46020;&#47196;\&#50689;&#51452;&#46020;&#47196;100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4984;1\amco\Documents%20and%20Settings\&#51060;&#49569;&#55148;.&#49569;&#55148;&#52980;\My%20Documents\&#49569;&#55148;&#47928;&#49436;\&#51064;&#49324;\WINDOWS\TEMP\&#44608;&#54952;&#50689;\&#50900;&#54788;&#54889;\&#54364;&#51456;&#47928;&#49436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37;&#44260;&#48512;&#51109;\C\&#49884;&#44277;&#51089;&#50629;\&#49688;&#45768;\&#52264;&#51452;&#51076;\KKK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48337;&#52384;\&#52572;&#44540;\&#49324;&#50629;2000excell\E&#44397;&#51648;&#46020;\&#47928;&#44305;&#52397;&#52380;\2000year\&#52397;&#52380;&#44396;&#44036;\&#51648;&#52492;&#45909;&#54217;\2000&#51648;&#52492;-&#45909;&#54217;&#48156;&#51452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93;&#44540;\&#49340;&#49457;\&#48512;&#45824;&#44277;-1\&#52769;&#44396;&#44277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\Downloads\&#44277;&#49324;\PJ20120010\&#50728;&#50577;%20&#44228;&#47732;&#54224;&#49688;&#52376;&#47532;%20&#51613;&#49444;%20&#48143;%20&#44060;&#48372;&#49688;&#44277;&#49324;\&#49888;&#49444;&#44277;&#49324;\&#44277;&#47924;\&#44228;&#50557;&#49436;&#47448;\&#51077;&#52272;%20&#44204;&#51201;\&#53457;&#49849;&#46041;A%20&#49688;&#48176;&#51204;&#48152;-&#44060;&#47029;&#44277;&#49324;&#48708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437;&#51652;\&#49437;&#51652;&#54532;&#47196;&#51229;&#53944;\&#54532;&#47196;&#51229;&#53944;\&#44400;&#46020;(&#45824;&#54868;-&#44060;&#49688;)\&#48512;&#45824;&#49688;&#47049;-&#45208;&#47672;&#51648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EDATA\2005&#51077;&#52272;\&#54620;&#51204;&#47785;&#54252;\&#51089;&#50629;\&#48324;&#54364;&#45236;&#506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,6 Line Duct 단가 내역 및 수량 산출서"/>
      <sheetName val="계약변경요청서"/>
      <sheetName val="분뇨"/>
      <sheetName val="#REF"/>
      <sheetName val="노임"/>
      <sheetName val="자재단가"/>
      <sheetName val="정부노임단가"/>
      <sheetName val="MOTOR"/>
      <sheetName val="CODE"/>
      <sheetName val="내역서"/>
      <sheetName val="집계표"/>
      <sheetName val="건축공사"/>
      <sheetName val="내역"/>
      <sheetName val="현장관리비 산출내역"/>
      <sheetName val="지급자재"/>
      <sheetName val="소야공정계획표"/>
      <sheetName val="관리,공감"/>
      <sheetName val="요율"/>
      <sheetName val="자재대"/>
      <sheetName val="일위대가"/>
      <sheetName val="저"/>
      <sheetName val="SG"/>
      <sheetName val="견적대비표"/>
      <sheetName val="5.전사투자계획종함안"/>
      <sheetName val="45,46"/>
      <sheetName val="3.공통공사대비"/>
      <sheetName val="연결임시"/>
      <sheetName val="실행"/>
      <sheetName val="기안"/>
      <sheetName val="개산공사비"/>
      <sheetName val="6호기"/>
      <sheetName val="일위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골조시행"/>
      <sheetName val="부지현황"/>
      <sheetName val="목록"/>
      <sheetName val="공사개요"/>
      <sheetName val="파스콘"/>
      <sheetName val="견적의뢰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두정2차"/>
    </sheetNames>
    <definedNames>
      <definedName name="BlankMacro1"/>
      <definedName name="영광원자력5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금액내역서"/>
    </sheetNames>
    <sheetDataSet>
      <sheetData sheetId="0">
        <row r="4">
          <cell r="D4" t="str">
            <v>대</v>
          </cell>
        </row>
        <row r="5">
          <cell r="D5" t="str">
            <v>대</v>
          </cell>
        </row>
        <row r="7">
          <cell r="D7" t="str">
            <v>대</v>
          </cell>
        </row>
        <row r="8">
          <cell r="D8" t="str">
            <v>대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삽도"/>
      <sheetName val="일반"/>
      <sheetName val="토공(완충)"/>
      <sheetName val="토공(일반)"/>
      <sheetName val="Sheet1"/>
      <sheetName val="TYPE-A"/>
      <sheetName val="00내역서"/>
      <sheetName val="내역"/>
      <sheetName val="일위대가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렬"/>
      <sheetName val="퍼스트"/>
      <sheetName val="내역"/>
      <sheetName val="하도급"/>
      <sheetName val="토공2"/>
      <sheetName val="철콘"/>
      <sheetName val="포장"/>
      <sheetName val="상하수도"/>
      <sheetName val="하도샘플"/>
      <sheetName val="토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총괄"/>
      <sheetName val="건원"/>
      <sheetName val="토원"/>
      <sheetName val="설원"/>
      <sheetName val="집계"/>
      <sheetName val="집계토"/>
      <sheetName val="요율"/>
      <sheetName val="관급"/>
      <sheetName val="dbox-항목데이타"/>
      <sheetName val="d-box"/>
      <sheetName val="Chart1"/>
      <sheetName val="갑지2"/>
      <sheetName val="갑지"/>
      <sheetName val="study"/>
      <sheetName val="총괄표"/>
      <sheetName val="건설집계"/>
      <sheetName val="토목집계"/>
      <sheetName val="조경집계"/>
      <sheetName val="원가"/>
      <sheetName val="자금집행 현황"/>
      <sheetName val="총괄장"/>
      <sheetName val="현장관리비집행(갑)"/>
      <sheetName val="현장관리비(을)"/>
      <sheetName val="가설공사"/>
      <sheetName val="안전관리비(갑)"/>
      <sheetName val="안전관리비(을)"/>
      <sheetName val="식비"/>
      <sheetName val="간식비"/>
      <sheetName val="노임대장"/>
      <sheetName val="노임대장 (2)"/>
      <sheetName val="장비"/>
      <sheetName val="노임대장 (3)"/>
      <sheetName val="총괄(관리비)"/>
      <sheetName val="전체공사"/>
      <sheetName val="인천4(총괄표)"/>
      <sheetName val="기계갑"/>
      <sheetName val="기계집계"/>
      <sheetName val="기계내역"/>
      <sheetName val="소방계갑 "/>
      <sheetName val="소방집계1"/>
      <sheetName val="소방내역"/>
      <sheetName val="1월"/>
      <sheetName val="3월"/>
      <sheetName val="원가계산서"/>
      <sheetName val="내역서 (2)"/>
      <sheetName val="일위대가  (2)"/>
      <sheetName val="원가계산서(최초) (2)"/>
      <sheetName val="집계표 (2)"/>
      <sheetName val="일위대가목록표 (2)"/>
      <sheetName val="Sheet1"/>
      <sheetName val="Sheet2"/>
      <sheetName val="Sheet3"/>
      <sheetName val="EMST10"/>
      <sheetName val="1-1"/>
      <sheetName val="남양시작동자105노65기1.3화1.2"/>
      <sheetName val="2000년1차"/>
      <sheetName val="CODE"/>
      <sheetName val="토공사"/>
      <sheetName val="1-4일위대가목차"/>
      <sheetName val="중기가격"/>
      <sheetName val="전기"/>
      <sheetName val="건축미장"/>
      <sheetName val="건축미장내역"/>
      <sheetName val="공통가설"/>
      <sheetName val="설계"/>
      <sheetName val="직공비"/>
      <sheetName val="건축-물가변동"/>
      <sheetName val="품셈표"/>
      <sheetName val="SLAB&quot;1&quot;"/>
      <sheetName val="COPING"/>
      <sheetName val="단가"/>
      <sheetName val="200"/>
      <sheetName val="Sheet5"/>
      <sheetName val="기자재비"/>
      <sheetName val="입찰안"/>
      <sheetName val="1호인버트수량"/>
      <sheetName val="건축내역"/>
      <sheetName val="목록"/>
      <sheetName val="내역표지"/>
      <sheetName val="일위목록"/>
      <sheetName val="input"/>
      <sheetName val="간접비내역-1"/>
      <sheetName val="오억미만"/>
      <sheetName val="부속동"/>
      <sheetName val="토목주소"/>
      <sheetName val="프랜트면허"/>
      <sheetName val="총 원가계산"/>
      <sheetName val="Hw-CV"/>
      <sheetName val="물가자료"/>
      <sheetName val="ETC"/>
      <sheetName val="사급자재"/>
      <sheetName val="삼성전기"/>
      <sheetName val="Sheet1 (2)"/>
      <sheetName val="점수계산1-2"/>
      <sheetName val="공사내역"/>
      <sheetName val="관기성공.내"/>
      <sheetName val="M1"/>
      <sheetName val="내역서"/>
      <sheetName val="guard(mac)"/>
      <sheetName val="토목"/>
      <sheetName val="원가입력"/>
      <sheetName val="자재co"/>
      <sheetName val="을지"/>
      <sheetName val="결재판"/>
      <sheetName val="Total"/>
      <sheetName val="COA-17"/>
      <sheetName val="C-18"/>
      <sheetName val="부안일위"/>
      <sheetName val="을"/>
      <sheetName val="코드표"/>
      <sheetName val="gyun"/>
      <sheetName val="간선계산"/>
      <sheetName val="토목내역서"/>
      <sheetName val="#REF"/>
      <sheetName val="가설공사내역"/>
      <sheetName val="표지"/>
      <sheetName val="횡배수관토공수량"/>
      <sheetName val="투찰가"/>
      <sheetName val="정부노임단가"/>
      <sheetName val="별표집계"/>
      <sheetName val="집계표"/>
      <sheetName val="SILICATE"/>
      <sheetName val="전신환매도율"/>
      <sheetName val="CAT_5"/>
      <sheetName val="CPM챠트 "/>
      <sheetName val="조건표"/>
      <sheetName val="재료집계"/>
      <sheetName val="6동"/>
      <sheetName val="부대내역"/>
      <sheetName val="노임"/>
      <sheetName val="b_balju"/>
      <sheetName val="BSD (2)"/>
      <sheetName val="산출내역서집계표"/>
      <sheetName val="CPM챠트"/>
      <sheetName val="견적조건"/>
      <sheetName val="1공구 건정토건 토공"/>
      <sheetName val="교각1"/>
      <sheetName val="개요입력"/>
      <sheetName val="수량기준"/>
      <sheetName val="단가기준"/>
      <sheetName val="일위대가(가설)"/>
      <sheetName val="Macro(전선)"/>
      <sheetName val="기둥"/>
      <sheetName val="저판(버림100)"/>
      <sheetName val="맨홀토공산출"/>
      <sheetName val="준검 내역서"/>
      <sheetName val="안정검토"/>
      <sheetName val="단면설계"/>
      <sheetName val="적현로"/>
      <sheetName val="산출내역"/>
      <sheetName val="수로교총재료집계"/>
      <sheetName val="와동25-3(변경)"/>
      <sheetName val="DATA"/>
      <sheetName val="Project Brief"/>
      <sheetName val="적용단가"/>
      <sheetName val="공사비예산서(토목분)"/>
      <sheetName val="가스"/>
      <sheetName val="Macro(ST)"/>
      <sheetName val="Macro(AT)"/>
      <sheetName val="시추주상도"/>
      <sheetName val="11.자재단가"/>
      <sheetName val="LABTOTAL"/>
      <sheetName val="내역분기"/>
      <sheetName val="증감대비"/>
      <sheetName val="주방환기"/>
      <sheetName val="자재단가비교표"/>
      <sheetName val="부대공Ⅱ"/>
      <sheetName val="기본DATA"/>
      <sheetName val="서울산업대(토)"/>
      <sheetName val="내역서(총괄)"/>
      <sheetName val="S058FL01"/>
      <sheetName val="일위대가내역"/>
      <sheetName val="포장복구집계"/>
      <sheetName val="일반부표"/>
      <sheetName val="기본"/>
      <sheetName val="전장품(관리용)"/>
      <sheetName val="giathanh1"/>
      <sheetName val="내역(중앙)"/>
      <sheetName val="내역(창신)"/>
      <sheetName val="철콘공사"/>
      <sheetName val="대전-교대(A1-A2)"/>
      <sheetName val="수량산출내역1115"/>
      <sheetName val="지급자재"/>
      <sheetName val="타공종이기"/>
      <sheetName val="eq_data"/>
      <sheetName val="PBS"/>
      <sheetName val="우수받이"/>
      <sheetName val="배수장공사비명세서"/>
      <sheetName val="단가조사"/>
      <sheetName val="1.설계조건"/>
      <sheetName val="UPRI"/>
      <sheetName val="ABUT수량-A1"/>
      <sheetName val="총괄내역서"/>
      <sheetName val="세부내역서"/>
      <sheetName val="품셈TABLE"/>
      <sheetName val="Mc1"/>
      <sheetName val="INS-SHEET"/>
      <sheetName val="설계내역"/>
      <sheetName val="공량산출서"/>
      <sheetName val="1단계"/>
      <sheetName val="FAX"/>
      <sheetName val="교각계산"/>
      <sheetName val="노임단가"/>
      <sheetName val="EACT10"/>
      <sheetName val="외상매"/>
      <sheetName val="인건비"/>
      <sheetName val="내역서적용수량"/>
      <sheetName val="단가표"/>
      <sheetName val="UNIT"/>
      <sheetName val="일위대가"/>
      <sheetName val="간접비"/>
      <sheetName val="문학간접"/>
      <sheetName val="간접"/>
      <sheetName val="제경비"/>
      <sheetName val="일위목록-기"/>
      <sheetName val="단중표"/>
      <sheetName val="식재총괄"/>
      <sheetName val="기성내역서표지"/>
      <sheetName val="B1(반포1차)"/>
      <sheetName val="단가보완"/>
      <sheetName val="단위가격"/>
      <sheetName val="슬래브(유곡)"/>
      <sheetName val="SUMMARY"/>
      <sheetName val="PAINT"/>
      <sheetName val="예산M11A"/>
      <sheetName val="I一般比"/>
      <sheetName val="금액"/>
      <sheetName val="기계 도급내역서"/>
      <sheetName val="계화배수"/>
      <sheetName val="실행철강하도"/>
      <sheetName val="TUAS"/>
      <sheetName val="관음목장(제출용)자105인97.5"/>
      <sheetName val="세부내역"/>
      <sheetName val="PROJECT BRIEF(EX.NEW)"/>
      <sheetName val="CIVIL4"/>
      <sheetName val="제품"/>
      <sheetName val="부하계산서"/>
      <sheetName val="뜃맟뭁돽띿맟?-BLDG"/>
      <sheetName val="견적내용입력"/>
      <sheetName val="단가조사서"/>
      <sheetName val="현대물량"/>
      <sheetName val="입출재고현황 (2)"/>
      <sheetName val="중동상가"/>
      <sheetName val="단위수량"/>
      <sheetName val="계양가시설"/>
      <sheetName val="일위대가(계측기설치)"/>
      <sheetName val="TOTAL_BOQ"/>
      <sheetName val="2000전체분"/>
      <sheetName val="배수장공사비"/>
      <sheetName val="비용"/>
      <sheetName val="일위대가-2"/>
      <sheetName val="상수도토공집계표"/>
      <sheetName val="별표 "/>
      <sheetName val="3.공통공사대비"/>
      <sheetName val="2.유지보수비"/>
      <sheetName val="약품설비"/>
      <sheetName val="각종양식"/>
      <sheetName val="관급자재"/>
      <sheetName val="버스운행안내"/>
      <sheetName val="예방접종계획"/>
      <sheetName val="근태계획서"/>
      <sheetName val="제수"/>
      <sheetName val="공기"/>
      <sheetName val="성남여성복지내역"/>
      <sheetName val="현황"/>
      <sheetName val="방송일위대가"/>
      <sheetName val="품목"/>
      <sheetName val="A-4"/>
      <sheetName val="노무비"/>
      <sheetName val="연부97-1"/>
      <sheetName val="갑지1"/>
      <sheetName val="기성2"/>
      <sheetName val="단면 (2)"/>
      <sheetName val="말뚝물량"/>
      <sheetName val="건축"/>
      <sheetName val="하조서"/>
      <sheetName val="CODE(2)"/>
      <sheetName val="견적대비표"/>
      <sheetName val="중기조종사 단위단가"/>
      <sheetName val="c_balju"/>
      <sheetName val="양산물금"/>
      <sheetName val="Sheet4"/>
      <sheetName val="갑지(추정)"/>
      <sheetName val="골조시행"/>
      <sheetName val="conv전장품"/>
      <sheetName val="결재판(삭제하지말아주세요)"/>
      <sheetName val="전산소모"/>
      <sheetName val="에너지동"/>
      <sheetName val="CAP"/>
      <sheetName val="산정표"/>
      <sheetName val="노무비 경비"/>
      <sheetName val="산재 안전"/>
      <sheetName val="VXXXXXXX"/>
      <sheetName val="적용률"/>
      <sheetName val="자판실행"/>
      <sheetName val="매입세"/>
      <sheetName val="역T형"/>
      <sheetName val="진주방향"/>
      <sheetName val="단가및재료비"/>
      <sheetName val="중기사용료"/>
      <sheetName val="MANUFACTORY"/>
      <sheetName val="기기점검"/>
      <sheetName val="96보완계획7.12"/>
      <sheetName val="ELECTRIC"/>
      <sheetName val="9GNG운반"/>
      <sheetName val="바.한일양산"/>
      <sheetName val="토적계산"/>
      <sheetName val="목차"/>
      <sheetName val="노임이"/>
      <sheetName val="LIST"/>
      <sheetName val="DANGA"/>
      <sheetName val="Macro1"/>
      <sheetName val="가공비"/>
      <sheetName val="1995년 섹터별 매출"/>
      <sheetName val="법면"/>
      <sheetName val="부대공"/>
      <sheetName val="구조물공"/>
      <sheetName val="중기일위대가"/>
      <sheetName val="포장공"/>
      <sheetName val="토공"/>
      <sheetName val="배수공1"/>
      <sheetName val="공사비집계"/>
      <sheetName val="EQUIP-H"/>
      <sheetName val="BID"/>
      <sheetName val="수량산출근거"/>
      <sheetName val="단위집계표"/>
      <sheetName val="부산4"/>
      <sheetName val="일위대가-1"/>
      <sheetName val="목창호"/>
      <sheetName val="송라터널총괄"/>
      <sheetName val="WEON"/>
      <sheetName val="Summary Sheets"/>
      <sheetName val="SG"/>
      <sheetName val="tggwan(mac)"/>
      <sheetName val="장비명"/>
      <sheetName val="일위대가(건축)"/>
      <sheetName val="IMPEADENCE MAP 취수장"/>
      <sheetName val="공사수행방안"/>
      <sheetName val="품셈총괄표"/>
      <sheetName val="건축집계표"/>
      <sheetName val="손익분석"/>
      <sheetName val="산업"/>
      <sheetName val="982월원안"/>
      <sheetName val="교통대책내역"/>
      <sheetName val="001"/>
      <sheetName val="내역입력"/>
      <sheetName val="퇴직금(울산천상)"/>
      <sheetName val="철근콘크리트"/>
      <sheetName val="파일항타"/>
      <sheetName val="파일항타 (2)"/>
      <sheetName val="일위대가목록"/>
      <sheetName val="설정"/>
      <sheetName val="하수실행"/>
      <sheetName val="시노"/>
      <sheetName val="GAEYO"/>
      <sheetName val="3.바닥판설계"/>
      <sheetName val="공작물조직표(용배수)"/>
      <sheetName val="전선"/>
      <sheetName val="CABLE"/>
      <sheetName val="금액내역서"/>
      <sheetName val="MCC제원"/>
      <sheetName val="TEST1"/>
      <sheetName val="가스내역"/>
      <sheetName val="소요자재"/>
      <sheetName val="노무산출서"/>
      <sheetName val="Bid_Detail"/>
      <sheetName val="대비표(토공1안)"/>
      <sheetName val="화전내"/>
      <sheetName val="04.계약내역서.xlsx"/>
      <sheetName val="공조기"/>
      <sheetName val="잡비"/>
      <sheetName val="esc"/>
      <sheetName val="내  역  서"/>
      <sheetName val="MAT"/>
      <sheetName val="시산표"/>
      <sheetName val="coll#"/>
      <sheetName val="제출내역 (2)"/>
      <sheetName val="단"/>
      <sheetName val="견"/>
      <sheetName val="TRE TABLE"/>
      <sheetName val="백암비스타내역"/>
      <sheetName val="견적서"/>
      <sheetName val="VV보온LINK"/>
      <sheetName val="FIT보온LINK"/>
      <sheetName val="DESIGN CRITERIA"/>
      <sheetName val="통합"/>
      <sheetName val="H-pile(298x299)"/>
      <sheetName val="H-pile(250x250)"/>
      <sheetName val="설 계"/>
      <sheetName val="계산내역"/>
      <sheetName val="평가데이터"/>
      <sheetName val="월별수입"/>
      <sheetName val="식재"/>
      <sheetName val="시설물"/>
      <sheetName val="식재출력용"/>
      <sheetName val="유지관리"/>
      <sheetName val="단가산출"/>
      <sheetName val="정렬"/>
      <sheetName val="우배수"/>
      <sheetName val="직노"/>
      <sheetName val="CPI"/>
      <sheetName val="CV"/>
      <sheetName val="대전월평내역"/>
      <sheetName val="경비"/>
      <sheetName val="교량전기"/>
      <sheetName val="전기일위대가"/>
      <sheetName val="경비_원본"/>
      <sheetName val="AILC004"/>
      <sheetName val="Curves"/>
      <sheetName val="Tables"/>
      <sheetName val="산출근거"/>
      <sheetName val="화전입력"/>
      <sheetName val="부표총괄"/>
      <sheetName val="96노임기준"/>
      <sheetName val="실행내역"/>
      <sheetName val="날개벽수량표"/>
      <sheetName val="1.취수장"/>
      <sheetName val="LEGEND"/>
      <sheetName val="일위_파일"/>
      <sheetName val="B1"/>
      <sheetName val="COST"/>
      <sheetName val="정공공사"/>
      <sheetName val="1.우편집중내역서"/>
      <sheetName val="부관맨홀조서"/>
      <sheetName val="Data&amp;Result"/>
      <sheetName val="99 조정금액"/>
      <sheetName val="D-3109"/>
      <sheetName val="수입"/>
      <sheetName val="부하(성남)"/>
      <sheetName val="계약서"/>
      <sheetName val="돌담교 상부수량"/>
      <sheetName val="dg"/>
      <sheetName val="대목"/>
      <sheetName val="메서,변+증"/>
      <sheetName val="예상"/>
      <sheetName val="미드수량"/>
      <sheetName val="총내역서"/>
      <sheetName val="샘플표지"/>
      <sheetName val="O＆P"/>
      <sheetName val="신우"/>
      <sheetName val="TH VL, NC, DDHT Thanhphuoc"/>
      <sheetName val="하중계산"/>
      <sheetName val="조건입력"/>
      <sheetName val="조건입력(2)"/>
      <sheetName val="장비선정"/>
      <sheetName val="내역(구조물)"/>
      <sheetName val="입력시트"/>
      <sheetName val="TOWER 12TON"/>
      <sheetName val="TOWER 10TON"/>
      <sheetName val="2003하반기노임기준"/>
      <sheetName val="차액보증"/>
      <sheetName val="열린교실"/>
      <sheetName val="전체도급"/>
      <sheetName val="구의33고"/>
      <sheetName val="TG9504"/>
      <sheetName val="실행품의서"/>
      <sheetName val="차선도색현황"/>
      <sheetName val="설계명세서"/>
      <sheetName val="예산명세서"/>
      <sheetName val="자료입력"/>
      <sheetName val="사회복지관"/>
      <sheetName val="예산대비"/>
      <sheetName val="기계경비(시간당)"/>
      <sheetName val="램머"/>
      <sheetName val="2.가정단면"/>
      <sheetName val="약품공급2"/>
      <sheetName val="설계예시"/>
      <sheetName val="뜃맟뭁돽띿맟_-BLDG"/>
      <sheetName val="1호맨홀토공"/>
      <sheetName val="시점부일반수량"/>
      <sheetName val="기초단가"/>
      <sheetName val="특이사항"/>
      <sheetName val="매원개착터널총괄"/>
      <sheetName val="조직"/>
      <sheetName val="CON"/>
      <sheetName val="공사개요"/>
      <sheetName val="실행"/>
      <sheetName val="중갑지"/>
      <sheetName val="소방일위 "/>
      <sheetName val="공사비총괄표"/>
      <sheetName val="개산공사비"/>
      <sheetName val="조도계산서 (도서)"/>
      <sheetName val="말뚝지지력산정"/>
      <sheetName val="단면가정"/>
      <sheetName val="기둥(원형)"/>
      <sheetName val="단열-자재"/>
      <sheetName val="내역전기"/>
      <sheetName val="표지1"/>
      <sheetName val="자금집행_현황"/>
      <sheetName val="노임대장_(2)"/>
      <sheetName val="노임대장_(3)"/>
      <sheetName val="내역서_(2)"/>
      <sheetName val="일위대가__(2)"/>
      <sheetName val="원가계산서(최초)_(2)"/>
      <sheetName val="집계표_(2)"/>
      <sheetName val="일위대가목록표_(2)"/>
      <sheetName val="소방계갑_"/>
      <sheetName val="남양시작동자105노65기1_3화1_2"/>
      <sheetName val="관기성공_내"/>
      <sheetName val="Sheet1_(2)"/>
      <sheetName val="총_원가계산"/>
      <sheetName val="CPM챠트_"/>
      <sheetName val="BSD_(2)"/>
      <sheetName val="1공구_건정토건_토공"/>
      <sheetName val="Project_Brief"/>
      <sheetName val="준검_내역서"/>
      <sheetName val="11_자재단가"/>
      <sheetName val="입출재고현황_(2)"/>
      <sheetName val="3_공통공사대비"/>
      <sheetName val="PROJECT_BRIEF(EX_NEW)"/>
      <sheetName val="Summary_Sheets"/>
      <sheetName val="원가계산하도"/>
      <sheetName val="경율산정.XLS"/>
      <sheetName val="FORM-0"/>
      <sheetName val="견적"/>
      <sheetName val="일위"/>
      <sheetName val="Cost_File"/>
      <sheetName val="COPING-1"/>
      <sheetName val="역T형교대-2수량"/>
      <sheetName val="카메라"/>
      <sheetName val="소방"/>
      <sheetName val="MOTOR"/>
      <sheetName val="BASIC (2)"/>
      <sheetName val="아파트"/>
      <sheetName val="영흥TL(UP,DOWN) "/>
      <sheetName val="제-노임"/>
      <sheetName val="제직재"/>
      <sheetName val="예정(3)"/>
      <sheetName val="추정BS"/>
      <sheetName val="추정PL"/>
      <sheetName val="단가대비표"/>
      <sheetName val="자  재"/>
      <sheetName val="건축외주"/>
      <sheetName val="본체"/>
      <sheetName val="F5"/>
      <sheetName val="Sheet1 (3)"/>
      <sheetName val="sw1"/>
      <sheetName val="NOMUBI"/>
      <sheetName val="기계설비-물가변동"/>
      <sheetName val="대비(전체)"/>
      <sheetName val="토 적 표"/>
      <sheetName val="조작대(1연)"/>
      <sheetName val="설계변경원가계산총괄표"/>
      <sheetName val="CLAUSE"/>
      <sheetName val="가로등"/>
      <sheetName val="2004 연결"/>
      <sheetName val="대림경상68억"/>
      <sheetName val="부대대비"/>
      <sheetName val="냉연집계"/>
      <sheetName val="s.v"/>
      <sheetName val="J直材4"/>
      <sheetName val="P.M 별"/>
      <sheetName val="일반수량집계표"/>
      <sheetName val="앨범표지"/>
      <sheetName val="계산"/>
      <sheetName val="Sens&amp;Anal"/>
      <sheetName val="Y-WORK"/>
      <sheetName val="매립"/>
      <sheetName val="예산서"/>
      <sheetName val="2"/>
      <sheetName val="기초자료입력"/>
      <sheetName val="수원BOM-원본"/>
      <sheetName val="구성비"/>
      <sheetName val="수원공"/>
      <sheetName val="시중노임단가"/>
      <sheetName val="측구공"/>
      <sheetName val="배수관공"/>
      <sheetName val="석축단"/>
      <sheetName val="법면수집"/>
      <sheetName val="청천내"/>
      <sheetName val="주식"/>
      <sheetName val="토적표"/>
      <sheetName val="CTEMCOST"/>
      <sheetName val="제1영업소"/>
      <sheetName val="제2영업소"/>
      <sheetName val="제3영업소"/>
      <sheetName val="품셈1-17"/>
      <sheetName val="사통공사비"/>
      <sheetName val="공사설명서"/>
      <sheetName val="공사계획서"/>
      <sheetName val="2.3지지력"/>
      <sheetName val="4.하중산정"/>
      <sheetName val="공사비산출내역"/>
      <sheetName val="2.대외공문"/>
      <sheetName val="수량"/>
      <sheetName val="2-1공사개요1"/>
      <sheetName val="1,2공구원가계산서"/>
      <sheetName val="1공구산출내역서"/>
      <sheetName val="평야부원가총괄"/>
      <sheetName val="인건-측정"/>
      <sheetName val="전차선로 물량표"/>
      <sheetName val="토목내역"/>
      <sheetName val="Tbom-tot"/>
      <sheetName val="대비"/>
      <sheetName val="본사일보"/>
      <sheetName val="6PILE  (돌출)"/>
      <sheetName val="내역서01"/>
      <sheetName val="전기일위목록"/>
      <sheetName val="가락화장을지"/>
      <sheetName val="내력서"/>
      <sheetName val="내촌육교방음벽수량집계표"/>
      <sheetName val="S14"/>
      <sheetName val="석축설면"/>
      <sheetName val="법면단"/>
      <sheetName val="천마갑지"/>
      <sheetName val="연돌일위집계"/>
      <sheetName val="설계조건"/>
      <sheetName val="예산M12A"/>
      <sheetName val="EQUIP LIST"/>
      <sheetName val="조명시설"/>
      <sheetName val="밸브설치"/>
      <sheetName val="기계_도급내역서"/>
      <sheetName val="관음목장(제출용)자105인97_5"/>
      <sheetName val="1_설계조건"/>
      <sheetName val="단면_(2)"/>
      <sheetName val="96보완계획7_12"/>
      <sheetName val="노무비_경비"/>
      <sheetName val="산재_안전"/>
      <sheetName val="IMPEADENCE_MAP_취수장"/>
      <sheetName val="암거공"/>
      <sheetName val="기기리스트"/>
      <sheetName val="단가적용"/>
      <sheetName val="01"/>
      <sheetName val="2000.05"/>
      <sheetName val="터널조도"/>
      <sheetName val="BSD _2_"/>
      <sheetName val="점검등산출(전체)"/>
      <sheetName val="01상노임"/>
      <sheetName val="SULKEA"/>
      <sheetName val="전기공사"/>
      <sheetName val="내역서(교량)전체"/>
      <sheetName val="SOURCE"/>
      <sheetName val="CC16-내역서"/>
      <sheetName val="내역서을지"/>
      <sheetName val="SAKUB"/>
      <sheetName val="인테리어내역"/>
      <sheetName val="NAI"/>
      <sheetName val="맨홀수량산출"/>
      <sheetName val="copy"/>
      <sheetName val="서식"/>
      <sheetName val="국공유지및사유지"/>
      <sheetName val="1을"/>
      <sheetName val="근입장"/>
      <sheetName val="합의경상"/>
      <sheetName val="입력"/>
      <sheetName val="ASP"/>
      <sheetName val="방호벽"/>
      <sheetName val="저리조양"/>
      <sheetName val="견적서1"/>
      <sheetName val="경상비"/>
      <sheetName val="공문"/>
      <sheetName val="Imp-Data"/>
      <sheetName val="일위대가목차"/>
      <sheetName val="★도급내역"/>
      <sheetName val="본공사"/>
      <sheetName val="도급"/>
      <sheetName val="당초내역서"/>
      <sheetName val="비교표"/>
      <sheetName val="내역서(2)"/>
      <sheetName val="장비투입계획"/>
      <sheetName val="변경품셈"/>
      <sheetName val="맨홀토공수량"/>
      <sheetName val="기술부대조건"/>
      <sheetName val="대전노은1차_조적_집계표"/>
      <sheetName val="수목표준대가"/>
      <sheetName val="CB"/>
      <sheetName val="공사비"/>
      <sheetName val="2공구산출내역"/>
      <sheetName val="토공총괄집계"/>
      <sheetName val="경상직원"/>
      <sheetName val="플랜트 설치"/>
      <sheetName val="돌담교_상부수량"/>
      <sheetName val="바_한일양산"/>
      <sheetName val="중기조종사_단위단가"/>
      <sheetName val="2_가정단면"/>
      <sheetName val="P_M_별"/>
      <sheetName val="별표_"/>
      <sheetName val="파일항타_(2)"/>
      <sheetName val="3_바닥판설계"/>
      <sheetName val="자__재"/>
      <sheetName val="1995년_섹터별_매출"/>
      <sheetName val="설_계"/>
      <sheetName val="내__역__서"/>
      <sheetName val="BASIC_(2)"/>
      <sheetName val="Sheet1_(3)"/>
      <sheetName val="2_유지보수비"/>
      <sheetName val="거래처등록"/>
      <sheetName val="국내총괄"/>
      <sheetName val="입찰내역"/>
      <sheetName val="날개벽"/>
      <sheetName val="XL4Poppy"/>
      <sheetName val="GI-LIST"/>
      <sheetName val="부서현황"/>
      <sheetName val="GEN"/>
      <sheetName val="9811"/>
      <sheetName val="공예을"/>
      <sheetName val="SIHEUNG"/>
      <sheetName val="내부마감"/>
      <sheetName val="TOTAL3"/>
      <sheetName val="설-원가"/>
      <sheetName val="현장"/>
      <sheetName val="단가 및 재료비"/>
      <sheetName val="인사자료총집계"/>
      <sheetName val="Sheet6"/>
      <sheetName val="초기화면"/>
      <sheetName val="기성(1차) "/>
      <sheetName val="세부내역(직접인건비)"/>
      <sheetName val="Assumptions"/>
      <sheetName val="2008년_CF"/>
      <sheetName val="XZLC2"/>
      <sheetName val="코드"/>
      <sheetName val="각형맨홀"/>
      <sheetName val="부안변전"/>
      <sheetName val="횡배수관"/>
      <sheetName val="일위대가표"/>
      <sheetName val="wall"/>
      <sheetName val="8.PILE  (돌출)"/>
      <sheetName val="광통신 견적내역서1"/>
      <sheetName val="노무단가"/>
      <sheetName val="WORK"/>
      <sheetName val="갈현동"/>
      <sheetName val="9.자재단가"/>
      <sheetName val="7.산출집계"/>
      <sheetName val="Front"/>
      <sheetName val="표지 (2)"/>
      <sheetName val="수량산출"/>
      <sheetName val="01AC"/>
      <sheetName val="공예6"/>
      <sheetName val="장비 (2)"/>
      <sheetName val="물량표"/>
      <sheetName val="예가표"/>
      <sheetName val="자재대"/>
      <sheetName val="06 일위대가목록"/>
      <sheetName val="전체철근집계"/>
      <sheetName val="1련,2련"/>
      <sheetName val="변품8-37"/>
      <sheetName val="우각부보강"/>
      <sheetName val="관로토공집계표"/>
      <sheetName val="기성청구서"/>
      <sheetName val="준공조서갑지"/>
      <sheetName val="공사예산하조서(O.K)"/>
      <sheetName val="960318-1"/>
      <sheetName val="백호우계수"/>
      <sheetName val="사유서제출현황-2"/>
      <sheetName val="MEXICO-C"/>
      <sheetName val="Breakdown"/>
      <sheetName val="UnitRate"/>
      <sheetName val="하중"/>
      <sheetName val="아파트 "/>
      <sheetName val="입찰"/>
      <sheetName val="현경"/>
      <sheetName val="1. 설계조건 2.단면가정 3. 하중계산"/>
      <sheetName val="DATA 입력란"/>
      <sheetName val="설계변경(수정전)"/>
      <sheetName val="ASALTOTA"/>
      <sheetName val="DATE"/>
      <sheetName val="우석문틀"/>
      <sheetName val="옥외"/>
      <sheetName val="B부대공"/>
      <sheetName val="계약용량(서포)"/>
      <sheetName val="21301동"/>
      <sheetName val="점검내역서(data) (2)"/>
      <sheetName val="케이블"/>
      <sheetName val="N賃率-職"/>
      <sheetName val="음료실행"/>
      <sheetName val="9-1차이내역"/>
      <sheetName val="공무2과"/>
      <sheetName val="표준건축비"/>
      <sheetName val="연결임시"/>
      <sheetName val="실행(ALT1)"/>
      <sheetName val="주현(해보)"/>
      <sheetName val="주현(영광)"/>
      <sheetName val="4공철탑검토"/>
      <sheetName val="도장수량(하1)"/>
      <sheetName val="주형"/>
      <sheetName val="대부예산서"/>
      <sheetName val="기초공"/>
      <sheetName val="PAN"/>
      <sheetName val="원가계산"/>
      <sheetName val="SLAB"/>
      <sheetName val="1차공정"/>
      <sheetName val="안성방향(시점)"/>
      <sheetName val="공내역"/>
      <sheetName val="노무비단가"/>
      <sheetName val="데이타"/>
      <sheetName val="토공(우물통,기타) "/>
      <sheetName val="EP0618"/>
      <sheetName val="기계경비일람"/>
      <sheetName val="집행예산"/>
      <sheetName val="PROJECT_BR_x0000__x0000_Ԁ_x0000_쀀槞_x0005__x0000__x0000__x0000_Ā"/>
      <sheetName val="PROJECT_BR_x0000__x0000_Ԁ_x0000_䀀蘾_x0005__x0000__x0000__x0000_Ā"/>
      <sheetName val="PROJECT_BR_x0000__x0000_Ԁ_x0000_䀀襝_x0003__x0000__x0000__x0000_Ā"/>
      <sheetName val="PROJECT_BR_x0000__x0000_Ԁ_x0000_䀀ࡍ_x0003__x0000__x0000__x0000_Ā"/>
      <sheetName val="FACTOR"/>
      <sheetName val="참조자료"/>
      <sheetName val="JUCKEYK"/>
      <sheetName val="CABLE SIZE-3"/>
      <sheetName val="000000"/>
      <sheetName val="대공종"/>
      <sheetName val="인건비 "/>
      <sheetName val="신길1동"/>
      <sheetName val="화산경계"/>
      <sheetName val="내역을"/>
      <sheetName val="공정코드"/>
      <sheetName val="도급자재"/>
      <sheetName val="Manual Valve List"/>
      <sheetName val="98수문일위"/>
      <sheetName val="반중력식옹벽3.5"/>
      <sheetName val="SHL"/>
      <sheetName val="VENDOR LIST"/>
      <sheetName val="공통비"/>
      <sheetName val="내䠀퍕턀"/>
      <sheetName val="기본일위"/>
      <sheetName val="-15.0"/>
      <sheetName val="통신물량"/>
      <sheetName val="기성내역"/>
      <sheetName val="배관물량(강,동관)"/>
      <sheetName val="수량산출서"/>
      <sheetName val="세부내역서(소방)"/>
      <sheetName val="개요"/>
      <sheetName val="도급FORM"/>
      <sheetName val="계산내역서"/>
      <sheetName val="소방계갑"/>
      <sheetName val="향후예상"/>
      <sheetName val="96갑지"/>
      <sheetName val="MSQ"/>
      <sheetName val="sum"/>
      <sheetName val="일(4)"/>
      <sheetName val="BOX(1.5X1.5)"/>
      <sheetName val="일위대가(1)"/>
      <sheetName val="재료"/>
      <sheetName val="PA_bom"/>
      <sheetName val="GRD_bom"/>
      <sheetName val="Light_bom"/>
      <sheetName val="Rcecp_bom"/>
      <sheetName val="TRAY_bom"/>
      <sheetName val="TEL_bom"/>
      <sheetName val="99_조정금액"/>
      <sheetName val="TRE_TABLE"/>
      <sheetName val="단가_및_재료비"/>
      <sheetName val="비탈면보호공수량산출"/>
      <sheetName val="한강운반비"/>
      <sheetName val="비계,CON'C"/>
      <sheetName val="시화점실행"/>
      <sheetName val="품셈"/>
      <sheetName val="여흥"/>
      <sheetName val="다곡2교"/>
      <sheetName val="전체내역"/>
      <sheetName val="D-623D"/>
      <sheetName val="제잡비집계"/>
      <sheetName val="AS복구"/>
      <sheetName val="중기터파기"/>
      <sheetName val="변수값"/>
      <sheetName val="중기상차"/>
      <sheetName val="제출견적(을)"/>
      <sheetName val="50"/>
      <sheetName val="ASP포장"/>
      <sheetName val="XXXXXX"/>
      <sheetName val="5.일위대가"/>
      <sheetName val="2.단가산출서(총괄)"/>
      <sheetName val="다이나믹"/>
      <sheetName val="통통"/>
      <sheetName val="베스트호두"/>
      <sheetName val="공정표"/>
      <sheetName val="터파기및재료"/>
      <sheetName val="일위㨁갮  (2)"/>
      <sheetName val="부대공사"/>
      <sheetName val="T-LIST"/>
      <sheetName val="beerflow"/>
      <sheetName val="자재단가"/>
      <sheetName val="노임단가 "/>
      <sheetName val="CON포장수량"/>
      <sheetName val="CONUNIT"/>
      <sheetName val="F-Assump"/>
      <sheetName val="Q-Data"/>
      <sheetName val="Y-Data"/>
      <sheetName val="CapEx"/>
      <sheetName val="ITEM"/>
      <sheetName val="경비2내역"/>
      <sheetName val="충남 (2)"/>
      <sheetName val="오산갈곳"/>
      <sheetName val="적용토목"/>
      <sheetName val="주요재료비(원본)"/>
      <sheetName val="PROJECT_BR_x0000__x0000_Ԁ_x0000_耀Ц_x0003__x0000__x0000__x0000_Ā"/>
      <sheetName val=""/>
      <sheetName val="COVER-P"/>
      <sheetName val="70%"/>
      <sheetName val="산출내역(K2)"/>
      <sheetName val="6공구(당초)"/>
      <sheetName val="배수공"/>
      <sheetName val="투찰"/>
      <sheetName val="식재인부"/>
      <sheetName val="수량집계"/>
      <sheetName val="전체제잡비"/>
      <sheetName val="단가비교표"/>
      <sheetName val="3차설계"/>
      <sheetName val="106C0300"/>
      <sheetName val="Tool"/>
      <sheetName val="cost (05.09.23)"/>
      <sheetName val="소요자재 "/>
      <sheetName val="신표지1"/>
      <sheetName val="1.2.1 마루높이결정"/>
      <sheetName val="건축내역서"/>
      <sheetName val="전체"/>
      <sheetName val="ilch"/>
      <sheetName val="방송(체육관)"/>
      <sheetName val="시가지우회도로공내역서"/>
      <sheetName val="가감수량"/>
      <sheetName val="FB25JN"/>
      <sheetName val="내역서_(2)1"/>
      <sheetName val="일위대가__(2)1"/>
      <sheetName val="원가계산서(최초)_(2)1"/>
      <sheetName val="집계표_(2)1"/>
      <sheetName val="일위대가목록표_(2)1"/>
      <sheetName val="자금집행_현황1"/>
      <sheetName val="노임대장_(2)1"/>
      <sheetName val="노임대장_(3)1"/>
      <sheetName val="소방계갑_1"/>
      <sheetName val="남양시작동자105노65기1_3화1_21"/>
      <sheetName val="Sheet1_(2)1"/>
      <sheetName val="관기성공_내1"/>
      <sheetName val="총_원가계산1"/>
      <sheetName val="CPM챠트_1"/>
      <sheetName val="BSD_(2)1"/>
      <sheetName val="준검_내역서1"/>
      <sheetName val="Project_Brief1"/>
      <sheetName val="1_설계조건1"/>
      <sheetName val="1공구_건정토건_토공1"/>
      <sheetName val="11_자재단가1"/>
      <sheetName val="산재_안전1"/>
      <sheetName val="노무비_경비1"/>
      <sheetName val="관음목장(제출용)자105인97_51"/>
      <sheetName val="PROJECT_BRIEF(EX_NEW)1"/>
      <sheetName val="입출재고현황_(2)1"/>
      <sheetName val="기계_도급내역서1"/>
      <sheetName val="96보완계획7_121"/>
      <sheetName val="단면_(2)1"/>
      <sheetName val="Summary_Sheets1"/>
      <sheetName val="IMPEADENCE_MAP_취수장1"/>
      <sheetName val="3_공통공사대비1"/>
      <sheetName val="조도계산서_(도서)"/>
      <sheetName val="04_계약내역서_xlsx"/>
      <sheetName val="TH_VL,_NC,_DDHT_Thanhphuoc"/>
      <sheetName val="DESIGN_CRITERIA"/>
      <sheetName val="간접1"/>
      <sheetName val=" 소방공사 산출근거"/>
      <sheetName val="단위량"/>
      <sheetName val="재료집계표2"/>
      <sheetName val="토적집계표"/>
      <sheetName val="목재동바리"/>
      <sheetName val="산출내역서"/>
      <sheetName val="산출기초"/>
      <sheetName val="401"/>
      <sheetName val="교량data"/>
      <sheetName val="부하"/>
      <sheetName val="APT"/>
      <sheetName val="screw_bolt"/>
      <sheetName val="영흥TL(UP,DOWN)_"/>
      <sheetName val="일위대가시트"/>
      <sheetName val="공사비증감"/>
      <sheetName val="대구파크쿨링타워"/>
      <sheetName val="집계표(육상)"/>
      <sheetName val="송정-증포간  계약내역서"/>
      <sheetName val="기초데이타"/>
      <sheetName val="5Strand-장기처짐PCI"/>
      <sheetName val="유효폭의 계산"/>
      <sheetName val="inputdata"/>
      <sheetName val="STEEL BOX 단면설계(SEC.8)"/>
      <sheetName val="시중노임단가(07상반기)"/>
      <sheetName val="대로근거"/>
      <sheetName val="중로근거"/>
      <sheetName val="카메౐"/>
      <sheetName val="매크로"/>
      <sheetName val="하수급견적대비"/>
      <sheetName val="과천MAIN"/>
      <sheetName val="날개벽(좌,우=60도-4개)"/>
      <sheetName val="MAIN"/>
      <sheetName val="원본(01~02)"/>
      <sheetName val="SCHEDULE"/>
      <sheetName val="3.단가산출서"/>
      <sheetName val="4.일위산출"/>
      <sheetName val="국내조달(통합-1)"/>
      <sheetName val="입력DATA"/>
      <sheetName val="바닥판"/>
      <sheetName val="동일대내"/>
      <sheetName val="변경총괄지(1)"/>
      <sheetName val="CCC"/>
      <sheetName val="부관夂泿ꠀ祪"/>
      <sheetName val="부관夂泿　蘅"/>
      <sheetName val="부관夂泿䠀㬓"/>
      <sheetName val="부관夂泿_xd800_뾀"/>
      <sheetName val="부관夂泿耀쌦"/>
      <sheetName val="교대시점"/>
      <sheetName val="일위대가(목록)"/>
      <sheetName val="산근(목록)"/>
      <sheetName val="재료비"/>
      <sheetName val="이형관중량"/>
      <sheetName val="옥외등신설"/>
      <sheetName val="저케CV22신설"/>
      <sheetName val="저케CV38신설"/>
      <sheetName val="저케CV8신설"/>
      <sheetName val="접지3종"/>
      <sheetName val="소업1교"/>
      <sheetName val="평3"/>
      <sheetName val="내역(구틽繘ԯ"/>
      <sheetName val="내역(구׽_x0000_缀"/>
      <sheetName val="점별(추정)"/>
      <sheetName val="빌딩 안내"/>
      <sheetName val="건축원가"/>
      <sheetName val="여과지동"/>
      <sheetName val="기초자료"/>
      <sheetName val="8.자재단가비교표"/>
      <sheetName val="5.수량집계"/>
      <sheetName val="AHU 산출"/>
      <sheetName val="s_v"/>
      <sheetName val="TOWER_12TON"/>
      <sheetName val="TOWER_10TON"/>
      <sheetName val="제출내역_(2)"/>
      <sheetName val="토_적_표"/>
      <sheetName val="1_우편집중내역서"/>
      <sheetName val="경율산정_XLS"/>
      <sheetName val="소방일위_"/>
      <sheetName val="8_PILE__(돌출)"/>
      <sheetName val="EQUIP_LIST"/>
      <sheetName val="BSD__2_"/>
      <sheetName val="2004_연결"/>
      <sheetName val="공사비총"/>
      <sheetName val="TRAY"/>
      <sheetName val="2_유ø_x0000_Ԁ_x0000_"/>
      <sheetName val="PROJECT_BR"/>
      <sheetName val="영동(D)"/>
      <sheetName val="자동제어"/>
      <sheetName val="토사(PE)"/>
      <sheetName val="Cost bd-&quot;A&quot;"/>
      <sheetName val="일위목차"/>
      <sheetName val="부대tu"/>
      <sheetName val="J01"/>
      <sheetName val="일위대가목록萹㊜ȶ୐"/>
      <sheetName val="PROJECT_BRက_x0000_怀쟻ԋ顭逯ý_x0000__x0000__x0000_"/>
      <sheetName val="집계표1"/>
      <sheetName val="귀래 설계 공내역서"/>
      <sheetName val="단가 및 재_x0000__x0000_"/>
      <sheetName val="관음목장(제출용)자10줂節_x0000__x0000_倀咴"/>
      <sheetName val="관음목장(제출용)자10줂節_x0000__x0000_렀㝃"/>
      <sheetName val="산5-7"/>
      <sheetName val="바_한일양산1"/>
      <sheetName val="별표_1"/>
      <sheetName val="중기조종사_단위단가1"/>
      <sheetName val="파일항타_(2)1"/>
      <sheetName val="3_바닥판설계1"/>
      <sheetName val="내__역__서1"/>
      <sheetName val="1995년_섹터별_매출1"/>
      <sheetName val="돌담교_상부수량1"/>
      <sheetName val="설_계1"/>
      <sheetName val="2_유지보수비1"/>
      <sheetName val="2_가정단면1"/>
      <sheetName val="Sheet1_(3)1"/>
      <sheetName val="BASIC_(2)1"/>
      <sheetName val="자__재1"/>
      <sheetName val="전차선로_물량표"/>
      <sheetName val="P_M_별1"/>
      <sheetName val="1_취수장"/>
      <sheetName val="6PILE__(돌출)"/>
      <sheetName val="기성(1차)_"/>
      <sheetName val="광통신_견적내역서1"/>
      <sheetName val="장비_(2)"/>
      <sheetName val="2_3지지력"/>
      <sheetName val="4_하중산정"/>
      <sheetName val="2_대외공문"/>
      <sheetName val="1__설계조건_2_단면가정_3__하중계산"/>
      <sheetName val="DATA_입력란"/>
      <sheetName val="플랜트_설치"/>
      <sheetName val="9_자재단가"/>
      <sheetName val="7_산출집계"/>
      <sheetName val="2000_05"/>
      <sheetName val="점검내역서(data)_(2)"/>
      <sheetName val="토공(우물통,기타)_"/>
      <sheetName val="기둥(하중)"/>
      <sheetName val="M-EQPT-Z"/>
      <sheetName val="단면별연장"/>
      <sheetName val="토공총괄표"/>
      <sheetName val="합계금액"/>
      <sheetName val="유림골조"/>
      <sheetName val="02"/>
      <sheetName val="03"/>
      <sheetName val="05"/>
      <sheetName val="06"/>
      <sheetName val="07"/>
      <sheetName val="08"/>
      <sheetName val="09"/>
      <sheetName val="10"/>
      <sheetName val="12"/>
      <sheetName val="일수누계_참조"/>
      <sheetName val="청넋뛀"/>
      <sheetName val="답십리"/>
      <sheetName val="b_balju (2)"/>
      <sheetName val="시설장비"/>
      <sheetName val="관음목장(제출용)자105인9o销"/>
      <sheetName val="관음목장(제출용)자105인9Y_x0000__x0000_"/>
      <sheetName val="관음목장(제출용)자105인9剙_x0010__x0000_"/>
      <sheetName val="3_공통공½_x0000_Ԁ"/>
      <sheetName val="[Hw-CV.xls]__Lwj_c_1997____04_2"/>
      <sheetName val="AC포장수량"/>
      <sheetName val="SANTOGO"/>
      <sheetName val="SANBAISU"/>
      <sheetName val="자재(원원+원대)"/>
      <sheetName val="기초일위"/>
      <sheetName val="허용전류-IEC DATA"/>
      <sheetName val="단가대비표 (3)"/>
      <sheetName val="식재일위대가"/>
      <sheetName val="카메ၒ"/>
      <sheetName val="카메대"/>
      <sheetName val="Data&amp;Resuၒ_x0000_"/>
      <sheetName val="공사비예산서"/>
      <sheetName val="산출근거(본선외)"/>
      <sheetName val="input(본선외)"/>
      <sheetName val="시점부릐̮Ę"/>
      <sheetName val="시행후면적"/>
      <sheetName val="수지예산"/>
      <sheetName val="산출공종별집계표(통신)"/>
      <sheetName val="산재_안෎"/>
      <sheetName val="산재_안룎"/>
      <sheetName val="산재_안迎"/>
      <sheetName val="산재_안胎"/>
      <sheetName val="산재_안ˎ"/>
      <sheetName val="산재_안ǎ"/>
      <sheetName val="산재_안Î"/>
      <sheetName val="산재_안㷎"/>
      <sheetName val="산재_안风"/>
      <sheetName val="6호기"/>
      <sheetName val="일반관리비"/>
      <sheetName val="7.안전관리비"/>
      <sheetName val="Data_Vert"/>
      <sheetName val="Rebar"/>
      <sheetName val="Data_ST"/>
      <sheetName val="Load"/>
      <sheetName val="12V956"/>
      <sheetName val="투입"/>
      <sheetName val="사통"/>
      <sheetName val="업무분장"/>
      <sheetName val="구조물터파기수량집계"/>
      <sheetName val="측구터파기공수량집계"/>
      <sheetName val="배수공 시멘트 및 골재량 산출"/>
      <sheetName val="P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/>
      <sheetData sheetId="867" refreshError="1"/>
      <sheetData sheetId="868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/>
      <sheetData sheetId="900" refreshError="1"/>
      <sheetData sheetId="901" refreshError="1"/>
      <sheetData sheetId="902" refreshError="1"/>
      <sheetData sheetId="903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/>
      <sheetData sheetId="970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/>
      <sheetData sheetId="1034"/>
      <sheetData sheetId="1035"/>
      <sheetData sheetId="1036"/>
      <sheetData sheetId="1037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/>
      <sheetData sheetId="1102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로점용료"/>
      <sheetName val="Sheet2"/>
      <sheetName val="Sheet3"/>
      <sheetName val="경상직원"/>
      <sheetName val="#REF"/>
      <sheetName val="정공공사"/>
      <sheetName val="냉연집계"/>
      <sheetName val="부대대비"/>
      <sheetName val="연동내역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직공비"/>
      <sheetName val="설명서"/>
      <sheetName val="갑지"/>
      <sheetName val="내역갑지"/>
    </sheetNames>
    <sheetDataSet>
      <sheetData sheetId="0"/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YPE-A"/>
      <sheetName val="TYPE-B"/>
      <sheetName val="TYPE-C"/>
      <sheetName val="Sheet1"/>
      <sheetName val="Sheet2"/>
      <sheetName val="Sheet3"/>
      <sheetName val="변전실전화"/>
      <sheetName val="견적갑지"/>
      <sheetName val="가설통신이설"/>
      <sheetName val="가설공사 미포함"/>
      <sheetName val="토공(완충)"/>
      <sheetName val="DATA"/>
      <sheetName val="MOTOR"/>
      <sheetName val="견적정보"/>
      <sheetName val="BID"/>
      <sheetName val="7.경제성결과"/>
      <sheetName val="SRC-B3U2"/>
      <sheetName val="당초"/>
      <sheetName val="ITEM"/>
      <sheetName val="L_RPTA05_목록"/>
      <sheetName val="내역서"/>
      <sheetName val="---FAB#1업무일지---"/>
      <sheetName val="정부노임단가"/>
      <sheetName val="원가계산서"/>
      <sheetName val="분뇨"/>
      <sheetName val="BSD (2)"/>
      <sheetName val="토공"/>
      <sheetName val="L형옹벽(key)"/>
      <sheetName val="배관"/>
      <sheetName val="계산근거"/>
      <sheetName val="3BL공동구 수량"/>
      <sheetName val="00내역서"/>
      <sheetName val="수량산출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내역"/>
      <sheetName val="type-F"/>
      <sheetName val="갑지"/>
      <sheetName val="우편발송료"/>
      <sheetName val="-금액"/>
      <sheetName val="전산소모품"/>
      <sheetName val="-프린터보유현황"/>
      <sheetName val="수선비"/>
      <sheetName val="난방비"/>
      <sheetName val="출장비"/>
      <sheetName val="-출장비내역"/>
      <sheetName val="판촉회의비"/>
      <sheetName val="기타"/>
      <sheetName val="본사신청인지대"/>
      <sheetName val="-작성법"/>
      <sheetName val="지역본부별 실적"/>
      <sheetName val="거점별"/>
      <sheetName val="지점-대리점"/>
      <sheetName val="back-data"/>
      <sheetName val="TOT"/>
      <sheetName val="금액내역서"/>
      <sheetName val="예산계획"/>
      <sheetName val="#REF"/>
      <sheetName val="정부노임단가"/>
      <sheetName val="전기"/>
      <sheetName val="제품별110계"/>
      <sheetName val="대공종"/>
      <sheetName val="2.대외공문"/>
      <sheetName val="입찰안"/>
      <sheetName val="내역서(총)"/>
      <sheetName val="회의비등"/>
      <sheetName val="접대비"/>
      <sheetName val="교통비"/>
      <sheetName val="핸드폰"/>
      <sheetName val="당숙직"/>
      <sheetName val="영수증1"/>
      <sheetName val="영수증2"/>
      <sheetName val="정산서"/>
      <sheetName val="전표철"/>
      <sheetName val="인지대"/>
      <sheetName val="Sheet2"/>
      <sheetName val="Sheet3"/>
      <sheetName val="Sheet1"/>
      <sheetName val="출고증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남양시작동자105노65기1.3화1.2"/>
      <sheetName val="보증"/>
      <sheetName val="97센_협"/>
      <sheetName val="5.세운W-A"/>
      <sheetName val="현장관리비 산출내역"/>
      <sheetName val="총괄표"/>
      <sheetName val="일위대가"/>
      <sheetName val="hvac(제어동)"/>
      <sheetName val="대비"/>
      <sheetName val="내역(자100%,노100%)기아화성UD동"/>
      <sheetName val="9-1차이내역"/>
      <sheetName val="0000"/>
      <sheetName val="조건변경"/>
      <sheetName val="완성검사증"/>
      <sheetName val="면세서류"/>
      <sheetName val="선반납"/>
      <sheetName val="신갈-반납"/>
      <sheetName val="협조전1"/>
      <sheetName val="3차조건변경"/>
      <sheetName val="매출취소"/>
      <sheetName val="4차조건변경"/>
      <sheetName val="기일연장"/>
      <sheetName val="변경내용"/>
      <sheetName val="견적서"/>
      <sheetName val="계정"/>
      <sheetName val="MASTER_IPL"/>
      <sheetName val="2.1COGS_소주"/>
      <sheetName val="본부소개"/>
      <sheetName val="DBL LPG시험"/>
      <sheetName val="자구계획db"/>
      <sheetName val="FD"/>
      <sheetName val="LD"/>
      <sheetName val="일위대가목차"/>
      <sheetName val="조건 (A)"/>
      <sheetName val="견적990322"/>
      <sheetName val="pivot monthly"/>
      <sheetName val="이자비용 (2)"/>
      <sheetName val="영업.일1"/>
      <sheetName val="3BL공동구 수량"/>
      <sheetName val="국내조달(영상,시계,위성)"/>
      <sheetName val="국내조달(무선)"/>
      <sheetName val="직노"/>
      <sheetName val="수입"/>
      <sheetName val="집계표"/>
      <sheetName val="개시대사 (2)"/>
      <sheetName val="경상비내역"/>
      <sheetName val="설계조건"/>
      <sheetName val="b_balju_cho"/>
      <sheetName val="GRACE"/>
      <sheetName val="OPT손익 내수"/>
      <sheetName val="OPT손익 수출"/>
      <sheetName val="HP1AMLIST"/>
      <sheetName val="매크로"/>
      <sheetName val="96년대비"/>
      <sheetName val="99경비"/>
      <sheetName val="eq_data"/>
      <sheetName val="조건"/>
      <sheetName val="현금경비중역"/>
      <sheetName val="유첨#2"/>
      <sheetName val="major"/>
      <sheetName val="①MT"/>
      <sheetName val="내역서"/>
      <sheetName val="전기일위대가"/>
      <sheetName val="손익분석"/>
      <sheetName val="지역본부별_실적"/>
      <sheetName val="2_대외공문"/>
      <sheetName val="남양시작동자105노65기1_3화1_2"/>
      <sheetName val="5_세운W-A"/>
      <sheetName val="현장관리비_산출내역"/>
      <sheetName val="Total"/>
      <sheetName val="PumpSpec"/>
      <sheetName val="영업소실적"/>
      <sheetName val="Angebot18.7."/>
      <sheetName val="Hyundai.Unit.cost.xls"/>
      <sheetName val="TRIM-Y3"/>
      <sheetName val="FRECEFECBAILEYS"/>
      <sheetName val="전문품의"/>
      <sheetName val="계약ITEM"/>
      <sheetName val="BSD (2)"/>
      <sheetName val="매출부문"/>
      <sheetName val="Y-WORK"/>
      <sheetName val="일위대가표"/>
      <sheetName val="6PILE  (돌출)"/>
      <sheetName val="기숙사본건물도급내역"/>
      <sheetName val="969910( R)"/>
      <sheetName val="DATE"/>
      <sheetName val="소개"/>
      <sheetName val="TB"/>
      <sheetName val="DATA"/>
      <sheetName val="UNSTEADY"/>
      <sheetName val="의장34반"/>
      <sheetName val="의장2반 "/>
      <sheetName val="노임"/>
      <sheetName val="98지급계획"/>
      <sheetName val="세부추진"/>
      <sheetName val="상용보강"/>
      <sheetName val="COPING"/>
      <sheetName val="말뚝지지력산정"/>
      <sheetName val="갑지(추정)"/>
      <sheetName val="DATA(BAC)"/>
      <sheetName val="관음목장(제출용)자105인97.5"/>
      <sheetName val="guard(mac)"/>
      <sheetName val="차량별점검"/>
      <sheetName val="조경"/>
      <sheetName val="터파기및재료"/>
      <sheetName val="M1"/>
      <sheetName val="일반관리비"/>
      <sheetName val="SG"/>
      <sheetName val="인사자료총집계"/>
      <sheetName val="UNIT"/>
      <sheetName val="Calcs"/>
      <sheetName val="SALE&amp;COST"/>
      <sheetName val="1월"/>
      <sheetName val="파이프류"/>
      <sheetName val="Macro1"/>
      <sheetName val="월별손익"/>
      <sheetName val="COVER"/>
      <sheetName val="시험장S자로가로등공사"/>
      <sheetName val="TB12"/>
      <sheetName val="차수"/>
      <sheetName val="관람석제출"/>
      <sheetName val="원단위"/>
      <sheetName val="종목코드"/>
      <sheetName val="노원열병합  건축공사기성내역서"/>
      <sheetName val="CAUDIT"/>
      <sheetName val="List1"/>
      <sheetName val="물량표S"/>
      <sheetName val="지역-가마감"/>
      <sheetName val="AP1"/>
      <sheetName val="캐스코(CRANE)_DwgList"/>
      <sheetName val="INPUT"/>
      <sheetName val="공통가설"/>
      <sheetName val="한계원가"/>
      <sheetName val="교각1"/>
      <sheetName val="pre"/>
      <sheetName val="다목적갑"/>
      <sheetName val="단가산출1"/>
      <sheetName val="전체현황"/>
      <sheetName val="총체보활공정표"/>
      <sheetName val="시멘트"/>
      <sheetName val="1.설계조건"/>
      <sheetName val="협조전 (39)"/>
      <sheetName val="협조전 (42)"/>
      <sheetName val="양식"/>
      <sheetName val="협조전 (41)"/>
      <sheetName val="수출실적양식"/>
      <sheetName val="협조전 (36)"/>
      <sheetName val="협조전 (40)"/>
      <sheetName val="협조전 (13)"/>
      <sheetName val="양식 (2)"/>
      <sheetName val="송금계획 (2)"/>
      <sheetName val="협조전 (20)"/>
      <sheetName val="송금계획"/>
      <sheetName val="협조전 (23)"/>
      <sheetName val="협조전 (25)"/>
      <sheetName val="협조전 (31)"/>
      <sheetName val="협조전 (37)"/>
      <sheetName val="직무내역최종"/>
      <sheetName val="협조전 (45)"/>
      <sheetName val="협조전 (48)"/>
      <sheetName val="협조전 (58)"/>
      <sheetName val="협조전 (59)"/>
      <sheetName val="협조전 (57)"/>
      <sheetName val="협조전 (60)"/>
      <sheetName val="협조전`(59)"/>
      <sheetName val="회사99"/>
      <sheetName val="예산총괄"/>
      <sheetName val="인부신상자료"/>
      <sheetName val=""/>
      <sheetName val="세목별"/>
      <sheetName val="calcul"/>
      <sheetName val="F4-F7"/>
      <sheetName val="ELEC_DCI"/>
      <sheetName val="INST_DCI"/>
      <sheetName val="REINF."/>
      <sheetName val="SKETCH"/>
      <sheetName val="LOADS"/>
      <sheetName val="CVT산정"/>
      <sheetName val="인건비"/>
      <sheetName val="1단계"/>
      <sheetName val="근로자자료입력"/>
      <sheetName val="참고자료"/>
      <sheetName val="소속순"/>
      <sheetName val="3.현장배치"/>
      <sheetName val="실행철강하도"/>
      <sheetName val="dia chi"/>
      <sheetName val="loan0006"/>
      <sheetName val="95하U$가격"/>
      <sheetName val="전체"/>
      <sheetName val="급여"/>
      <sheetName val="CALENDAR"/>
      <sheetName val="2_대외공문1"/>
      <sheetName val="협조전_(39)"/>
      <sheetName val="협조전_(42)"/>
      <sheetName val="협조전_(41)"/>
      <sheetName val="협조전_(36)"/>
      <sheetName val="협조전_(40)"/>
      <sheetName val="협조전_(13)"/>
      <sheetName val="양식_(2)"/>
      <sheetName val="송금계획_(2)"/>
      <sheetName val="협조전_(20)"/>
      <sheetName val="협조전_(23)"/>
      <sheetName val="협조전_(25)"/>
      <sheetName val="협조전_(31)"/>
      <sheetName val="협조전_(37)"/>
      <sheetName val="협조전_(45)"/>
      <sheetName val="협조전_(48)"/>
      <sheetName val="협조전_(58)"/>
      <sheetName val="협조전_(59)"/>
      <sheetName val="협조전_(57)"/>
      <sheetName val="협조전_(60)"/>
      <sheetName val="신규DEP"/>
      <sheetName val="96수출"/>
      <sheetName val="실행대비"/>
      <sheetName val="sm"/>
      <sheetName val="초임연봉"/>
      <sheetName val="RD제품개발투자비(매가)"/>
      <sheetName val="과제"/>
      <sheetName val="환율"/>
      <sheetName val="업무분장"/>
      <sheetName val="토목"/>
      <sheetName val="예산서"/>
      <sheetName val="Tender Summary"/>
      <sheetName val="공사내역"/>
      <sheetName val="부대대비"/>
      <sheetName val="냉연집계"/>
      <sheetName val="ACTDATA"/>
      <sheetName val="1,2공구원가계산서"/>
      <sheetName val="2공구산출내역"/>
      <sheetName val="1공구산출내역서"/>
      <sheetName val="인원계획"/>
      <sheetName val="#REF!"/>
      <sheetName val="전입"/>
      <sheetName val="I.설계조건"/>
      <sheetName val="BANGKEXUAT"/>
      <sheetName val="xxxxxx"/>
      <sheetName val="KD율"/>
      <sheetName val="Budget"/>
      <sheetName val="여과지동"/>
      <sheetName val="기초자료"/>
      <sheetName val="조명시설"/>
      <sheetName val="계열사현황종합"/>
      <sheetName val="콘크리트타설집계표"/>
      <sheetName val="대외공문"/>
      <sheetName val="2COMPO_TABLE"/>
      <sheetName val="간접"/>
      <sheetName val="TEL"/>
      <sheetName val="A-4"/>
      <sheetName val="건축내역"/>
      <sheetName val="FOB발"/>
      <sheetName val="노임이"/>
      <sheetName val="개요"/>
      <sheetName val="단가대비"/>
      <sheetName val="BID"/>
      <sheetName val="-15.0"/>
      <sheetName val="도"/>
      <sheetName val="1.우편집중내역서"/>
      <sheetName val="danga"/>
      <sheetName val="ilch"/>
      <sheetName val="POL6차-PIPING"/>
      <sheetName val="ELECTRIC"/>
      <sheetName val="EQT-ESTN"/>
      <sheetName val="가시설단위수량"/>
      <sheetName val="200309퇴직추계"/>
      <sheetName val="본사현황"/>
      <sheetName val="97계획(96.11"/>
      <sheetName val="조명율표"/>
      <sheetName val="입력"/>
      <sheetName val="TABLE DB"/>
      <sheetName val="쌍용 data base"/>
      <sheetName val="에너지동"/>
      <sheetName val="설비"/>
      <sheetName val="수량산출서"/>
      <sheetName val="Q827"/>
      <sheetName val="전제"/>
      <sheetName val="토공"/>
      <sheetName val="B-III"/>
      <sheetName val="97 사업추정(WEKI)"/>
      <sheetName val="95MAKER"/>
      <sheetName val="공량산출서"/>
      <sheetName val="05계약의약품관리 (2)"/>
      <sheetName val="6호기"/>
      <sheetName val="분석"/>
      <sheetName val="시추주상도"/>
      <sheetName val="M6KK06018"/>
      <sheetName val="수리결과"/>
      <sheetName val="3련 BOX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버팀보"/>
      <sheetName val="수량산출"/>
      <sheetName val="수량집계"/>
      <sheetName val="SK판넬"/>
      <sheetName val="H-PILE"/>
      <sheetName val="1호맨홀가감수량"/>
      <sheetName val="가시설(TYPE-A)"/>
      <sheetName val="1-1평균터파기고(1)"/>
      <sheetName val="1호맨홀수량산출"/>
      <sheetName val="맨홀수량산출"/>
      <sheetName val="INPUT"/>
      <sheetName val="SPC노임(5월)"/>
      <sheetName val="DATE"/>
      <sheetName val="기초자료입력"/>
      <sheetName val="예총"/>
      <sheetName val="SORCE1"/>
      <sheetName val="가시설단위수량"/>
      <sheetName val="전등설비"/>
      <sheetName val="단위수량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승용 밋션별 &quot;1&quot;"/>
      <sheetName val="승용 밋션별 &quot;2&quot;"/>
      <sheetName val="승용 밋션별 &quot;3&quot;"/>
      <sheetName val="소상 &quot;1&quot;"/>
      <sheetName val="변경내용"/>
      <sheetName val="숙박비"/>
      <sheetName val="중식대"/>
      <sheetName val="회의비"/>
      <sheetName val="특근.간담회비"/>
      <sheetName val="접대비"/>
      <sheetName val="교통비"/>
      <sheetName val="교통비 (2)"/>
      <sheetName val="정산서"/>
      <sheetName val="사내영수증"/>
      <sheetName val="전표철"/>
      <sheetName val="전표철 (2)"/>
      <sheetName val="총지출"/>
      <sheetName val="Sheet1"/>
      <sheetName val="Sheet2"/>
      <sheetName val="Sheet3"/>
      <sheetName val="수불내수"/>
      <sheetName val="COPING"/>
      <sheetName val="96수출"/>
      <sheetName val="인원01"/>
      <sheetName val="협조전"/>
      <sheetName val="p2-1"/>
      <sheetName val="#REF"/>
      <sheetName val="내역1"/>
      <sheetName val="Key assumption"/>
      <sheetName val="품의양식"/>
      <sheetName val="정부노임단가"/>
      <sheetName val="3BL공동구 수량"/>
      <sheetName val="남양시작동자105노65기1.3화1.2"/>
      <sheetName val="관람석제출"/>
      <sheetName val="총괄표"/>
      <sheetName val="TEL"/>
      <sheetName val="정보(MCC)"/>
      <sheetName val="정보(HEI)"/>
      <sheetName val="major"/>
      <sheetName val="울산시산표"/>
      <sheetName val="0.1 KEY ASSUMPTIONS"/>
      <sheetName val="0. CONTROL"/>
      <sheetName val="자압"/>
      <sheetName val="회의비등"/>
      <sheetName val="핸드폰"/>
      <sheetName val="당숙직"/>
      <sheetName val="영수증1"/>
      <sheetName val="영수증2"/>
      <sheetName val="unit cost Bauteil 1"/>
      <sheetName val="unit cost Bauteil 2"/>
      <sheetName val="unit cost Bauteil 3"/>
      <sheetName val="unit cost Bauteil 4"/>
      <sheetName val="unit cost Bauteil 5"/>
      <sheetName val="명단"/>
      <sheetName val="TOT"/>
      <sheetName val="계열사현황종합"/>
      <sheetName val="94반성(Pnck)"/>
      <sheetName val="JUCK"/>
      <sheetName val="신1"/>
      <sheetName val="일별1"/>
      <sheetName val="MOTOR"/>
      <sheetName val="VALVE"/>
      <sheetName val="자압1"/>
      <sheetName val="Macro2"/>
      <sheetName val="2.대외공문"/>
      <sheetName val="Total"/>
      <sheetName val="매입세율"/>
      <sheetName val="공사개요"/>
      <sheetName val="GRACE"/>
      <sheetName val="TABLE DB"/>
      <sheetName val="쌍용 data base"/>
      <sheetName val="종기계획(월별)"/>
      <sheetName val="payroll"/>
      <sheetName val="일반"/>
      <sheetName val="구동"/>
      <sheetName val="공통(20-91)"/>
      <sheetName val="내역서"/>
      <sheetName val="Sheet4"/>
      <sheetName val="현장지지물물량"/>
      <sheetName val="기안지"/>
      <sheetName val="SANTAMO"/>
      <sheetName val="DAT(목표)"/>
      <sheetName val="출장거리"/>
      <sheetName val="본문"/>
      <sheetName val="승용_밋션별_&quot;1&quot;"/>
      <sheetName val="승용_밋션별_&quot;2&quot;"/>
      <sheetName val="승용_밋션별_&quot;3&quot;"/>
      <sheetName val="소상_&quot;1&quot;"/>
      <sheetName val="특근_간담회비"/>
      <sheetName val="교통비_(2)"/>
      <sheetName val="전표철_(2)"/>
      <sheetName val="Key_assumption"/>
      <sheetName val="3BL공동구_수량"/>
      <sheetName val="남양시작동자105노65기1_3화1_2"/>
      <sheetName val="0_1_KEY_ASSUMPTIONS"/>
      <sheetName val="0__CONTROL"/>
      <sheetName val="Cost bd-&quot;A&quot;"/>
      <sheetName val="중기사용료"/>
      <sheetName val="계정"/>
      <sheetName val="대외공문"/>
      <sheetName val="세목별"/>
      <sheetName val="BID"/>
      <sheetName val="월별수입"/>
      <sheetName val="전문품의"/>
      <sheetName val="MFAB"/>
      <sheetName val="MFRT"/>
      <sheetName val="MPKG"/>
      <sheetName val="MPRD"/>
      <sheetName val="산출내역서"/>
      <sheetName val="CONCRETE"/>
      <sheetName val="우각부보강"/>
      <sheetName val="조도계산서 (도서)"/>
      <sheetName val="공통비"/>
      <sheetName val="중장기판매계획"/>
      <sheetName val="세부추진"/>
      <sheetName val="상용보강"/>
      <sheetName val="수리결과"/>
      <sheetName val="플랜트 설치"/>
      <sheetName val="차량별점검"/>
      <sheetName val="수입"/>
      <sheetName val="2F 회의실견적(5_14 일대)"/>
      <sheetName val="95MAKER"/>
      <sheetName val="일괄인쇄"/>
      <sheetName val="DATE"/>
      <sheetName val="참고"/>
      <sheetName val="ML"/>
      <sheetName val="충주"/>
      <sheetName val="견적990322"/>
      <sheetName val="1-1"/>
      <sheetName val="차수"/>
      <sheetName val="입력"/>
      <sheetName val="승용_밋션별_&quot;1&quot;1"/>
      <sheetName val="승용_밋션별_&quot;2&quot;1"/>
      <sheetName val="승용_밋션별_&quot;3&quot;1"/>
      <sheetName val="소상_&quot;1&quot;1"/>
      <sheetName val="특근_간담회비1"/>
      <sheetName val="교통비_(2)1"/>
      <sheetName val="전표철_(2)1"/>
      <sheetName val="Key_assumption1"/>
      <sheetName val="3BL공동구_수량1"/>
      <sheetName val="남양시작동자105노65기1_3화1_21"/>
      <sheetName val="0_1_KEY_ASSUMPTIONS1"/>
      <sheetName val="0__CONTROL1"/>
      <sheetName val="unit_cost_Bauteil_1"/>
      <sheetName val="unit_cost_Bauteil_2"/>
      <sheetName val="unit_cost_Bauteil_3"/>
      <sheetName val="unit_cost_Bauteil_4"/>
      <sheetName val="unit_cost_Bauteil_5"/>
      <sheetName val="TABLE_DB"/>
      <sheetName val="쌍용_data_base"/>
      <sheetName val="2_대외공문"/>
      <sheetName val="Cost_bd-&quot;A&quot;"/>
      <sheetName val="조도계산서_(도서)"/>
      <sheetName val="베네"/>
      <sheetName val="98지급계획"/>
      <sheetName val="001"/>
      <sheetName val="전체현황"/>
      <sheetName val="특별교실"/>
      <sheetName val="부하계산서"/>
      <sheetName val="일위대가"/>
      <sheetName val="물량표"/>
      <sheetName val="KD율"/>
      <sheetName val="노무비"/>
      <sheetName val="BEAM"/>
      <sheetName val="배수공 주요자재 집계표"/>
      <sheetName val="선정요령"/>
      <sheetName val="가격정보"/>
      <sheetName val="8.특성항목"/>
      <sheetName val="콘크리트타설집계표"/>
      <sheetName val="1월"/>
      <sheetName val="구의33고"/>
      <sheetName val="bi"/>
      <sheetName val="공문"/>
      <sheetName val="공통부대비"/>
      <sheetName val="지보1_98"/>
      <sheetName val="COMPRESSOR"/>
      <sheetName val="Instruction"/>
      <sheetName val="다이꾸"/>
      <sheetName val="WIND-EQ"/>
      <sheetName val="Data&amp;Result"/>
      <sheetName val="A"/>
      <sheetName val="입력정보"/>
      <sheetName val="Data &amp; Result"/>
      <sheetName val="설산1.나"/>
      <sheetName val="본사S"/>
      <sheetName val="BSD (2)"/>
      <sheetName val="h-013211-2"/>
      <sheetName val="실행대비"/>
      <sheetName val="차액보증"/>
      <sheetName val="실행철강하도"/>
      <sheetName val="개요"/>
      <sheetName val="산출"/>
      <sheetName val="자재관리"/>
      <sheetName val="바닥판"/>
      <sheetName val="Macro(차단기)"/>
      <sheetName val="PumpSpec"/>
      <sheetName val="전제"/>
      <sheetName val="생산"/>
      <sheetName val="차종별"/>
      <sheetName val="Benutzungshinweise"/>
      <sheetName val="BQ(실행)"/>
      <sheetName val="투찰"/>
      <sheetName val="Y-WORK"/>
      <sheetName val="내역서비교"/>
      <sheetName val="5.모델링"/>
      <sheetName val="터널조도"/>
      <sheetName val="노임"/>
      <sheetName val="인수공규격"/>
      <sheetName val="SPM(13.84)"/>
      <sheetName val="95하U$가격"/>
      <sheetName val="매입세"/>
      <sheetName val="전력구구조물산근2구간"/>
      <sheetName val="TMMAN"/>
      <sheetName val="운행일지"/>
      <sheetName val="부대대비"/>
      <sheetName val="냉연집계"/>
      <sheetName val="날개벽수량표"/>
      <sheetName val="WBS"/>
      <sheetName val="EJ"/>
      <sheetName val="부하LOAD"/>
      <sheetName val="Macro(전동기)"/>
      <sheetName val="할증 "/>
      <sheetName val="준검 내역서"/>
      <sheetName val="INCOME"/>
      <sheetName val="COVER"/>
      <sheetName val="전체내역 (2)"/>
      <sheetName val="c_balju"/>
      <sheetName val="D=700"/>
      <sheetName val="재무현황"/>
      <sheetName val="개별스왑명세표"/>
      <sheetName val="총괄"/>
      <sheetName val="카렌스센터계량기설치공사"/>
      <sheetName val="YES"/>
      <sheetName val="3련 BOX"/>
      <sheetName val="Graph (LGEN)"/>
      <sheetName val="CALCULATION"/>
      <sheetName val="out_prog"/>
      <sheetName val="선적schedule (2)"/>
      <sheetName val="조정금액결과표 (차수별)"/>
      <sheetName val="지급자재"/>
      <sheetName val="건축원가"/>
      <sheetName val="WORK-VOL"/>
    </sheetNames>
    <definedNames>
      <definedName name="Macro14"/>
      <definedName name="Macro5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공사비예산서"/>
      <sheetName val="내역서"/>
      <sheetName val="수목수량총괄"/>
      <sheetName val="시설수량"/>
      <sheetName val="품셈총괄"/>
      <sheetName val="품셈"/>
      <sheetName val="산근"/>
      <sheetName val="노임단가"/>
      <sheetName val="재료단가"/>
      <sheetName val="이식산출"/>
      <sheetName val="중기경비단가"/>
      <sheetName val="중기부표총괄"/>
      <sheetName val="중기부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내역"/>
      <sheetName val="공잡비"/>
      <sheetName val="변1예정"/>
      <sheetName val="변1잡"/>
      <sheetName val="2000전체분"/>
      <sheetName val="2000전체잡비"/>
      <sheetName val="2000년1차"/>
      <sheetName val="2000년1차잡비"/>
      <sheetName val="신규단가"/>
      <sheetName val="단가리스트"/>
      <sheetName val="입력"/>
      <sheetName val="Sheet1"/>
      <sheetName val="STANDARD"/>
      <sheetName val="약품공급2"/>
      <sheetName val="교각1"/>
      <sheetName val="공통부대관리"/>
      <sheetName val="성창원"/>
      <sheetName val="퍼스트"/>
      <sheetName val="#REF"/>
      <sheetName val="직공비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표지"/>
      <sheetName val="산출내역서집계표"/>
      <sheetName val="전체"/>
      <sheetName val="문학간접"/>
      <sheetName val="접지수량"/>
      <sheetName val="LD"/>
      <sheetName val="2000청천-덕평발주"/>
      <sheetName val="구조물집계"/>
      <sheetName val="토공집계"/>
      <sheetName val="실행철강하도"/>
      <sheetName val="단가"/>
      <sheetName val="입찰"/>
      <sheetName val="현경"/>
      <sheetName val="4차원가계산서"/>
      <sheetName val="품셈TABLE"/>
      <sheetName val="SHEET PILE단가"/>
      <sheetName val="대포2교접속"/>
      <sheetName val="천방교접속"/>
      <sheetName val="유치원내역"/>
      <sheetName val="입출재고현황 (2)"/>
      <sheetName val="준검 내역서"/>
      <sheetName val="가도공"/>
      <sheetName val="기기리스트"/>
      <sheetName val="갑지"/>
      <sheetName val="수량산출"/>
      <sheetName val="재료값"/>
      <sheetName val="단가 및 재료비"/>
      <sheetName val="내역"/>
      <sheetName val="정렬"/>
      <sheetName val="기성내역"/>
      <sheetName val="0001new"/>
      <sheetName val="내역서"/>
      <sheetName val="적점"/>
      <sheetName val="인수공규격"/>
      <sheetName val="1.설계조건"/>
      <sheetName val="Macro1"/>
      <sheetName val="RE9604"/>
      <sheetName val="재료비"/>
      <sheetName val="도급"/>
      <sheetName val="원가서"/>
      <sheetName val="공량산출서"/>
      <sheetName val="앉음벽 (2)"/>
      <sheetName val="1,2공구원가계산서"/>
      <sheetName val="2공구산출내역"/>
      <sheetName val="1공구산출내역서"/>
      <sheetName val="계림(함평)"/>
      <sheetName val="계림(장성)"/>
      <sheetName val="적현로"/>
      <sheetName val="위치조서"/>
      <sheetName val="ABUT수량-A1"/>
      <sheetName val="설비2차"/>
      <sheetName val="실행내역서 "/>
      <sheetName val="DATA"/>
      <sheetName val="C1ㅇ"/>
      <sheetName val="제출내역 (2)"/>
      <sheetName val="전기일위목록"/>
      <sheetName val="A 견적"/>
      <sheetName val="대비2"/>
      <sheetName val="당진1,2호기전선관설치및접지4차공사내역서-을지"/>
      <sheetName val="요율"/>
      <sheetName val="tggwan(mac)"/>
      <sheetName val="서울대규장각(가시설흙막이)"/>
      <sheetName val="부하계산서"/>
      <sheetName val="TOWER 10TON"/>
      <sheetName val="설계"/>
      <sheetName val="자재일람"/>
      <sheetName val="평가데이터"/>
      <sheetName val="내화구조체FTA"/>
      <sheetName val="BID"/>
      <sheetName val="동방설계서"/>
      <sheetName val="guard(mac)"/>
      <sheetName val="빗물받이(910-510-410)"/>
      <sheetName val="일반부표"/>
      <sheetName val="여과지동"/>
      <sheetName val="기초자료"/>
      <sheetName val="설계실행투찰"/>
      <sheetName val="2002하반기노임기준"/>
      <sheetName val="상수도토공집계표"/>
      <sheetName val="DB"/>
      <sheetName val="콘_재료분리(1)"/>
      <sheetName val="소비자가"/>
      <sheetName val="관급자재"/>
      <sheetName val="노임"/>
      <sheetName val="제경비"/>
      <sheetName val="4.전기"/>
      <sheetName val="설계개요"/>
      <sheetName val="환율change"/>
      <sheetName val="금액내역서"/>
      <sheetName val="실행(1)"/>
      <sheetName val="토사(PE)"/>
      <sheetName val="터파기및재료"/>
      <sheetName val="기초자료입력"/>
      <sheetName val="청천내"/>
      <sheetName val="일위대가"/>
      <sheetName val="DATE"/>
      <sheetName val="토공사"/>
      <sheetName val="내역표지"/>
      <sheetName val="편입토지조서"/>
      <sheetName val="옹벽"/>
      <sheetName val="슬래브수량"/>
      <sheetName val="직재"/>
      <sheetName val="관급"/>
      <sheetName val="일일총괄"/>
      <sheetName val="자판실행"/>
      <sheetName val="예산서"/>
      <sheetName val="접속도수량집계표"/>
      <sheetName val="철근집계"/>
      <sheetName val="접속도로1"/>
      <sheetName val="방수"/>
      <sheetName val="교통대책내역"/>
      <sheetName val="7.경제성결과"/>
      <sheetName val="b_balju"/>
      <sheetName val="수량산출근거"/>
      <sheetName val="일위집계표"/>
      <sheetName val="공사개요"/>
      <sheetName val="COVER"/>
      <sheetName val="교각계산"/>
      <sheetName val="물가자료"/>
      <sheetName val="준공정산"/>
      <sheetName val="수량 산출서(당초)"/>
      <sheetName val="2000년하반기"/>
      <sheetName val="I一般比"/>
      <sheetName val="수로단위수량"/>
      <sheetName val="노임단가 (2)"/>
      <sheetName val="부대내역"/>
      <sheetName val="노임단가"/>
      <sheetName val="5.동별횡주관경"/>
      <sheetName val="플랜트 설치"/>
      <sheetName val="전체_1설계"/>
      <sheetName val="3.하중산정4.지지력"/>
      <sheetName val="esc"/>
      <sheetName val="간접비계산"/>
      <sheetName val="과천MAIN"/>
      <sheetName val="물가시세"/>
      <sheetName val="자재단가비교표"/>
      <sheetName val="1.취수장"/>
      <sheetName val="산출내역서"/>
      <sheetName val="공사비총괄표"/>
      <sheetName val="날개벽수량표"/>
      <sheetName val="건축"/>
      <sheetName val="lee"/>
      <sheetName val="집계표소트"/>
      <sheetName val="경비_원본"/>
      <sheetName val="실행내역"/>
      <sheetName val="Sheet6"/>
      <sheetName val="옥내소화전계산서"/>
      <sheetName val="우수"/>
      <sheetName val="총괄표"/>
      <sheetName val="단위수량산출"/>
      <sheetName val="일위산출"/>
      <sheetName val="을"/>
      <sheetName val="현장관리비참조"/>
      <sheetName val="자재테이블"/>
      <sheetName val="중강당 내역"/>
      <sheetName val="갑지(추정)"/>
      <sheetName val="정부노임단가"/>
      <sheetName val="연결임시"/>
      <sheetName val="일위대가목록"/>
      <sheetName val="Sheet1 (2)"/>
      <sheetName val="원도급"/>
      <sheetName val="하도급"/>
      <sheetName val="8.석축단위(H=1.5M)"/>
      <sheetName val="원가총괄"/>
      <sheetName val="내역기준"/>
      <sheetName val="갑지1"/>
      <sheetName val="자재입고"/>
      <sheetName val="입고장부 (4)"/>
      <sheetName val="노무비 근거"/>
      <sheetName val="Sheet5"/>
      <sheetName val="일위목록"/>
      <sheetName val="일용노임단가"/>
      <sheetName val="당초수량"/>
      <sheetName val="자재"/>
      <sheetName val="신호등일위대가"/>
      <sheetName val="건축내역서"/>
      <sheetName val="데리네이타현황"/>
      <sheetName val="봉양~조차장간고하개명(신설)"/>
      <sheetName val="DATA 입력란"/>
      <sheetName val="1. 설계조건 2.단면가정 3. 하중계산"/>
      <sheetName val="총괄내역서"/>
      <sheetName val="국내조달(통합-1)"/>
      <sheetName val="현장경비"/>
      <sheetName val="초기화면"/>
      <sheetName val="폐기물"/>
      <sheetName val="조명시설"/>
      <sheetName val="전동기"/>
      <sheetName val="원가계산서"/>
      <sheetName val="인건비"/>
      <sheetName val="인건-측정"/>
      <sheetName val="Resource2"/>
      <sheetName val="구조물철거타공정이월"/>
      <sheetName val="자재단가"/>
      <sheetName val="토목"/>
      <sheetName val="정산서"/>
      <sheetName val="대공종"/>
      <sheetName val="중동상가"/>
      <sheetName val="완도-군외"/>
      <sheetName val="가설공사비"/>
      <sheetName val="건축공사"/>
      <sheetName val="공사비집계표"/>
      <sheetName val="원가계산"/>
      <sheetName val="Macro(전선)"/>
      <sheetName val="Sheet2"/>
      <sheetName val="Y-WORK"/>
      <sheetName val="수입"/>
      <sheetName val="전기계산"/>
      <sheetName val="LF자재단가"/>
      <sheetName val="급,배기팬"/>
      <sheetName val="BSD (2)"/>
      <sheetName val="기준"/>
      <sheetName val="Macro(차단기)"/>
      <sheetName val="차액보증"/>
      <sheetName val="산정표"/>
      <sheetName val="착공내역"/>
      <sheetName val="전체제잡비"/>
      <sheetName val="내역(입찰)"/>
      <sheetName val="진주방향"/>
      <sheetName val="T형( 파일기초) 공현1교"/>
      <sheetName val="견적"/>
      <sheetName val="민감도분석"/>
      <sheetName val="노임단가표"/>
      <sheetName val="전도자금"/>
      <sheetName val="직노"/>
      <sheetName val="JUCKEYK"/>
      <sheetName val="입찰품의서"/>
      <sheetName val="관리비비계상"/>
      <sheetName val="3월집계"/>
      <sheetName val="세원견적서"/>
      <sheetName val="내역(가지)"/>
      <sheetName val="#2_일위대가목록"/>
      <sheetName val="정보"/>
      <sheetName val="2"/>
      <sheetName val="집계"/>
      <sheetName val="영흥TL(UP,DOWN) "/>
      <sheetName val="공사비산출내역"/>
      <sheetName val="표준건축비"/>
      <sheetName val="수량산출내역1115"/>
      <sheetName val="계산표지"/>
      <sheetName val="하수급견적대비"/>
      <sheetName val="단가표 (2)"/>
      <sheetName val="빌딩 안내"/>
      <sheetName val="A공구"/>
      <sheetName val="정리부09"/>
      <sheetName val="FAB별"/>
      <sheetName val="간접"/>
      <sheetName val="조경일람"/>
      <sheetName val="판"/>
      <sheetName val="신관(1)"/>
      <sheetName val="청주(철골발주의뢰서)"/>
      <sheetName val="spc 배관견적"/>
      <sheetName val="현설자료UT"/>
      <sheetName val=" 소방공사 산출근거"/>
      <sheetName val="주경기-오배수"/>
      <sheetName val="Front"/>
      <sheetName val="wall"/>
      <sheetName val="개요"/>
      <sheetName val="125PIECE"/>
      <sheetName val="설계예산서"/>
      <sheetName val="임대동호배치"/>
      <sheetName val="REDUCER"/>
      <sheetName val="WE'T"/>
      <sheetName val="단가일람"/>
      <sheetName val="8설7발"/>
      <sheetName val="설비"/>
      <sheetName val="총괄설계내역서"/>
      <sheetName val="전입"/>
      <sheetName val="위생-sa"/>
      <sheetName val="원가계산서구조조정"/>
      <sheetName val="수량산출서"/>
      <sheetName val="코드"/>
      <sheetName val="집수정(600-700)"/>
      <sheetName val="200"/>
      <sheetName val="Customer Databas"/>
      <sheetName val="98지급계획"/>
      <sheetName val="제수"/>
      <sheetName val="공기"/>
      <sheetName val="옹벽수량집계표"/>
      <sheetName val="철근계"/>
      <sheetName val="미드수량"/>
      <sheetName val="토목품셈"/>
      <sheetName val="개발운영비청구"/>
      <sheetName val="지급자재"/>
      <sheetName val=""/>
      <sheetName val="본사인상전"/>
      <sheetName val="터널조도"/>
      <sheetName val="07피뢰침설비공사"/>
      <sheetName val="분전반일위대가"/>
      <sheetName val="단가산출"/>
      <sheetName val="rate"/>
      <sheetName val="Total"/>
      <sheetName val="가공비"/>
      <sheetName val="실행비교"/>
      <sheetName val="정류기"/>
      <sheetName val="단가_및_재료비"/>
      <sheetName val="노임,재료비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공통가설"/>
      <sheetName val="F4-F7"/>
      <sheetName val="부하(성남)"/>
      <sheetName val="정내"/>
      <sheetName val="POOM_MOTO"/>
      <sheetName val="POOM_MOTO2"/>
      <sheetName val="70%"/>
      <sheetName val="을(1차)"/>
      <sheetName val="전기2005"/>
      <sheetName val="통신2005"/>
      <sheetName val="운반"/>
      <sheetName val="투찰내역"/>
      <sheetName val="일일"/>
      <sheetName val="사업관리"/>
      <sheetName val="#2정산"/>
      <sheetName val="DHEQSUPT"/>
      <sheetName val="XXXXXX"/>
      <sheetName val="중기일위대가"/>
      <sheetName val="자동제어"/>
      <sheetName val="Excel"/>
      <sheetName val="재개발"/>
      <sheetName val="10월관리비"/>
      <sheetName val="실행"/>
      <sheetName val="충주"/>
      <sheetName val="토공사B동추가"/>
      <sheetName val="관리,공감"/>
      <sheetName val="경산"/>
      <sheetName val="재학생"/>
      <sheetName val="도담구내 개소별 명세"/>
      <sheetName val="을부담운반비"/>
      <sheetName val="화재 탐지 설비"/>
      <sheetName val="DESIGN_CRETERIA"/>
      <sheetName val="일위단가"/>
      <sheetName val="상세내역,전력산출서"/>
      <sheetName val="간선계산"/>
      <sheetName val="연습장소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서갑지"/>
      <sheetName val="견적내역서"/>
      <sheetName val="단가산출근거(신규)"/>
      <sheetName val="단가산출근거 (기존)"/>
      <sheetName val="배관수량집계표"/>
      <sheetName val="1.기자재"/>
      <sheetName val="2.유기 폐수"/>
      <sheetName val="3.불인산 폐수"/>
      <sheetName val="4.산 폐수"/>
      <sheetName val="5.비상 폐수"/>
      <sheetName val="6. 기타 배관 및 공사"/>
      <sheetName val="7. 배관 지지대"/>
      <sheetName val="FRP"/>
      <sheetName val="DATE"/>
      <sheetName val="계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-한중"/>
      <sheetName val="내역-한중"/>
      <sheetName val="#REF"/>
      <sheetName val="맨홀수량산출"/>
      <sheetName val="실행"/>
      <sheetName val="DATE"/>
      <sheetName val="기초자료입력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TYPE-A"/>
      <sheetName val="TYPE-B"/>
      <sheetName val="주공기준"/>
      <sheetName val="WING3"/>
      <sheetName val="실행내역서 "/>
      <sheetName val="실행"/>
      <sheetName val="APT"/>
      <sheetName val="내역"/>
      <sheetName val="노임"/>
      <sheetName val="Total"/>
      <sheetName val="#REF"/>
      <sheetName val="1,2공구원가계산서"/>
      <sheetName val="2공구산출내역"/>
      <sheetName val="1공구산출내역서"/>
      <sheetName val="견적정보"/>
      <sheetName val="시운전연료"/>
      <sheetName val="내역서"/>
      <sheetName val="단가산출"/>
      <sheetName val="실행철강하도"/>
      <sheetName val="DB"/>
      <sheetName val="약품공급2"/>
      <sheetName val="IT-BAT"/>
      <sheetName val="맨홀수량산출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비 (2)"/>
      <sheetName val="토목 (2)"/>
      <sheetName val="건축 (2)"/>
      <sheetName val="퍼스트"/>
      <sheetName val="요율맨"/>
      <sheetName val="산출내역서집계표"/>
      <sheetName val="건축"/>
      <sheetName val="토목"/>
      <sheetName val="설비"/>
      <sheetName val="개요"/>
      <sheetName val="내역서"/>
      <sheetName val="갑지"/>
      <sheetName val="서문"/>
      <sheetName val="공통가설공사"/>
      <sheetName val="형틀공사"/>
      <sheetName val="빗물받이(910-510-410)"/>
      <sheetName val="노임"/>
      <sheetName val="식재"/>
      <sheetName val="시설물"/>
      <sheetName val="식재출력용"/>
      <sheetName val="단가"/>
      <sheetName val="유지관리"/>
      <sheetName val="4차원가계산서"/>
      <sheetName val="평가데이터"/>
      <sheetName val="관급자재"/>
      <sheetName val="데이타"/>
      <sheetName val="식재인부"/>
      <sheetName val="간접"/>
      <sheetName val="내역(토목)"/>
      <sheetName val="#REF"/>
      <sheetName val="주공 갑지"/>
      <sheetName val="수량산출서"/>
      <sheetName val="원가계산"/>
      <sheetName val="원가계산 (2)"/>
      <sheetName val="간선토공재집"/>
      <sheetName val="지선토공재집"/>
      <sheetName val="2000전체분"/>
      <sheetName val="2000년1차"/>
      <sheetName val="물가시세"/>
      <sheetName val="노임단가"/>
      <sheetName val="가실행 내역서"/>
      <sheetName val="부대원내역(설비)"/>
      <sheetName val="실행내역"/>
      <sheetName val="일반부표"/>
      <sheetName val="Sheet6"/>
      <sheetName val="단가산출서 (2)"/>
      <sheetName val="단가산출서"/>
      <sheetName val="요율"/>
      <sheetName val="입찰"/>
      <sheetName val="현경"/>
      <sheetName val="70%"/>
      <sheetName val="견적공통"/>
      <sheetName val="s"/>
      <sheetName val="수량산출내역1115"/>
      <sheetName val="코드"/>
      <sheetName val="취수탑"/>
      <sheetName val="A-4"/>
      <sheetName val="설계"/>
      <sheetName val="원가계산서"/>
      <sheetName val="날개수량1.5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데리네이타현황"/>
      <sheetName val="설계예시"/>
      <sheetName val="제경비율"/>
      <sheetName val="분전함신설"/>
      <sheetName val="접지1종"/>
      <sheetName val="Total"/>
      <sheetName val="일위목록"/>
      <sheetName val="북제주원가"/>
      <sheetName val="내역갑지"/>
      <sheetName val="갈현동"/>
      <sheetName val="단가조사"/>
      <sheetName val="계수시트"/>
      <sheetName val="일위대가"/>
      <sheetName val="자판실행"/>
      <sheetName val="준검 내역서"/>
      <sheetName val="준공조서"/>
      <sheetName val="공사준공계"/>
      <sheetName val="준공검사보고서"/>
      <sheetName val="200"/>
      <sheetName val="건축내역"/>
      <sheetName val="Sheet17"/>
      <sheetName val="INPUT"/>
      <sheetName val="세부내역"/>
      <sheetName val="문학간접"/>
      <sheetName val="공정표(1차분)"/>
      <sheetName val="총괄내역서"/>
      <sheetName val="일위대가(계측기설치)"/>
      <sheetName val="내역"/>
      <sheetName val="DC-O-4-S(설명서)"/>
      <sheetName val="공종보고(총괄)0812,0901,2,3월"/>
      <sheetName val="공종보고(1차분)0812,0901,2,3월"/>
      <sheetName val="1호맨홀가감수량"/>
      <sheetName val="가시설(TYPE-A)"/>
      <sheetName val="1-1평균터파기고(1)"/>
      <sheetName val="1호맨홀수량산출"/>
      <sheetName val="표지세로"/>
      <sheetName val="EP0618"/>
      <sheetName val="SG"/>
      <sheetName val="Sheet1 (2)"/>
      <sheetName val="모래기초"/>
      <sheetName val="전익자재"/>
      <sheetName val="단가조정"/>
      <sheetName val="Sheet1"/>
      <sheetName val="수지표"/>
      <sheetName val="셀명"/>
      <sheetName val="토목주소"/>
      <sheetName val="간지"/>
      <sheetName val="수량산출"/>
      <sheetName val="IMPEADENCE MAP 취수장"/>
      <sheetName val="백호우계수"/>
      <sheetName val="99총공사내역서"/>
      <sheetName val="2002하반기노임기준"/>
      <sheetName val="소방"/>
      <sheetName val="도급"/>
      <sheetName val="직급인원"/>
      <sheetName val="총인원"/>
      <sheetName val="4.2유효폭의 계산"/>
      <sheetName val="대림경상68억"/>
      <sheetName val="공비대비"/>
      <sheetName val="별표 "/>
      <sheetName val="인건-측정"/>
      <sheetName val="BID"/>
      <sheetName val="토공사(흙막이)"/>
      <sheetName val="D"/>
      <sheetName val="청천내"/>
      <sheetName val="일 위 대 가 표 "/>
      <sheetName val="을"/>
      <sheetName val="시설물일위"/>
      <sheetName val="가설공사"/>
      <sheetName val="단가결정"/>
      <sheetName val="내역아"/>
      <sheetName val="울타리"/>
      <sheetName val="투찰"/>
      <sheetName val="대공종"/>
      <sheetName val="조직"/>
      <sheetName val="입찰안"/>
      <sheetName val="집계표"/>
      <sheetName val="일위대가 "/>
      <sheetName val="공사개요"/>
      <sheetName val="품셈TABLE"/>
      <sheetName val="인건비"/>
      <sheetName val="토공사"/>
      <sheetName val="단가 및 재료비"/>
      <sheetName val="중기사용료산출근거"/>
      <sheetName val="b_balju"/>
      <sheetName val="#2_일위대가목록"/>
      <sheetName val="도급당초내역"/>
      <sheetName val="견적을지"/>
      <sheetName val="중기가격"/>
      <sheetName val="5차설계"/>
      <sheetName val="단위수량"/>
      <sheetName val="나.건축"/>
      <sheetName val="갑지(추정)"/>
      <sheetName val="국내조달(통합-1)"/>
      <sheetName val="설 계"/>
      <sheetName val="재정비직인"/>
      <sheetName val="재정비내역"/>
      <sheetName val="지적고시내역"/>
      <sheetName val="업무분장 "/>
      <sheetName val="공통"/>
      <sheetName val="CC16-내역서"/>
      <sheetName val="수목단가"/>
      <sheetName val="시설수량표"/>
      <sheetName val="식재수량표"/>
      <sheetName val="자재단가"/>
      <sheetName val="단가산출1"/>
      <sheetName val="대로근거"/>
      <sheetName val="중로근거"/>
      <sheetName val="Sheet2"/>
      <sheetName val="1.1토목"/>
      <sheetName val="I一般比"/>
      <sheetName val="J直材4"/>
      <sheetName val="설직재-1"/>
      <sheetName val="N賃率-職"/>
      <sheetName val="기본일위"/>
      <sheetName val="집계"/>
      <sheetName val="내역서2안"/>
      <sheetName val="패널"/>
      <sheetName val="홍보비디오"/>
      <sheetName val="직노"/>
      <sheetName val="제직재"/>
      <sheetName val="대비표(토공1안)"/>
      <sheetName val="기초"/>
      <sheetName val="내역(전체)"/>
      <sheetName val="전체"/>
      <sheetName val="정보"/>
      <sheetName val="산출내역서"/>
      <sheetName val="건축일"/>
      <sheetName val="인사자료총집계"/>
      <sheetName val="감액총괄표"/>
      <sheetName val="9GNG운반"/>
      <sheetName val="옥외"/>
      <sheetName val="원가&amp;하도급원가"/>
      <sheetName val="노무비"/>
      <sheetName val="일위대가목록"/>
      <sheetName val="Macro1"/>
      <sheetName val="인원데이타"/>
      <sheetName val="공사착공계"/>
      <sheetName val="실행품의서"/>
      <sheetName val="실행철강하도"/>
      <sheetName val="금액"/>
      <sheetName val="22전선(P)"/>
      <sheetName val="22전선(L)"/>
      <sheetName val="22전선(R)"/>
      <sheetName val="관리,공감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가도공"/>
      <sheetName val="1~9 하중계산"/>
      <sheetName val="장비경비"/>
      <sheetName val="저"/>
      <sheetName val="58py"/>
      <sheetName val="장비종합부표"/>
      <sheetName val="집계표_식재"/>
      <sheetName val="부표"/>
      <sheetName val="건축내역서"/>
      <sheetName val="설비내역서"/>
      <sheetName val="전기내역서"/>
      <sheetName val="계산내역(설비)"/>
      <sheetName val="품셈표"/>
      <sheetName val="용소리교"/>
      <sheetName val="내역서 "/>
      <sheetName val="내역표지"/>
      <sheetName val="횡배수관토공수량"/>
      <sheetName val="소비자가"/>
      <sheetName val="6PILE  (돌출)"/>
      <sheetName val="양수장(기계)"/>
      <sheetName val="표지"/>
      <sheetName val="예가표"/>
      <sheetName val="날개벽"/>
      <sheetName val="토목(대안)"/>
      <sheetName val="설계실행투찰"/>
      <sheetName val="설계명세서"/>
      <sheetName val="정산내역"/>
      <sheetName val="노무,재료"/>
      <sheetName val="EJ"/>
      <sheetName val="COVER"/>
      <sheetName val="평3"/>
      <sheetName val="적용기준"/>
      <sheetName val="부대대비"/>
      <sheetName val="냉연집계"/>
      <sheetName val="기둥(원형)"/>
      <sheetName val="손익분석"/>
      <sheetName val="DATA"/>
      <sheetName val="SUB일위대가"/>
      <sheetName val="정렬"/>
      <sheetName val="const."/>
      <sheetName val="AS포장복구 "/>
      <sheetName val="수목데이타"/>
      <sheetName val="단가표"/>
      <sheetName val="단가 (2)"/>
      <sheetName val="6호기"/>
      <sheetName val="수량이동"/>
      <sheetName val="공통비(전체)"/>
      <sheetName val="내   역"/>
      <sheetName val="2경간"/>
      <sheetName val="위치조서"/>
      <sheetName val="총물량"/>
      <sheetName val="★도급내역"/>
      <sheetName val="일위대가(가설)"/>
      <sheetName val="1"/>
      <sheetName val="2"/>
      <sheetName val="3"/>
      <sheetName val="4"/>
      <sheetName val="5"/>
      <sheetName val="기초자료입력"/>
      <sheetName val="구천"/>
      <sheetName val="98NS-N"/>
      <sheetName val="공사비총괄표"/>
      <sheetName val="DATE"/>
      <sheetName val="벽체면적당일위대가"/>
      <sheetName val="교통대책내역"/>
      <sheetName val="기계공사"/>
      <sheetName val="조건표"/>
      <sheetName val="터파기및재료"/>
      <sheetName val="시중노임"/>
      <sheetName val="전계가"/>
      <sheetName val="기초일위"/>
      <sheetName val="CP-E2 (품셈표)"/>
      <sheetName val="CODE"/>
      <sheetName val="직공비"/>
      <sheetName val="일위산출"/>
      <sheetName val="1.우편집중내역서"/>
      <sheetName val="신축(단위)"/>
      <sheetName val="암거날개벽재료집계"/>
      <sheetName val="일반수량"/>
      <sheetName val="Baby일위대가"/>
      <sheetName val="전신환매도율"/>
      <sheetName val="CTEMCOST"/>
      <sheetName val="총괄표"/>
      <sheetName val="unit 4"/>
      <sheetName val="국공유지및사유지"/>
      <sheetName val="단가및재료비"/>
      <sheetName val="남양주댠가표"/>
      <sheetName val="3.공통공사대비"/>
      <sheetName val="6월매출"/>
      <sheetName val="Tabelle1"/>
      <sheetName val="기초부품"/>
      <sheetName val="다목적갑"/>
      <sheetName val="대차대조표"/>
      <sheetName val="부하"/>
      <sheetName val="Config"/>
      <sheetName val="Base"/>
      <sheetName val="MOTOR"/>
      <sheetName val="99노임기준"/>
      <sheetName val="3-4현"/>
      <sheetName val="예산조서"/>
      <sheetName val="서울대규장각(가시설흙막이)"/>
      <sheetName val="안전관리자급여명세표"/>
      <sheetName val="실행간접비용"/>
      <sheetName val="설명"/>
      <sheetName val="Front"/>
      <sheetName val="wall"/>
      <sheetName val="설계예산서(2_소천우회토목)"/>
      <sheetName val="개산공사비"/>
      <sheetName val="하중(대현10)"/>
      <sheetName val="VENT"/>
      <sheetName val="대치판정"/>
      <sheetName val="Sheet4"/>
      <sheetName val="Mc1"/>
      <sheetName val="예산"/>
      <sheetName val=" 견적서"/>
      <sheetName val="부대관련자료"/>
      <sheetName val="단중표"/>
      <sheetName val="차액보증"/>
      <sheetName val="간선총"/>
      <sheetName val="지선총"/>
      <sheetName val="콘_재료분리(1)"/>
      <sheetName val="옹벽철근"/>
      <sheetName val="지급자재"/>
      <sheetName val="세금계산서(입력)"/>
      <sheetName val="SALE"/>
      <sheetName val="자재목록표"/>
      <sheetName val="STAND20"/>
      <sheetName val="배선(낙차)"/>
      <sheetName val="104동"/>
      <sheetName val="증감대비"/>
      <sheetName val="총괄"/>
      <sheetName val="257A1"/>
      <sheetName val="직접비내역서"/>
      <sheetName val="경비"/>
      <sheetName val="22인공"/>
      <sheetName val="일위CODE"/>
      <sheetName val="사유서제출현황-2"/>
      <sheetName val="4)유동표"/>
      <sheetName val="기성검사원"/>
      <sheetName val="입력"/>
      <sheetName val="기성서류"/>
      <sheetName val="완료계"/>
      <sheetName val="기록대장"/>
      <sheetName val="기록대장 "/>
      <sheetName val="건축공사"/>
      <sheetName val="변경비교-을"/>
      <sheetName val="단위단가"/>
      <sheetName val="수로BOX"/>
      <sheetName val="예정공정-전체"/>
      <sheetName val="건축2"/>
      <sheetName val="INSTR"/>
      <sheetName val="가설공사 수량"/>
      <sheetName val="좌홍배수장토목"/>
      <sheetName val="배수로총"/>
      <sheetName val="평야부총괄표"/>
      <sheetName val="배수장총괄표"/>
      <sheetName val="설계예산서"/>
      <sheetName val="단가산출"/>
      <sheetName val="금액내역서"/>
      <sheetName val="설계변경 (2)"/>
      <sheetName val="내역작성"/>
      <sheetName val="Sheet5"/>
      <sheetName val="설비적용원가계산"/>
      <sheetName val="교량공"/>
      <sheetName val="1호맨홀토공"/>
      <sheetName val="흄관기초"/>
      <sheetName val="준공정산"/>
      <sheetName val="소요자재명세서"/>
      <sheetName val="노무비명세서"/>
      <sheetName val="Y-WORK"/>
      <sheetName val="공내역"/>
      <sheetName val="기본단가표"/>
      <sheetName val="1,2공구원가계산서"/>
      <sheetName val="2공구산출내역"/>
      <sheetName val="1공구산출내역서"/>
      <sheetName val="일위"/>
      <sheetName val="재"/>
      <sheetName val="교대일반수량"/>
      <sheetName val="tong du toan"/>
      <sheetName val="경비_원본"/>
      <sheetName val="미드수량"/>
      <sheetName val="L_RPTB02_01"/>
      <sheetName val="현장현황"/>
      <sheetName val="일위집계"/>
      <sheetName val="cal"/>
      <sheetName val="견적서"/>
      <sheetName val="을지"/>
      <sheetName val="설비_(2)"/>
      <sheetName val="토목_(2)"/>
      <sheetName val="건축_(2)"/>
      <sheetName val="공사비"/>
      <sheetName val="최종내역"/>
      <sheetName val="EQUIPMENT -2"/>
      <sheetName val="장비가동"/>
      <sheetName val="카렌스센터계량기설치공사"/>
      <sheetName val="공사대금 지불현황"/>
      <sheetName val="메라"/>
      <sheetName val="D-3109"/>
      <sheetName val="사리부설"/>
      <sheetName val="총괄변경내역서"/>
      <sheetName val="중기일위대가"/>
      <sheetName val="아파트건축"/>
      <sheetName val="관급"/>
      <sheetName val="노무비계"/>
      <sheetName val="A"/>
      <sheetName val="마산월령동골조물량변경"/>
      <sheetName val="보합"/>
      <sheetName val="510동"/>
      <sheetName val="511동"/>
      <sheetName val="512동"/>
      <sheetName val="502동"/>
      <sheetName val="503동"/>
      <sheetName val="504동"/>
      <sheetName val="505동"/>
      <sheetName val="506동"/>
      <sheetName val="507동"/>
      <sheetName val="508동"/>
      <sheetName val="509동"/>
      <sheetName val="설계서"/>
      <sheetName val="건축총괄"/>
      <sheetName val="일위_파일"/>
      <sheetName val="공통가설"/>
      <sheetName val="결과1"/>
      <sheetName val="구확승인"/>
      <sheetName val="b_balju_cho"/>
      <sheetName val="원가계산하도"/>
      <sheetName val="화해(함평)"/>
      <sheetName val="화해(장성)"/>
      <sheetName val="DATA1"/>
      <sheetName val="표지 (2)"/>
      <sheetName val="45,46"/>
      <sheetName val="예산내역서"/>
      <sheetName val="2.펌프장(사급자재)"/>
      <sheetName val="플랜트 설치"/>
      <sheetName val="자재단가비교표"/>
      <sheetName val="그림"/>
      <sheetName val="구성1"/>
      <sheetName val="구성2"/>
      <sheetName val="구성3"/>
      <sheetName val="구성4"/>
      <sheetName val="그림2"/>
      <sheetName val="직재"/>
      <sheetName val="재집"/>
      <sheetName val="단위중량"/>
      <sheetName val="원가계산(토목)"/>
      <sheetName val="부속동"/>
      <sheetName val="총원가계산서(요율)"/>
      <sheetName val="견"/>
      <sheetName val="부하(성남)"/>
      <sheetName val="원가계산(2)"/>
      <sheetName val="부대내역"/>
      <sheetName val="정화조방수미장"/>
      <sheetName val="합의경상"/>
      <sheetName val="기구조직"/>
      <sheetName val="건축토목내역"/>
      <sheetName val="슬래브(PF)(하류)"/>
      <sheetName val="중기산출근거기초"/>
      <sheetName val="BSD (2)"/>
      <sheetName val="장비비"/>
      <sheetName val="10동"/>
      <sheetName val="심사"/>
      <sheetName val="JUCKEYK"/>
      <sheetName val="실행기고및 투입현황(총괄)"/>
      <sheetName val="의왕내역"/>
      <sheetName val="점수계산1-2"/>
      <sheetName val="주방환기"/>
      <sheetName val="철집"/>
      <sheetName val="설계조건"/>
      <sheetName val="평교-내역"/>
      <sheetName val="안정검토(온1)"/>
      <sheetName val="제경비"/>
      <sheetName val="목차"/>
      <sheetName val="통신물량"/>
      <sheetName val="노무비 근거"/>
      <sheetName val="정부노임단가"/>
      <sheetName val="날개벽수량표"/>
      <sheetName val="일위대가표"/>
      <sheetName val="투찰가"/>
      <sheetName val="일위대가(건축)"/>
      <sheetName val="1월"/>
      <sheetName val="경비예산累计(对外招待费)"/>
      <sheetName val="현금"/>
      <sheetName val="신부서코드"/>
      <sheetName val="밸브설치"/>
      <sheetName val="토목내역서 (도급단가)"/>
      <sheetName val="CON'C"/>
      <sheetName val="통장출금액"/>
      <sheetName val="이름정의"/>
      <sheetName val="전기"/>
      <sheetName val="일위대가표(관로)"/>
      <sheetName val="전체공사"/>
      <sheetName val="DATA입력"/>
      <sheetName val="산출"/>
      <sheetName val="적용대가 및 비목군"/>
      <sheetName val="복구경비"/>
      <sheetName val="하부철근수량"/>
      <sheetName val="차선도색현황"/>
      <sheetName val="static.cal"/>
      <sheetName val="말고개터널조명전압강하"/>
      <sheetName val="예총"/>
      <sheetName val="기본"/>
      <sheetName val="별표집계"/>
      <sheetName val="중기손료"/>
      <sheetName val="ABUT수량-A1"/>
      <sheetName val="O＆P"/>
      <sheetName val="지구단위계획"/>
      <sheetName val="인원계획"/>
      <sheetName val="사원등록"/>
      <sheetName val="호봉 (2)"/>
      <sheetName val="오억미만"/>
      <sheetName val="초기화면"/>
      <sheetName val="자재단가조사표-수목"/>
      <sheetName val="정의"/>
      <sheetName val="계약내역(2)"/>
      <sheetName val="토공집계"/>
      <sheetName val="공사비예산서(토목분)"/>
      <sheetName val="2차변경"/>
      <sheetName val="총괄서"/>
      <sheetName val="Tool"/>
      <sheetName val="1.수인터널"/>
      <sheetName val="간접비계산"/>
      <sheetName val="조명시설"/>
      <sheetName val="준공조서갑지"/>
      <sheetName val="배수"/>
      <sheetName val="도근좌표"/>
      <sheetName val="전기공사일위대가"/>
      <sheetName val="편성절차"/>
      <sheetName val="기초일위대가"/>
      <sheetName val="식재일위대가"/>
      <sheetName val="단가대비표"/>
      <sheetName val="단위세대물량"/>
      <sheetName val="잡비계산"/>
      <sheetName val="(갑)"/>
      <sheetName val="보할최종(준공)only"/>
      <sheetName val="C3"/>
      <sheetName val="자료"/>
      <sheetName val="EACT10"/>
      <sheetName val="부안일위"/>
      <sheetName val="장비집계"/>
      <sheetName val="기성2"/>
      <sheetName val="CHITIET VL-NC"/>
      <sheetName val="DON GIA"/>
      <sheetName val="fursys"/>
      <sheetName val=" HIT-&gt;HMC 견적(3900)"/>
      <sheetName val="철거집계"/>
      <sheetName val="예산명세서"/>
      <sheetName val="수문일1"/>
      <sheetName val="부영5블럭-1"/>
      <sheetName val="Sheet3"/>
      <sheetName val="물가자료"/>
      <sheetName val="MACRO1.XLM"/>
      <sheetName val="산출0"/>
      <sheetName val="제경비요율"/>
      <sheetName val="전선관"/>
      <sheetName val="산출근거"/>
      <sheetName val="대전-교대(A1-A2)"/>
      <sheetName val="약품설비"/>
      <sheetName val="관로토공집계표"/>
      <sheetName val="주공_갑지"/>
      <sheetName val="원가계산_(2)"/>
      <sheetName val="단가산출서_(2)"/>
      <sheetName val="날개수량1_5"/>
      <sheetName val="6PILE__(돌출)"/>
      <sheetName val="4_2유효폭의_계산"/>
      <sheetName val="T13(P68~72,78)"/>
      <sheetName val="배수공"/>
      <sheetName val="최초설계"/>
      <sheetName val="가정조건"/>
      <sheetName val="토공(우물통,기타) "/>
      <sheetName val="10공구일위"/>
      <sheetName val="내역(중앙)"/>
      <sheetName val="내역(창신)"/>
      <sheetName val="품셈"/>
      <sheetName val="일위단가"/>
      <sheetName val="아파트_9"/>
      <sheetName val="일위대가목차"/>
      <sheetName val="물가대비표"/>
      <sheetName val="시설물기초"/>
      <sheetName val="사용자일위"/>
      <sheetName val="6동"/>
      <sheetName val="G.R300경비"/>
      <sheetName val="010101"/>
      <sheetName val="원형1호맨홀토공수량"/>
      <sheetName val="전기혼잡제경비(45)"/>
      <sheetName val="기성갑지"/>
      <sheetName val="적심사표"/>
      <sheetName val="설_계"/>
      <sheetName val="일_위_대_가_표_"/>
      <sheetName val="단가_및_재료비"/>
      <sheetName val="Sheet1_(2)"/>
      <sheetName val="1_1토목"/>
      <sheetName val="가실행_내역서"/>
      <sheetName val="준검_내역서"/>
      <sheetName val="나_건축"/>
      <sheetName val="기록대장_"/>
      <sheetName val="1~9_하중계산"/>
      <sheetName val="IMPEADENCE_MAP_취수장"/>
      <sheetName val="내역서_"/>
      <sheetName val="업무분장_"/>
      <sheetName val="표지_(2)"/>
      <sheetName val="가설공사_수량"/>
      <sheetName val="3_공통공사대비"/>
      <sheetName val="일위대가_"/>
      <sheetName val="설계변경_(2)"/>
      <sheetName val="1_우편집중내역서"/>
      <sheetName val="const_"/>
      <sheetName val="단가_(2)"/>
      <sheetName val="AS포장복구_"/>
      <sheetName val="장비용량표"/>
      <sheetName val="경지횡단복구"/>
      <sheetName val="내역1"/>
      <sheetName val="예산산출"/>
      <sheetName val="후관동"/>
      <sheetName val="운영3과"/>
      <sheetName val="운영1과"/>
      <sheetName val="1호맨홀자연토공"/>
      <sheetName val="삭제내역1차"/>
      <sheetName val="토공(완충)"/>
      <sheetName val="감녹제"/>
      <sheetName val="강산제"/>
      <sheetName val="검산제"/>
      <sheetName val="교산제"/>
      <sheetName val="구룡제"/>
      <sheetName val="구산제"/>
      <sheetName val="구정제"/>
      <sheetName val="궁천대죽제"/>
      <sheetName val="남계제"/>
      <sheetName val="남봉제"/>
      <sheetName val="내구제"/>
      <sheetName val="대성제"/>
      <sheetName val="대촌제"/>
      <sheetName val="도덕제"/>
      <sheetName val="동계제"/>
      <sheetName val="동복제"/>
      <sheetName val="망월제"/>
      <sheetName val="목사동제"/>
      <sheetName val="목천제"/>
      <sheetName val="병암제"/>
      <sheetName val="병영제"/>
      <sheetName val="봉냉제"/>
      <sheetName val="사천상류"/>
      <sheetName val="사천하류"/>
      <sheetName val="산호제"/>
      <sheetName val="삼천제"/>
      <sheetName val="석곡제"/>
      <sheetName val="선동제"/>
      <sheetName val="선암제"/>
      <sheetName val="기타현황"/>
      <sheetName val="소양제"/>
      <sheetName val="송림제"/>
      <sheetName val="송풍제"/>
      <sheetName val="쌍치제"/>
      <sheetName val="영산강보축"/>
      <sheetName val="옥정제"/>
      <sheetName val="왕궁제"/>
      <sheetName val="용호제"/>
      <sheetName val="유치제"/>
      <sheetName val="작천제"/>
      <sheetName val="장동당호제"/>
      <sheetName val="장평제"/>
      <sheetName val="적동동삼제"/>
      <sheetName val="죽곡제"/>
      <sheetName val="죽산제"/>
      <sheetName val="지산제"/>
      <sheetName val="지석천"/>
      <sheetName val="창평제"/>
      <sheetName val="천호제"/>
      <sheetName val="팔덕제"/>
      <sheetName val="평지제"/>
      <sheetName val="홍정제"/>
      <sheetName val="회문제"/>
      <sheetName val="추가예산"/>
      <sheetName val="연동내역"/>
      <sheetName val="구분표"/>
      <sheetName val="제원입력"/>
      <sheetName val="갈집"/>
      <sheetName val="낙석방지망"/>
      <sheetName val="낙석집"/>
      <sheetName val="부대집"/>
      <sheetName val="표지집"/>
      <sheetName val="건축-물가변동"/>
      <sheetName val="일위(시설)"/>
      <sheetName val="예산내역서(총괄)"/>
      <sheetName val="공제대산출"/>
      <sheetName val="sw1"/>
      <sheetName val="NOMUBI"/>
      <sheetName val="터널조도"/>
      <sheetName val="본공사"/>
      <sheetName val="쌍송교"/>
      <sheetName val="값"/>
      <sheetName val="구간별"/>
      <sheetName val="수리결과"/>
      <sheetName val="TOWER 10TON"/>
      <sheetName val="사업성분석"/>
      <sheetName val="48평단가"/>
      <sheetName val="57단가"/>
      <sheetName val="54평단가"/>
      <sheetName val="66평단가"/>
      <sheetName val="61단가"/>
      <sheetName val="89평단가"/>
      <sheetName val="84평단가"/>
      <sheetName val="단가산출2"/>
      <sheetName val="관공일위대가"/>
      <sheetName val="저리조양"/>
      <sheetName val="하도계약변경 (2)"/>
      <sheetName val="부대공자재집계표"/>
      <sheetName val="가시설"/>
      <sheetName val="11공사비요율"/>
      <sheetName val="날개벽(시점좌측)"/>
      <sheetName val="전기변내역"/>
      <sheetName val="세부내역서"/>
      <sheetName val="1안"/>
      <sheetName val="입상내역"/>
      <sheetName val="단가산출(T)"/>
      <sheetName val="적격점수&lt;300억미만&gt;"/>
      <sheetName val="Application_Branch"/>
      <sheetName val="안양건축"/>
      <sheetName val="우수받이"/>
      <sheetName val="(10) 단가산출결과"/>
      <sheetName val="수원공사비"/>
      <sheetName val="경영계획1월"/>
      <sheetName val="총괄내역"/>
      <sheetName val="추천서"/>
      <sheetName val="보상"/>
      <sheetName val="Requirement(Work Crew)"/>
      <sheetName val="견적조건"/>
      <sheetName val="약품공급2"/>
      <sheetName val="AHU집계"/>
      <sheetName val="공조기휀"/>
      <sheetName val="공조기"/>
      <sheetName val="토공집계표"/>
      <sheetName val="1단계"/>
      <sheetName val="원가계산(도급기성)"/>
      <sheetName val="일위대가서식"/>
      <sheetName val="가스내역"/>
      <sheetName val="일별"/>
      <sheetName val="공사설명서"/>
      <sheetName val="６공예"/>
      <sheetName val="공예율"/>
      <sheetName val="품 (2)"/>
      <sheetName val="공예6"/>
      <sheetName val="주상복합실비산출"/>
      <sheetName val="주상복합"/>
      <sheetName val="김포IO"/>
      <sheetName val="일지-H"/>
      <sheetName val="약전닥트"/>
      <sheetName val="FD"/>
      <sheetName val="건축부하"/>
      <sheetName val="FA설치명세"/>
      <sheetName val="처리단락"/>
      <sheetName val="99관저"/>
      <sheetName val="LD"/>
      <sheetName val="견적"/>
      <sheetName val="실행"/>
      <sheetName val="table"/>
      <sheetName val="내역서(설비+소방)"/>
      <sheetName val="여과지동"/>
      <sheetName val="기초자료"/>
      <sheetName val="2월분"/>
      <sheetName val="청산공사"/>
      <sheetName val="시화점실행"/>
      <sheetName val="단면가정"/>
      <sheetName val="원가"/>
      <sheetName val="집수정(600-700)"/>
      <sheetName val="노임이"/>
      <sheetName val="메인홀전기"/>
      <sheetName val="신표지1"/>
      <sheetName val="요"/>
      <sheetName val="401"/>
      <sheetName val="가설공사내역"/>
      <sheetName val="창호"/>
      <sheetName val="자재 집계표"/>
      <sheetName val="DATA테이블1 (2)"/>
      <sheetName val="도급양식"/>
      <sheetName val="문화가격표"/>
      <sheetName val="취합표"/>
      <sheetName val="St-B"/>
      <sheetName val="(1)본선수량집계"/>
      <sheetName val="경상직원"/>
      <sheetName val="경율산정.XLS"/>
      <sheetName val="1차증가원가계산"/>
      <sheetName val="COPING"/>
      <sheetName val="투입"/>
      <sheetName val="별표"/>
      <sheetName val="자재조사표"/>
      <sheetName val="CPM챠트 "/>
      <sheetName val="신규일위"/>
      <sheetName val="구조해석"/>
      <sheetName val="산출서"/>
      <sheetName val="사업분석"/>
      <sheetName val="20_10_100"/>
      <sheetName val="기계경비일람"/>
      <sheetName val="반월시설물집계"/>
      <sheetName val="입고장부 (4)"/>
      <sheetName val="콘크리트포장수량산출1"/>
      <sheetName val="외주"/>
      <sheetName val="공문"/>
      <sheetName val="하도급내역"/>
      <sheetName val="토목내역서"/>
      <sheetName val="판매시설"/>
      <sheetName val="이름표"/>
      <sheetName val="gyun"/>
      <sheetName val="건축원가"/>
      <sheetName val="유리"/>
      <sheetName val="한전일위"/>
      <sheetName val="설계가"/>
      <sheetName val="총괄집계표"/>
      <sheetName val="백룡교차로"/>
      <sheetName val="산정교차로"/>
      <sheetName val="신영교차로"/>
      <sheetName val="공통산출근거"/>
      <sheetName val="적현로"/>
      <sheetName val="PROJECT BRIEF(EX.NEW)"/>
      <sheetName val="일위대가-1"/>
      <sheetName val="신청서"/>
      <sheetName val="프랜트면허"/>
      <sheetName val="갱문및옹벽집계"/>
      <sheetName val="우각부보강"/>
      <sheetName val="가설공사비"/>
      <sheetName val="도로구조공사비"/>
      <sheetName val="도로토공공사비"/>
      <sheetName val="여수토공사비"/>
      <sheetName val="간접비"/>
      <sheetName val="시행후면적"/>
      <sheetName val="수지예산"/>
      <sheetName val="기본사항"/>
      <sheetName val="환산"/>
      <sheetName val="토사(PE)"/>
      <sheetName val="암거단위"/>
      <sheetName val="횡 연장"/>
      <sheetName val="식생블럭단위수량"/>
      <sheetName val="기타 정보통신공사"/>
    </sheetNames>
    <sheetDataSet>
      <sheetData sheetId="0">
        <row r="2">
          <cell r="AB2" t="str">
            <v>공사명 : 한국애니메이션고등학교 신축공사</v>
          </cell>
        </row>
      </sheetData>
      <sheetData sheetId="1"/>
      <sheetData sheetId="2"/>
      <sheetData sheetId="3"/>
      <sheetData sheetId="4"/>
      <sheetData sheetId="5">
        <row r="2">
          <cell r="AB2" t="str">
            <v>공사명 : 한국애니메이션고등학교 신축공사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 t="str">
            <v>(단위:원)</v>
          </cell>
        </row>
        <row r="3">
          <cell r="D3" t="str">
            <v>항  목  별</v>
          </cell>
          <cell r="F3" t="str">
            <v xml:space="preserve">자   재   비 </v>
          </cell>
          <cell r="G3" t="str">
            <v>노    무    비</v>
          </cell>
          <cell r="H3" t="str">
            <v>경         비</v>
          </cell>
          <cell r="I3" t="str">
            <v>합         계</v>
          </cell>
          <cell r="J3" t="str">
            <v>금    액</v>
          </cell>
          <cell r="L3" t="str">
            <v>비    고</v>
          </cell>
          <cell r="AB3" t="str">
            <v>항  목  별</v>
          </cell>
          <cell r="AC3">
            <v>0</v>
          </cell>
          <cell r="AD3" t="str">
            <v>교사동</v>
          </cell>
          <cell r="AE3" t="str">
            <v>교사동</v>
          </cell>
          <cell r="AF3" t="str">
            <v>교사동</v>
          </cell>
          <cell r="AG3" t="str">
            <v>교사동</v>
          </cell>
          <cell r="AH3" t="str">
            <v>다목적실</v>
          </cell>
          <cell r="AI3" t="str">
            <v>다목적실</v>
          </cell>
          <cell r="AJ3" t="str">
            <v>다목적실</v>
          </cell>
          <cell r="AK3" t="str">
            <v>다목적실</v>
          </cell>
          <cell r="AL3" t="str">
            <v>본관개축</v>
          </cell>
          <cell r="AM3" t="str">
            <v>본관개축</v>
          </cell>
          <cell r="AN3" t="str">
            <v>본관개축</v>
          </cell>
          <cell r="AO3" t="str">
            <v>본관개축</v>
          </cell>
          <cell r="AP3" t="str">
            <v>금  액</v>
          </cell>
          <cell r="AQ3" t="str">
            <v>단위</v>
          </cell>
          <cell r="AR3" t="str">
            <v>비    고</v>
          </cell>
        </row>
        <row r="4">
          <cell r="F4" t="str">
            <v>금    액</v>
          </cell>
          <cell r="G4" t="str">
            <v>금    액</v>
          </cell>
          <cell r="H4" t="str">
            <v>금    액</v>
          </cell>
          <cell r="I4" t="str">
            <v>단 가</v>
          </cell>
          <cell r="AB4">
            <v>0</v>
          </cell>
          <cell r="AC4" t="str">
            <v>13 금속공사</v>
          </cell>
          <cell r="AD4" t="str">
            <v>재료비</v>
          </cell>
          <cell r="AE4" t="str">
            <v>노무비</v>
          </cell>
          <cell r="AF4" t="str">
            <v>경비</v>
          </cell>
          <cell r="AG4" t="str">
            <v>금    액</v>
          </cell>
          <cell r="AH4" t="str">
            <v>재료비</v>
          </cell>
          <cell r="AI4" t="str">
            <v>노무비</v>
          </cell>
          <cell r="AJ4" t="str">
            <v>경비</v>
          </cell>
          <cell r="AK4" t="str">
            <v>금    액</v>
          </cell>
          <cell r="AL4" t="str">
            <v>재료비</v>
          </cell>
          <cell r="AM4" t="str">
            <v>노무비</v>
          </cell>
          <cell r="AN4" t="str">
            <v>경비</v>
          </cell>
          <cell r="AO4" t="str">
            <v>금    액</v>
          </cell>
        </row>
        <row r="5">
          <cell r="AD5" t="str">
            <v>재료비</v>
          </cell>
          <cell r="AE5" t="str">
            <v>노무비</v>
          </cell>
          <cell r="AF5" t="str">
            <v>경비</v>
          </cell>
          <cell r="AG5" t="str">
            <v>금    액</v>
          </cell>
          <cell r="AH5" t="str">
            <v>재료비</v>
          </cell>
          <cell r="AI5" t="str">
            <v>노무비</v>
          </cell>
          <cell r="AJ5" t="str">
            <v>경비</v>
          </cell>
          <cell r="AK5" t="str">
            <v>금    액</v>
          </cell>
          <cell r="AL5" t="str">
            <v>재료비</v>
          </cell>
          <cell r="AM5" t="str">
            <v>노무비</v>
          </cell>
          <cell r="AN5" t="str">
            <v>경비</v>
          </cell>
          <cell r="AO5" t="str">
            <v>금    액</v>
          </cell>
        </row>
        <row r="6">
          <cell r="D6" t="str">
            <v xml:space="preserve">  1.공종별합계</v>
          </cell>
          <cell r="F6">
            <v>0</v>
          </cell>
          <cell r="G6">
            <v>0</v>
          </cell>
          <cell r="H6">
            <v>0</v>
          </cell>
          <cell r="J6">
            <v>0</v>
          </cell>
          <cell r="K6" t="str">
            <v>원</v>
          </cell>
          <cell r="L6" t="str">
            <v xml:space="preserve">※ 좌측란의 금액은 재료비+직접노무비+산출경비를 </v>
          </cell>
          <cell r="AB6" t="str">
            <v xml:space="preserve">  1.공종별합계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5700349443</v>
          </cell>
          <cell r="AQ6" t="str">
            <v>원</v>
          </cell>
          <cell r="AR6" t="str">
            <v xml:space="preserve">※ 좌측란의 금액은 재료비+직접노무비+산출경비를 </v>
          </cell>
        </row>
        <row r="7">
          <cell r="E7" t="str">
            <v>가.건축공사</v>
          </cell>
          <cell r="L7" t="str">
            <v xml:space="preserve">     합산한 금액임.</v>
          </cell>
          <cell r="AB7">
            <v>0</v>
          </cell>
          <cell r="AC7" t="str">
            <v>가.건축공사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 t="str">
            <v xml:space="preserve">     합산한 금액임.</v>
          </cell>
        </row>
        <row r="8">
          <cell r="E8" t="str">
            <v>01 공 통 가 설 공 사</v>
          </cell>
          <cell r="J8">
            <v>0</v>
          </cell>
          <cell r="AB8">
            <v>0</v>
          </cell>
          <cell r="AC8" t="str">
            <v>01 공통가설공사</v>
          </cell>
          <cell r="AD8">
            <v>2731827</v>
          </cell>
          <cell r="AE8">
            <v>6389541</v>
          </cell>
          <cell r="AF8">
            <v>20590751</v>
          </cell>
          <cell r="AG8">
            <v>29712119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29712119</v>
          </cell>
          <cell r="AQ8" t="str">
            <v>원</v>
          </cell>
        </row>
        <row r="9">
          <cell r="E9" t="str">
            <v>02 가  설  공  사</v>
          </cell>
          <cell r="J9">
            <v>0</v>
          </cell>
          <cell r="K9" t="str">
            <v>원</v>
          </cell>
          <cell r="L9" t="str">
            <v>※ 각동별 공종별 합계금액을 표시.</v>
          </cell>
          <cell r="AB9">
            <v>0</v>
          </cell>
          <cell r="AC9" t="str">
            <v>02 가설공사</v>
          </cell>
          <cell r="AD9">
            <v>23570253</v>
          </cell>
          <cell r="AE9">
            <v>169770133</v>
          </cell>
          <cell r="AF9">
            <v>0</v>
          </cell>
          <cell r="AG9">
            <v>193340386</v>
          </cell>
          <cell r="AH9">
            <v>4580504</v>
          </cell>
          <cell r="AI9">
            <v>31737335</v>
          </cell>
          <cell r="AJ9">
            <v>0</v>
          </cell>
          <cell r="AK9">
            <v>36317839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229658225</v>
          </cell>
          <cell r="AQ9" t="str">
            <v>원</v>
          </cell>
          <cell r="AR9" t="str">
            <v>※ 각동별 공종별 합계금액을 표시.</v>
          </cell>
        </row>
        <row r="10">
          <cell r="E10" t="str">
            <v xml:space="preserve">03 토   공   사 </v>
          </cell>
          <cell r="J10">
            <v>0</v>
          </cell>
          <cell r="K10" t="str">
            <v>원</v>
          </cell>
          <cell r="AB10">
            <v>0</v>
          </cell>
          <cell r="AC10" t="str">
            <v>03 토공사</v>
          </cell>
          <cell r="AD10">
            <v>7362273</v>
          </cell>
          <cell r="AE10">
            <v>11004026</v>
          </cell>
          <cell r="AF10">
            <v>12528209</v>
          </cell>
          <cell r="AG10">
            <v>30894508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34596</v>
          </cell>
          <cell r="AM10">
            <v>81141</v>
          </cell>
          <cell r="AN10">
            <v>67311</v>
          </cell>
          <cell r="AO10">
            <v>183048</v>
          </cell>
          <cell r="AP10">
            <v>31077556</v>
          </cell>
          <cell r="AQ10" t="str">
            <v>원</v>
          </cell>
        </row>
        <row r="11">
          <cell r="E11" t="str">
            <v>04 철근콘크리트공사</v>
          </cell>
          <cell r="J11">
            <v>0</v>
          </cell>
          <cell r="K11" t="str">
            <v>원</v>
          </cell>
          <cell r="AB11">
            <v>0</v>
          </cell>
          <cell r="AC11" t="str">
            <v>04 흙막이및 토공사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11636379</v>
          </cell>
          <cell r="AI11">
            <v>20237015</v>
          </cell>
          <cell r="AJ11">
            <v>14333004</v>
          </cell>
          <cell r="AK11">
            <v>46206398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46206398</v>
          </cell>
          <cell r="AQ11" t="str">
            <v>원</v>
          </cell>
        </row>
        <row r="12">
          <cell r="E12" t="str">
            <v>05 조  적  공  사</v>
          </cell>
          <cell r="J12">
            <v>0</v>
          </cell>
          <cell r="K12" t="str">
            <v>원</v>
          </cell>
          <cell r="AB12">
            <v>0</v>
          </cell>
          <cell r="AC12" t="str">
            <v>05 철근콘크리트공사</v>
          </cell>
          <cell r="AD12">
            <v>78807364</v>
          </cell>
          <cell r="AE12">
            <v>452181675</v>
          </cell>
          <cell r="AF12">
            <v>23855486</v>
          </cell>
          <cell r="AG12">
            <v>554844525</v>
          </cell>
          <cell r="AH12">
            <v>34890901</v>
          </cell>
          <cell r="AI12">
            <v>188940786</v>
          </cell>
          <cell r="AJ12">
            <v>7347816</v>
          </cell>
          <cell r="AK12">
            <v>231179503</v>
          </cell>
          <cell r="AL12">
            <v>607710</v>
          </cell>
          <cell r="AM12">
            <v>2118294</v>
          </cell>
          <cell r="AN12">
            <v>113188</v>
          </cell>
          <cell r="AO12">
            <v>2839192</v>
          </cell>
          <cell r="AP12">
            <v>788863220</v>
          </cell>
          <cell r="AQ12" t="str">
            <v>원</v>
          </cell>
        </row>
        <row r="13">
          <cell r="E13" t="str">
            <v>06 철 골 공 사</v>
          </cell>
          <cell r="J13">
            <v>0</v>
          </cell>
          <cell r="K13" t="str">
            <v>원</v>
          </cell>
          <cell r="AB13">
            <v>0</v>
          </cell>
          <cell r="AC13" t="str">
            <v>06 철골공사</v>
          </cell>
          <cell r="AD13">
            <v>85988808</v>
          </cell>
          <cell r="AE13">
            <v>38048970</v>
          </cell>
          <cell r="AF13">
            <v>2650080</v>
          </cell>
          <cell r="AG13">
            <v>126687858</v>
          </cell>
          <cell r="AH13">
            <v>4059510</v>
          </cell>
          <cell r="AI13">
            <v>4681598</v>
          </cell>
          <cell r="AJ13">
            <v>425596</v>
          </cell>
          <cell r="AK13">
            <v>9166704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135854562</v>
          </cell>
          <cell r="AQ13" t="str">
            <v>원</v>
          </cell>
        </row>
        <row r="14">
          <cell r="E14" t="str">
            <v>07 방  수  공  사</v>
          </cell>
          <cell r="J14">
            <v>0</v>
          </cell>
          <cell r="K14" t="str">
            <v>원</v>
          </cell>
          <cell r="AB14">
            <v>0</v>
          </cell>
          <cell r="AC14" t="str">
            <v>07 조적공사</v>
          </cell>
          <cell r="AD14">
            <v>97761353</v>
          </cell>
          <cell r="AE14">
            <v>128658792</v>
          </cell>
          <cell r="AF14">
            <v>0</v>
          </cell>
          <cell r="AG14">
            <v>226420145</v>
          </cell>
          <cell r="AH14">
            <v>4837032</v>
          </cell>
          <cell r="AI14">
            <v>16251228</v>
          </cell>
          <cell r="AJ14">
            <v>0</v>
          </cell>
          <cell r="AK14">
            <v>21088260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247508405</v>
          </cell>
          <cell r="AQ14" t="str">
            <v>원</v>
          </cell>
        </row>
        <row r="15">
          <cell r="E15" t="str">
            <v>08 타  일  공  사</v>
          </cell>
          <cell r="J15">
            <v>0</v>
          </cell>
          <cell r="K15" t="str">
            <v>원</v>
          </cell>
          <cell r="AB15">
            <v>0</v>
          </cell>
          <cell r="AC15" t="str">
            <v>08 방수공사</v>
          </cell>
          <cell r="AD15">
            <v>19407277</v>
          </cell>
          <cell r="AE15">
            <v>70581909</v>
          </cell>
          <cell r="AF15">
            <v>0</v>
          </cell>
          <cell r="AG15">
            <v>89989186</v>
          </cell>
          <cell r="AH15">
            <v>7924562</v>
          </cell>
          <cell r="AI15">
            <v>35492672</v>
          </cell>
          <cell r="AJ15">
            <v>0</v>
          </cell>
          <cell r="AK15">
            <v>43417234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133406420</v>
          </cell>
          <cell r="AQ15" t="str">
            <v>원</v>
          </cell>
        </row>
        <row r="16">
          <cell r="E16" t="str">
            <v xml:space="preserve">09 석   공   사 </v>
          </cell>
          <cell r="J16">
            <v>0</v>
          </cell>
          <cell r="K16" t="str">
            <v>원</v>
          </cell>
          <cell r="AB16">
            <v>0</v>
          </cell>
          <cell r="AC16" t="str">
            <v xml:space="preserve">09 타일공사 </v>
          </cell>
          <cell r="AD16">
            <v>16066959</v>
          </cell>
          <cell r="AE16">
            <v>12595675</v>
          </cell>
          <cell r="AF16">
            <v>0</v>
          </cell>
          <cell r="AG16">
            <v>28662634</v>
          </cell>
          <cell r="AH16">
            <v>10984933</v>
          </cell>
          <cell r="AI16">
            <v>8914421</v>
          </cell>
          <cell r="AJ16">
            <v>0</v>
          </cell>
          <cell r="AK16">
            <v>19899354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48561988</v>
          </cell>
          <cell r="AQ16" t="str">
            <v>원</v>
          </cell>
        </row>
        <row r="17">
          <cell r="E17" t="str">
            <v>10 금  속  공  사</v>
          </cell>
          <cell r="J17">
            <v>0</v>
          </cell>
          <cell r="K17" t="str">
            <v>원</v>
          </cell>
          <cell r="AB17">
            <v>0</v>
          </cell>
          <cell r="AC17" t="str">
            <v>10 석공사</v>
          </cell>
          <cell r="AD17">
            <v>49053357</v>
          </cell>
          <cell r="AE17">
            <v>50919676</v>
          </cell>
          <cell r="AF17">
            <v>0</v>
          </cell>
          <cell r="AG17">
            <v>99973033</v>
          </cell>
          <cell r="AH17">
            <v>7417414</v>
          </cell>
          <cell r="AI17">
            <v>5123054</v>
          </cell>
          <cell r="AJ17">
            <v>0</v>
          </cell>
          <cell r="AK17">
            <v>12540468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112513501</v>
          </cell>
          <cell r="AQ17" t="str">
            <v>원</v>
          </cell>
        </row>
        <row r="18">
          <cell r="E18" t="str">
            <v xml:space="preserve">11 목   공   사 </v>
          </cell>
          <cell r="J18">
            <v>0</v>
          </cell>
          <cell r="K18" t="str">
            <v>원</v>
          </cell>
          <cell r="AB18">
            <v>0</v>
          </cell>
          <cell r="AC18" t="str">
            <v>11 목공사</v>
          </cell>
          <cell r="AD18">
            <v>105000687</v>
          </cell>
          <cell r="AE18">
            <v>6474028</v>
          </cell>
          <cell r="AF18">
            <v>0</v>
          </cell>
          <cell r="AG18">
            <v>111474715</v>
          </cell>
          <cell r="AH18">
            <v>3191759</v>
          </cell>
          <cell r="AI18">
            <v>6988896</v>
          </cell>
          <cell r="AJ18">
            <v>0</v>
          </cell>
          <cell r="AK18">
            <v>10180655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121655370</v>
          </cell>
          <cell r="AQ18" t="str">
            <v>원</v>
          </cell>
        </row>
        <row r="19">
          <cell r="E19" t="str">
            <v>12 미  장  공  사</v>
          </cell>
          <cell r="J19">
            <v>0</v>
          </cell>
          <cell r="K19" t="str">
            <v>원</v>
          </cell>
          <cell r="AB19">
            <v>0</v>
          </cell>
          <cell r="AC19" t="str">
            <v>12 건축음향내장공사</v>
          </cell>
          <cell r="AD19">
            <v>136055675</v>
          </cell>
          <cell r="AE19">
            <v>52735601</v>
          </cell>
          <cell r="AF19">
            <v>0</v>
          </cell>
          <cell r="AG19">
            <v>188791276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188791276</v>
          </cell>
          <cell r="AQ19" t="str">
            <v>원</v>
          </cell>
        </row>
        <row r="20">
          <cell r="E20" t="str">
            <v>13 창  호  공  사</v>
          </cell>
          <cell r="J20">
            <v>0</v>
          </cell>
          <cell r="K20" t="str">
            <v>원</v>
          </cell>
          <cell r="AB20">
            <v>0</v>
          </cell>
          <cell r="AC20" t="str">
            <v>13 금속공사</v>
          </cell>
          <cell r="AD20">
            <v>455543338</v>
          </cell>
          <cell r="AE20">
            <v>165367718</v>
          </cell>
          <cell r="AF20">
            <v>33723</v>
          </cell>
          <cell r="AG20">
            <v>620944779</v>
          </cell>
          <cell r="AH20">
            <v>24317084</v>
          </cell>
          <cell r="AI20">
            <v>16121617</v>
          </cell>
          <cell r="AJ20">
            <v>12863</v>
          </cell>
          <cell r="AK20">
            <v>40451564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661396343</v>
          </cell>
          <cell r="AQ20" t="str">
            <v>원</v>
          </cell>
        </row>
        <row r="21">
          <cell r="E21" t="str">
            <v>14 유  리   공  사</v>
          </cell>
          <cell r="J21">
            <v>0</v>
          </cell>
          <cell r="K21" t="str">
            <v>원</v>
          </cell>
          <cell r="AB21">
            <v>0</v>
          </cell>
          <cell r="AC21" t="str">
            <v>14 미장공사</v>
          </cell>
          <cell r="AD21">
            <v>3142023</v>
          </cell>
          <cell r="AE21">
            <v>73205710</v>
          </cell>
          <cell r="AF21">
            <v>295113</v>
          </cell>
          <cell r="AG21">
            <v>76642846</v>
          </cell>
          <cell r="AH21">
            <v>3366649</v>
          </cell>
          <cell r="AI21">
            <v>44505470</v>
          </cell>
          <cell r="AJ21">
            <v>15180</v>
          </cell>
          <cell r="AK21">
            <v>47887299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124530145</v>
          </cell>
          <cell r="AQ21" t="str">
            <v>원</v>
          </cell>
        </row>
        <row r="22">
          <cell r="E22" t="str">
            <v>15 도  장  공  사</v>
          </cell>
          <cell r="J22">
            <v>0</v>
          </cell>
          <cell r="K22" t="str">
            <v>원</v>
          </cell>
          <cell r="AB22">
            <v>0</v>
          </cell>
          <cell r="AC22" t="str">
            <v>15 창호공사</v>
          </cell>
          <cell r="AD22">
            <v>245767374</v>
          </cell>
          <cell r="AE22">
            <v>357966</v>
          </cell>
          <cell r="AF22">
            <v>0</v>
          </cell>
          <cell r="AG22">
            <v>246125340</v>
          </cell>
          <cell r="AH22">
            <v>49886199</v>
          </cell>
          <cell r="AI22">
            <v>160029</v>
          </cell>
          <cell r="AJ22">
            <v>0</v>
          </cell>
          <cell r="AK22">
            <v>50046228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296171568</v>
          </cell>
          <cell r="AQ22" t="str">
            <v>원</v>
          </cell>
        </row>
        <row r="23">
          <cell r="E23" t="str">
            <v>16 수  장  공  사</v>
          </cell>
          <cell r="J23">
            <v>0</v>
          </cell>
          <cell r="K23" t="str">
            <v>원</v>
          </cell>
          <cell r="AB23">
            <v>0</v>
          </cell>
          <cell r="AC23" t="str">
            <v>16 유리공사</v>
          </cell>
          <cell r="AD23">
            <v>58095273</v>
          </cell>
          <cell r="AE23">
            <v>30437764</v>
          </cell>
          <cell r="AF23">
            <v>0</v>
          </cell>
          <cell r="AG23">
            <v>88533037</v>
          </cell>
          <cell r="AH23">
            <v>10930609</v>
          </cell>
          <cell r="AI23">
            <v>5272278</v>
          </cell>
          <cell r="AJ23">
            <v>0</v>
          </cell>
          <cell r="AK23">
            <v>16202887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104735924</v>
          </cell>
          <cell r="AQ23" t="str">
            <v>원</v>
          </cell>
        </row>
        <row r="24">
          <cell r="E24" t="str">
            <v>17 지붕 및 홈통공사</v>
          </cell>
          <cell r="J24">
            <v>0</v>
          </cell>
          <cell r="K24" t="str">
            <v>원</v>
          </cell>
          <cell r="AB24">
            <v>0</v>
          </cell>
          <cell r="AC24" t="str">
            <v>17 도장공사</v>
          </cell>
          <cell r="AD24">
            <v>62737936</v>
          </cell>
          <cell r="AE24">
            <v>56061324</v>
          </cell>
          <cell r="AF24">
            <v>0</v>
          </cell>
          <cell r="AG24">
            <v>118799260</v>
          </cell>
          <cell r="AH24">
            <v>8406686</v>
          </cell>
          <cell r="AI24">
            <v>4376616</v>
          </cell>
          <cell r="AJ24">
            <v>0</v>
          </cell>
          <cell r="AK24">
            <v>12783302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131582562</v>
          </cell>
          <cell r="AQ24" t="str">
            <v>원</v>
          </cell>
        </row>
        <row r="25">
          <cell r="E25" t="str">
            <v xml:space="preserve">18 잡   공   사 </v>
          </cell>
          <cell r="J25">
            <v>0</v>
          </cell>
          <cell r="K25" t="str">
            <v>원</v>
          </cell>
          <cell r="AB25">
            <v>0</v>
          </cell>
          <cell r="AC25" t="str">
            <v>18 스페이스 후렘공사</v>
          </cell>
          <cell r="AD25">
            <v>38125162</v>
          </cell>
          <cell r="AE25">
            <v>10077600</v>
          </cell>
          <cell r="AF25">
            <v>1000000</v>
          </cell>
          <cell r="AG25">
            <v>49202762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49202762</v>
          </cell>
          <cell r="AQ25" t="str">
            <v>원</v>
          </cell>
        </row>
        <row r="26">
          <cell r="E26" t="str">
            <v>19 정화조설치공사</v>
          </cell>
          <cell r="J26">
            <v>0</v>
          </cell>
          <cell r="K26" t="str">
            <v>원</v>
          </cell>
          <cell r="AB26">
            <v>0</v>
          </cell>
          <cell r="AC26" t="str">
            <v>19 수장공사</v>
          </cell>
          <cell r="AD26">
            <v>468931584</v>
          </cell>
          <cell r="AE26">
            <v>35634265</v>
          </cell>
          <cell r="AF26">
            <v>34365</v>
          </cell>
          <cell r="AG26">
            <v>504600214</v>
          </cell>
          <cell r="AH26">
            <v>115579610</v>
          </cell>
          <cell r="AI26">
            <v>26787573</v>
          </cell>
          <cell r="AJ26">
            <v>0</v>
          </cell>
          <cell r="AK26">
            <v>142367183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646967397</v>
          </cell>
          <cell r="AQ26" t="str">
            <v>원</v>
          </cell>
        </row>
        <row r="27">
          <cell r="E27" t="str">
            <v>20 철  거  공  사</v>
          </cell>
          <cell r="J27">
            <v>0</v>
          </cell>
          <cell r="K27" t="str">
            <v>원</v>
          </cell>
          <cell r="AB27">
            <v>0</v>
          </cell>
          <cell r="AC27" t="str">
            <v>20 잡공사</v>
          </cell>
          <cell r="AD27">
            <v>84543386</v>
          </cell>
          <cell r="AE27">
            <v>21886475</v>
          </cell>
          <cell r="AF27">
            <v>0</v>
          </cell>
          <cell r="AG27">
            <v>106429861</v>
          </cell>
          <cell r="AH27">
            <v>32379202</v>
          </cell>
          <cell r="AI27">
            <v>1715030</v>
          </cell>
          <cell r="AJ27">
            <v>0</v>
          </cell>
          <cell r="AK27">
            <v>34094232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140524093</v>
          </cell>
          <cell r="AQ27" t="str">
            <v>원</v>
          </cell>
        </row>
        <row r="28">
          <cell r="E28" t="str">
            <v>21 골  재  비</v>
          </cell>
          <cell r="J28">
            <v>0</v>
          </cell>
          <cell r="K28" t="str">
            <v>원</v>
          </cell>
          <cell r="AB28">
            <v>0</v>
          </cell>
          <cell r="AC28" t="str">
            <v>21 마감공사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31197675</v>
          </cell>
          <cell r="AM28">
            <v>12684885</v>
          </cell>
          <cell r="AN28">
            <v>4278</v>
          </cell>
          <cell r="AO28">
            <v>43886838</v>
          </cell>
          <cell r="AP28">
            <v>43886838</v>
          </cell>
          <cell r="AQ28" t="str">
            <v>원</v>
          </cell>
        </row>
        <row r="29">
          <cell r="E29" t="str">
            <v>22 운  반  비</v>
          </cell>
          <cell r="J29">
            <v>0</v>
          </cell>
          <cell r="K29" t="str">
            <v>원</v>
          </cell>
          <cell r="AB29">
            <v>0</v>
          </cell>
          <cell r="AC29" t="str">
            <v>22 골재및운반비</v>
          </cell>
          <cell r="AD29">
            <v>9804150</v>
          </cell>
          <cell r="AE29">
            <v>4722045</v>
          </cell>
          <cell r="AF29">
            <v>2221380</v>
          </cell>
          <cell r="AG29">
            <v>16747575</v>
          </cell>
          <cell r="AH29">
            <v>4582934</v>
          </cell>
          <cell r="AI29">
            <v>2237810</v>
          </cell>
          <cell r="AJ29">
            <v>921434</v>
          </cell>
          <cell r="AK29">
            <v>7742178</v>
          </cell>
          <cell r="AL29">
            <v>59680</v>
          </cell>
          <cell r="AM29">
            <v>14642</v>
          </cell>
          <cell r="AN29">
            <v>6888</v>
          </cell>
          <cell r="AO29">
            <v>81210</v>
          </cell>
          <cell r="AP29">
            <v>24570963</v>
          </cell>
          <cell r="AQ29" t="str">
            <v>원</v>
          </cell>
        </row>
        <row r="30">
          <cell r="E30" t="str">
            <v>23 작 업 부 산 물</v>
          </cell>
          <cell r="J30">
            <v>0</v>
          </cell>
          <cell r="K30" t="str">
            <v>원</v>
          </cell>
          <cell r="AB30">
            <v>0</v>
          </cell>
          <cell r="AC30" t="str">
            <v>23 작업부산물</v>
          </cell>
          <cell r="AD30">
            <v>-2080800</v>
          </cell>
          <cell r="AE30">
            <v>0</v>
          </cell>
          <cell r="AF30">
            <v>0</v>
          </cell>
          <cell r="AG30">
            <v>-2080800</v>
          </cell>
          <cell r="AH30">
            <v>-520200</v>
          </cell>
          <cell r="AI30">
            <v>0</v>
          </cell>
          <cell r="AJ30">
            <v>0</v>
          </cell>
          <cell r="AK30">
            <v>-520200</v>
          </cell>
          <cell r="AL30">
            <v>-86700</v>
          </cell>
          <cell r="AM30">
            <v>0</v>
          </cell>
          <cell r="AN30">
            <v>0</v>
          </cell>
          <cell r="AO30">
            <v>-86700</v>
          </cell>
          <cell r="AP30">
            <v>-2687700</v>
          </cell>
          <cell r="AQ30" t="str">
            <v>원</v>
          </cell>
        </row>
        <row r="31">
          <cell r="AC31" t="str">
            <v>24 관급자재비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 t="str">
            <v>원</v>
          </cell>
        </row>
        <row r="32">
          <cell r="E32" t="str">
            <v>합 계</v>
          </cell>
          <cell r="F32">
            <v>0</v>
          </cell>
          <cell r="G32">
            <v>0</v>
          </cell>
          <cell r="H32">
            <v>0</v>
          </cell>
          <cell r="J32">
            <v>0</v>
          </cell>
          <cell r="K32" t="str">
            <v>원</v>
          </cell>
          <cell r="AB32">
            <v>0</v>
          </cell>
          <cell r="AC32" t="str">
            <v>합 계</v>
          </cell>
          <cell r="AD32">
            <v>2046415259</v>
          </cell>
          <cell r="AE32">
            <v>1397110893</v>
          </cell>
          <cell r="AF32">
            <v>63209107</v>
          </cell>
          <cell r="AG32">
            <v>3506735259</v>
          </cell>
          <cell r="AH32">
            <v>338451767</v>
          </cell>
          <cell r="AI32">
            <v>419543428</v>
          </cell>
          <cell r="AJ32">
            <v>23055893</v>
          </cell>
          <cell r="AK32">
            <v>781051088</v>
          </cell>
          <cell r="AL32">
            <v>31812961</v>
          </cell>
          <cell r="AM32">
            <v>14898962</v>
          </cell>
          <cell r="AN32">
            <v>191665</v>
          </cell>
          <cell r="AO32">
            <v>46903588</v>
          </cell>
          <cell r="AP32">
            <v>4334689935</v>
          </cell>
          <cell r="AQ32" t="str">
            <v>원</v>
          </cell>
        </row>
        <row r="33">
          <cell r="E33" t="str">
            <v>나.토목공사</v>
          </cell>
          <cell r="AB33">
            <v>0</v>
          </cell>
          <cell r="AC33" t="str">
            <v>나.토목공사</v>
          </cell>
        </row>
        <row r="34">
          <cell r="AC34" t="str">
            <v>나.토목공사</v>
          </cell>
        </row>
        <row r="35">
          <cell r="E35" t="str">
            <v>01 토공사</v>
          </cell>
          <cell r="J35">
            <v>0</v>
          </cell>
          <cell r="K35" t="str">
            <v>원</v>
          </cell>
          <cell r="AB35">
            <v>0</v>
          </cell>
          <cell r="AC35" t="str">
            <v>01 토공사</v>
          </cell>
          <cell r="AD35">
            <v>492257</v>
          </cell>
          <cell r="AE35">
            <v>590533</v>
          </cell>
          <cell r="AF35">
            <v>823870</v>
          </cell>
          <cell r="AG35">
            <v>1906660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1906660</v>
          </cell>
          <cell r="AQ35" t="str">
            <v>원</v>
          </cell>
        </row>
        <row r="36">
          <cell r="E36" t="str">
            <v>02 하수도공사</v>
          </cell>
          <cell r="J36">
            <v>0</v>
          </cell>
          <cell r="K36" t="str">
            <v>원</v>
          </cell>
          <cell r="AB36">
            <v>0</v>
          </cell>
          <cell r="AC36" t="str">
            <v>02 구조물공사</v>
          </cell>
          <cell r="AD36">
            <v>4633590</v>
          </cell>
          <cell r="AE36">
            <v>42718344</v>
          </cell>
          <cell r="AF36">
            <v>131084</v>
          </cell>
          <cell r="AG36">
            <v>47483018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47483018</v>
          </cell>
          <cell r="AQ36" t="str">
            <v>원</v>
          </cell>
        </row>
        <row r="37">
          <cell r="E37" t="str">
            <v>03 포장공사</v>
          </cell>
          <cell r="J37">
            <v>0</v>
          </cell>
          <cell r="K37" t="str">
            <v>원</v>
          </cell>
          <cell r="AB37">
            <v>0</v>
          </cell>
          <cell r="AC37" t="str">
            <v>03 배수시설공사</v>
          </cell>
          <cell r="AD37">
            <v>13685630</v>
          </cell>
          <cell r="AE37">
            <v>17702877</v>
          </cell>
          <cell r="AF37">
            <v>795421</v>
          </cell>
          <cell r="AG37">
            <v>32183928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32183928</v>
          </cell>
          <cell r="AQ37" t="str">
            <v>원</v>
          </cell>
        </row>
        <row r="38">
          <cell r="E38" t="str">
            <v>04 옹벽공사</v>
          </cell>
          <cell r="J38">
            <v>0</v>
          </cell>
          <cell r="K38" t="str">
            <v>원</v>
          </cell>
          <cell r="AB38">
            <v>0</v>
          </cell>
          <cell r="AC38" t="str">
            <v>04 포장공사</v>
          </cell>
          <cell r="AD38">
            <v>23098180</v>
          </cell>
          <cell r="AE38">
            <v>39510964</v>
          </cell>
          <cell r="AF38">
            <v>720108</v>
          </cell>
          <cell r="AG38">
            <v>63329252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63329252</v>
          </cell>
          <cell r="AQ38" t="str">
            <v>원</v>
          </cell>
        </row>
        <row r="39">
          <cell r="E39" t="str">
            <v>05 화단박스공사</v>
          </cell>
          <cell r="J39">
            <v>0</v>
          </cell>
          <cell r="K39" t="str">
            <v>원</v>
          </cell>
          <cell r="AB39">
            <v>0</v>
          </cell>
          <cell r="AC39" t="str">
            <v>05 정문,후문및담장공사</v>
          </cell>
          <cell r="AD39">
            <v>39820550</v>
          </cell>
          <cell r="AE39">
            <v>12877260</v>
          </cell>
          <cell r="AF39">
            <v>684000</v>
          </cell>
          <cell r="AG39">
            <v>53381810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53381810</v>
          </cell>
          <cell r="AQ39" t="str">
            <v>원</v>
          </cell>
        </row>
        <row r="40">
          <cell r="E40" t="str">
            <v>06 구조물공사</v>
          </cell>
          <cell r="J40">
            <v>0</v>
          </cell>
          <cell r="K40" t="str">
            <v>원</v>
          </cell>
          <cell r="AB40">
            <v>0</v>
          </cell>
          <cell r="AC40" t="str">
            <v>06 체육장마사토포설공사</v>
          </cell>
          <cell r="AD40">
            <v>634900</v>
          </cell>
          <cell r="AE40">
            <v>236100</v>
          </cell>
          <cell r="AF40">
            <v>201635</v>
          </cell>
          <cell r="AG40">
            <v>1072635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1072635</v>
          </cell>
          <cell r="AQ40" t="str">
            <v>원</v>
          </cell>
        </row>
        <row r="41">
          <cell r="E41" t="str">
            <v>07 철거공사</v>
          </cell>
          <cell r="J41">
            <v>0</v>
          </cell>
          <cell r="K41" t="str">
            <v>원</v>
          </cell>
          <cell r="AB41">
            <v>0</v>
          </cell>
          <cell r="AC41" t="str">
            <v>07 철거및복구공사</v>
          </cell>
          <cell r="AD41">
            <v>148214</v>
          </cell>
          <cell r="AE41">
            <v>381226</v>
          </cell>
          <cell r="AF41">
            <v>149405</v>
          </cell>
          <cell r="AG41">
            <v>678845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678845</v>
          </cell>
          <cell r="AQ41" t="str">
            <v>원</v>
          </cell>
        </row>
        <row r="42">
          <cell r="E42" t="str">
            <v>08 사급자재비공사</v>
          </cell>
          <cell r="J42">
            <v>0</v>
          </cell>
          <cell r="K42" t="str">
            <v>원</v>
          </cell>
          <cell r="AB42">
            <v>0</v>
          </cell>
          <cell r="AC42" t="str">
            <v>소계</v>
          </cell>
          <cell r="AD42">
            <v>82513321</v>
          </cell>
          <cell r="AE42">
            <v>114017304</v>
          </cell>
          <cell r="AF42">
            <v>3505523</v>
          </cell>
          <cell r="AG42">
            <v>200036148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200036148</v>
          </cell>
          <cell r="AQ42" t="str">
            <v>원</v>
          </cell>
        </row>
        <row r="43">
          <cell r="E43" t="str">
            <v>09 운반비</v>
          </cell>
          <cell r="J43">
            <v>0</v>
          </cell>
          <cell r="K43" t="str">
            <v>원</v>
          </cell>
          <cell r="AB43">
            <v>0</v>
          </cell>
          <cell r="AC43" t="str">
            <v>08 운반비</v>
          </cell>
          <cell r="AD43">
            <v>0</v>
          </cell>
          <cell r="AE43">
            <v>0</v>
          </cell>
          <cell r="AF43">
            <v>1446095</v>
          </cell>
          <cell r="AG43">
            <v>1446095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1446095</v>
          </cell>
          <cell r="AQ43" t="str">
            <v>원</v>
          </cell>
        </row>
        <row r="44">
          <cell r="E44" t="str">
            <v>10 작업 부산물</v>
          </cell>
          <cell r="J44">
            <v>0</v>
          </cell>
          <cell r="K44" t="str">
            <v>원</v>
          </cell>
          <cell r="AB44">
            <v>0</v>
          </cell>
          <cell r="AC44" t="str">
            <v>09 작업 부산물</v>
          </cell>
          <cell r="AD44">
            <v>-84150</v>
          </cell>
          <cell r="AE44">
            <v>0</v>
          </cell>
          <cell r="AF44">
            <v>0</v>
          </cell>
          <cell r="AG44">
            <v>-84150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-84150</v>
          </cell>
          <cell r="AQ44" t="str">
            <v>원</v>
          </cell>
        </row>
        <row r="45">
          <cell r="E45" t="str">
            <v xml:space="preserve"> 11 폐기물처리수수료</v>
          </cell>
          <cell r="J45">
            <v>0</v>
          </cell>
          <cell r="K45" t="str">
            <v>원</v>
          </cell>
          <cell r="AB45">
            <v>0</v>
          </cell>
          <cell r="AC45" t="str">
            <v xml:space="preserve"> 10 관급자재비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 t="str">
            <v>원</v>
          </cell>
        </row>
        <row r="46">
          <cell r="E46" t="str">
            <v>합계</v>
          </cell>
          <cell r="F46">
            <v>0</v>
          </cell>
          <cell r="G46">
            <v>0</v>
          </cell>
          <cell r="H46">
            <v>0</v>
          </cell>
          <cell r="J46">
            <v>0</v>
          </cell>
          <cell r="K46" t="str">
            <v>원</v>
          </cell>
          <cell r="AB46">
            <v>0</v>
          </cell>
          <cell r="AC46" t="str">
            <v>합계</v>
          </cell>
          <cell r="AD46">
            <v>82429171</v>
          </cell>
          <cell r="AE46">
            <v>114017304</v>
          </cell>
          <cell r="AF46">
            <v>3505523</v>
          </cell>
          <cell r="AG46">
            <v>199951998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199951998</v>
          </cell>
          <cell r="AQ46" t="str">
            <v>원</v>
          </cell>
        </row>
        <row r="58">
          <cell r="AP58">
            <v>199951998</v>
          </cell>
          <cell r="AQ58" t="str">
            <v>원</v>
          </cell>
        </row>
        <row r="59">
          <cell r="AP59">
            <v>199951998</v>
          </cell>
          <cell r="AQ59" t="str">
            <v>원</v>
          </cell>
        </row>
        <row r="60">
          <cell r="AP60">
            <v>199951998</v>
          </cell>
          <cell r="AQ60" t="str">
            <v>원</v>
          </cell>
        </row>
        <row r="61">
          <cell r="E61" t="str">
            <v>다.기계설비공사</v>
          </cell>
          <cell r="AB61">
            <v>0</v>
          </cell>
          <cell r="AC61" t="str">
            <v>다.기계설비공사</v>
          </cell>
          <cell r="AD61">
            <v>0</v>
          </cell>
          <cell r="AE61">
            <v>0</v>
          </cell>
          <cell r="AF61">
            <v>0</v>
          </cell>
          <cell r="AG61" t="str">
            <v>신축동</v>
          </cell>
          <cell r="AH61" t="str">
            <v>본관동</v>
          </cell>
          <cell r="AI61" t="str">
            <v>본관동</v>
          </cell>
          <cell r="AJ61" t="str">
            <v>본관동</v>
          </cell>
          <cell r="AK61" t="str">
            <v>본관동</v>
          </cell>
          <cell r="AL61" t="str">
            <v>본관동증축</v>
          </cell>
          <cell r="AM61" t="str">
            <v>본관동증축</v>
          </cell>
          <cell r="AN61" t="str">
            <v>본관동증축</v>
          </cell>
          <cell r="AO61" t="str">
            <v>본관동증축</v>
          </cell>
        </row>
        <row r="62">
          <cell r="AG62" t="str">
            <v>합계</v>
          </cell>
          <cell r="AH62" t="str">
            <v>재료비</v>
          </cell>
          <cell r="AI62" t="str">
            <v>노무비</v>
          </cell>
          <cell r="AJ62" t="str">
            <v>경비</v>
          </cell>
          <cell r="AK62" t="str">
            <v>합계</v>
          </cell>
          <cell r="AL62" t="str">
            <v>재료비</v>
          </cell>
          <cell r="AM62" t="str">
            <v>노무비</v>
          </cell>
          <cell r="AN62" t="str">
            <v>경비</v>
          </cell>
          <cell r="AO62" t="str">
            <v>합계</v>
          </cell>
        </row>
        <row r="63">
          <cell r="E63" t="str">
            <v>01 옥외배관공사</v>
          </cell>
          <cell r="J63">
            <v>0</v>
          </cell>
          <cell r="K63" t="str">
            <v>원</v>
          </cell>
          <cell r="AB63">
            <v>0</v>
          </cell>
          <cell r="AC63" t="str">
            <v>01 장비설치공사</v>
          </cell>
          <cell r="AD63">
            <v>37696528</v>
          </cell>
          <cell r="AE63">
            <v>23950965</v>
          </cell>
          <cell r="AF63">
            <v>0</v>
          </cell>
          <cell r="AG63">
            <v>61647493</v>
          </cell>
          <cell r="AH63">
            <v>6782360</v>
          </cell>
          <cell r="AI63">
            <v>2412020</v>
          </cell>
          <cell r="AJ63">
            <v>0</v>
          </cell>
          <cell r="AK63">
            <v>9194380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70841873</v>
          </cell>
          <cell r="AQ63" t="str">
            <v>원</v>
          </cell>
        </row>
        <row r="64">
          <cell r="E64" t="str">
            <v>02 기계실배관공사</v>
          </cell>
          <cell r="J64">
            <v>0</v>
          </cell>
          <cell r="K64" t="str">
            <v>원</v>
          </cell>
          <cell r="AB64">
            <v>0</v>
          </cell>
          <cell r="AC64" t="str">
            <v>02 기계실배관공사</v>
          </cell>
          <cell r="AD64">
            <v>131491383</v>
          </cell>
          <cell r="AE64">
            <v>49145503</v>
          </cell>
          <cell r="AF64">
            <v>0</v>
          </cell>
          <cell r="AG64">
            <v>180636886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180636886</v>
          </cell>
          <cell r="AQ64" t="str">
            <v>원</v>
          </cell>
        </row>
        <row r="65">
          <cell r="E65" t="str">
            <v>03 난방배관공사</v>
          </cell>
          <cell r="J65">
            <v>0</v>
          </cell>
          <cell r="K65" t="str">
            <v>원</v>
          </cell>
          <cell r="AB65">
            <v>0</v>
          </cell>
          <cell r="AC65" t="str">
            <v>03 난방배관공사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28380365</v>
          </cell>
          <cell r="AI65">
            <v>47108338</v>
          </cell>
          <cell r="AJ65">
            <v>0</v>
          </cell>
          <cell r="AK65">
            <v>75488703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75488703</v>
          </cell>
          <cell r="AQ65" t="str">
            <v>원</v>
          </cell>
        </row>
        <row r="66">
          <cell r="E66" t="str">
            <v>04 위생배관공사</v>
          </cell>
          <cell r="J66">
            <v>0</v>
          </cell>
          <cell r="K66" t="str">
            <v>원</v>
          </cell>
          <cell r="AB66">
            <v>0</v>
          </cell>
          <cell r="AC66" t="str">
            <v>04 냉난방배관공사</v>
          </cell>
          <cell r="AD66">
            <v>234172219</v>
          </cell>
          <cell r="AE66">
            <v>153473404</v>
          </cell>
          <cell r="AF66">
            <v>0</v>
          </cell>
          <cell r="AG66">
            <v>387645623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387645623</v>
          </cell>
          <cell r="AQ66" t="str">
            <v>원</v>
          </cell>
        </row>
        <row r="67">
          <cell r="E67" t="str">
            <v>05 배기닥트설치공사</v>
          </cell>
          <cell r="J67">
            <v>0</v>
          </cell>
          <cell r="K67" t="str">
            <v>원</v>
          </cell>
          <cell r="AB67">
            <v>0</v>
          </cell>
          <cell r="AC67" t="str">
            <v>05 공조닥트설치공사</v>
          </cell>
          <cell r="AD67">
            <v>16918675</v>
          </cell>
          <cell r="AE67">
            <v>38126660</v>
          </cell>
          <cell r="AF67">
            <v>0</v>
          </cell>
          <cell r="AG67">
            <v>55045335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55045335</v>
          </cell>
          <cell r="AQ67" t="str">
            <v>원</v>
          </cell>
        </row>
        <row r="68">
          <cell r="E68" t="str">
            <v>06 가스배관공사</v>
          </cell>
          <cell r="J68">
            <v>0</v>
          </cell>
          <cell r="K68" t="str">
            <v>원</v>
          </cell>
          <cell r="AB68">
            <v>0</v>
          </cell>
          <cell r="AC68" t="str">
            <v>06 위생기구설치공사</v>
          </cell>
          <cell r="AD68">
            <v>28581934</v>
          </cell>
          <cell r="AE68">
            <v>14731155</v>
          </cell>
          <cell r="AF68">
            <v>0</v>
          </cell>
          <cell r="AG68">
            <v>43313089</v>
          </cell>
          <cell r="AH68">
            <v>2323379</v>
          </cell>
          <cell r="AI68">
            <v>6970913</v>
          </cell>
          <cell r="AJ68">
            <v>0</v>
          </cell>
          <cell r="AK68">
            <v>9294292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52607381</v>
          </cell>
          <cell r="AQ68" t="str">
            <v>원</v>
          </cell>
        </row>
        <row r="69">
          <cell r="AC69" t="str">
            <v>07 위생배관공사</v>
          </cell>
          <cell r="AD69">
            <v>54966551</v>
          </cell>
          <cell r="AE69">
            <v>57083740</v>
          </cell>
          <cell r="AF69">
            <v>0</v>
          </cell>
          <cell r="AG69">
            <v>112050291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112050291</v>
          </cell>
          <cell r="AQ69" t="str">
            <v>원</v>
          </cell>
        </row>
        <row r="70">
          <cell r="E70" t="str">
            <v>07 자동제어공사</v>
          </cell>
          <cell r="J70">
            <v>0</v>
          </cell>
          <cell r="K70" t="str">
            <v>원</v>
          </cell>
          <cell r="AB70">
            <v>0</v>
          </cell>
          <cell r="AC70" t="str">
            <v>08 도시가스배관공사</v>
          </cell>
          <cell r="AD70">
            <v>22420315</v>
          </cell>
          <cell r="AE70">
            <v>12539215</v>
          </cell>
          <cell r="AF70">
            <v>0</v>
          </cell>
          <cell r="AG70">
            <v>34959530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34959530</v>
          </cell>
          <cell r="AQ70" t="str">
            <v>원</v>
          </cell>
        </row>
        <row r="71">
          <cell r="E71" t="str">
            <v>08 소화배관공사</v>
          </cell>
          <cell r="J71">
            <v>0</v>
          </cell>
          <cell r="K71" t="str">
            <v>원</v>
          </cell>
          <cell r="AB71">
            <v>0</v>
          </cell>
          <cell r="AC71" t="str">
            <v>09 자동제어서치공사</v>
          </cell>
          <cell r="AD71">
            <v>31132209</v>
          </cell>
          <cell r="AE71">
            <v>4086978</v>
          </cell>
          <cell r="AF71">
            <v>0</v>
          </cell>
          <cell r="AG71">
            <v>35219187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35219187</v>
          </cell>
          <cell r="AQ71" t="str">
            <v>원</v>
          </cell>
        </row>
        <row r="72">
          <cell r="E72" t="str">
            <v>09 위생기구설치공사</v>
          </cell>
          <cell r="J72">
            <v>0</v>
          </cell>
          <cell r="K72" t="str">
            <v>원</v>
          </cell>
          <cell r="AB72">
            <v>0</v>
          </cell>
          <cell r="AC72" t="str">
            <v>10 연도설치공사</v>
          </cell>
          <cell r="AD72">
            <v>43364264</v>
          </cell>
          <cell r="AE72">
            <v>6692154</v>
          </cell>
          <cell r="AF72">
            <v>0</v>
          </cell>
          <cell r="AG72">
            <v>50056418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50056418</v>
          </cell>
          <cell r="AQ72" t="str">
            <v>원</v>
          </cell>
        </row>
        <row r="73">
          <cell r="E73" t="str">
            <v>10 급수급탕배관공사</v>
          </cell>
          <cell r="J73">
            <v>0</v>
          </cell>
          <cell r="K73" t="str">
            <v>원</v>
          </cell>
          <cell r="AB73">
            <v>0</v>
          </cell>
          <cell r="AC73" t="str">
            <v>11 방진설치공사</v>
          </cell>
          <cell r="AD73">
            <v>14923805</v>
          </cell>
          <cell r="AE73">
            <v>4324093</v>
          </cell>
          <cell r="AF73">
            <v>0</v>
          </cell>
          <cell r="AG73">
            <v>19247898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19247898</v>
          </cell>
          <cell r="AQ73" t="str">
            <v>원</v>
          </cell>
        </row>
        <row r="74">
          <cell r="E74" t="str">
            <v>11 오배수통기배관공사</v>
          </cell>
          <cell r="J74">
            <v>0</v>
          </cell>
          <cell r="K74" t="str">
            <v>원</v>
          </cell>
          <cell r="AB74">
            <v>0</v>
          </cell>
          <cell r="AC74" t="str">
            <v>12 환기닥트설치공사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15865991</v>
          </cell>
          <cell r="AI74">
            <v>7499700</v>
          </cell>
          <cell r="AJ74">
            <v>0</v>
          </cell>
          <cell r="AK74">
            <v>23365691</v>
          </cell>
          <cell r="AL74">
            <v>1566495</v>
          </cell>
          <cell r="AM74">
            <v>4088287</v>
          </cell>
          <cell r="AN74">
            <v>0</v>
          </cell>
          <cell r="AO74">
            <v>5654782</v>
          </cell>
          <cell r="AP74">
            <v>29020473</v>
          </cell>
          <cell r="AQ74" t="str">
            <v>원</v>
          </cell>
        </row>
        <row r="75">
          <cell r="E75" t="str">
            <v>합계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원</v>
          </cell>
          <cell r="AB75">
            <v>0</v>
          </cell>
          <cell r="AC75" t="str">
            <v>13 위생설비공사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27036309</v>
          </cell>
          <cell r="AI75">
            <v>31424526</v>
          </cell>
          <cell r="AJ75">
            <v>0</v>
          </cell>
          <cell r="AK75">
            <v>58460835</v>
          </cell>
          <cell r="AL75">
            <v>682861</v>
          </cell>
          <cell r="AM75">
            <v>1285389</v>
          </cell>
          <cell r="AN75">
            <v>0</v>
          </cell>
          <cell r="AO75">
            <v>1968250</v>
          </cell>
          <cell r="AP75">
            <v>60429085</v>
          </cell>
          <cell r="AQ75" t="str">
            <v>원</v>
          </cell>
        </row>
        <row r="76">
          <cell r="AC76" t="str">
            <v>14 가스설비공사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1286720</v>
          </cell>
          <cell r="AM76">
            <v>1172107</v>
          </cell>
          <cell r="AN76">
            <v>0</v>
          </cell>
          <cell r="AO76">
            <v>2458827</v>
          </cell>
          <cell r="AP76">
            <v>2458827</v>
          </cell>
          <cell r="AQ76" t="str">
            <v>원</v>
          </cell>
        </row>
        <row r="77">
          <cell r="AC77" t="str">
            <v>12 관급장비설치공사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</row>
        <row r="78">
          <cell r="AC78" t="str">
            <v>합계</v>
          </cell>
          <cell r="AD78">
            <v>615667883</v>
          </cell>
          <cell r="AE78">
            <v>364153867</v>
          </cell>
          <cell r="AF78">
            <v>0</v>
          </cell>
          <cell r="AG78">
            <v>979821750</v>
          </cell>
          <cell r="AH78">
            <v>80388404</v>
          </cell>
          <cell r="AI78">
            <v>95415497</v>
          </cell>
          <cell r="AJ78">
            <v>0</v>
          </cell>
          <cell r="AK78">
            <v>175803901</v>
          </cell>
          <cell r="AL78">
            <v>3536076</v>
          </cell>
          <cell r="AM78">
            <v>6545783</v>
          </cell>
          <cell r="AN78">
            <v>0</v>
          </cell>
          <cell r="AO78">
            <v>10081859</v>
          </cell>
          <cell r="AP78">
            <v>1165707510</v>
          </cell>
          <cell r="AQ78" t="str">
            <v>원</v>
          </cell>
        </row>
        <row r="87">
          <cell r="AC87" t="str">
            <v>합계</v>
          </cell>
          <cell r="AD87">
            <v>615667883</v>
          </cell>
          <cell r="AE87">
            <v>364153867</v>
          </cell>
          <cell r="AF87">
            <v>0</v>
          </cell>
          <cell r="AG87">
            <v>979821750</v>
          </cell>
          <cell r="AH87">
            <v>80388404</v>
          </cell>
          <cell r="AI87">
            <v>95415497</v>
          </cell>
          <cell r="AJ87">
            <v>0</v>
          </cell>
          <cell r="AK87">
            <v>175803901</v>
          </cell>
          <cell r="AL87">
            <v>3536076</v>
          </cell>
          <cell r="AM87">
            <v>6545783</v>
          </cell>
          <cell r="AN87">
            <v>0</v>
          </cell>
          <cell r="AO87">
            <v>10081859</v>
          </cell>
          <cell r="AP87">
            <v>1165707510</v>
          </cell>
          <cell r="AQ87" t="str">
            <v>원</v>
          </cell>
        </row>
        <row r="88">
          <cell r="AC88" t="str">
            <v>합계</v>
          </cell>
          <cell r="AD88">
            <v>615667883</v>
          </cell>
          <cell r="AE88">
            <v>364153867</v>
          </cell>
          <cell r="AF88">
            <v>0</v>
          </cell>
          <cell r="AG88">
            <v>979821750</v>
          </cell>
          <cell r="AH88">
            <v>80388404</v>
          </cell>
          <cell r="AI88">
            <v>95415497</v>
          </cell>
          <cell r="AJ88">
            <v>0</v>
          </cell>
          <cell r="AK88">
            <v>175803901</v>
          </cell>
          <cell r="AL88">
            <v>3536076</v>
          </cell>
          <cell r="AM88">
            <v>6545783</v>
          </cell>
          <cell r="AN88">
            <v>0</v>
          </cell>
          <cell r="AO88">
            <v>10081859</v>
          </cell>
          <cell r="AP88">
            <v>1165707510</v>
          </cell>
          <cell r="AQ88" t="str">
            <v>원</v>
          </cell>
        </row>
        <row r="89">
          <cell r="AC89" t="str">
            <v>합계</v>
          </cell>
          <cell r="AD89">
            <v>615667883</v>
          </cell>
          <cell r="AE89">
            <v>364153867</v>
          </cell>
          <cell r="AF89">
            <v>0</v>
          </cell>
          <cell r="AG89">
            <v>979821750</v>
          </cell>
          <cell r="AH89">
            <v>80388404</v>
          </cell>
          <cell r="AI89">
            <v>95415497</v>
          </cell>
          <cell r="AJ89">
            <v>0</v>
          </cell>
          <cell r="AK89">
            <v>175803901</v>
          </cell>
          <cell r="AL89">
            <v>3536076</v>
          </cell>
          <cell r="AM89">
            <v>6545783</v>
          </cell>
          <cell r="AN89">
            <v>0</v>
          </cell>
          <cell r="AO89">
            <v>10081859</v>
          </cell>
          <cell r="AP89">
            <v>1165707510</v>
          </cell>
          <cell r="AQ89" t="str">
            <v>원</v>
          </cell>
        </row>
        <row r="90">
          <cell r="D90" t="str">
            <v xml:space="preserve">  2.간접노무비</v>
          </cell>
          <cell r="J90">
            <v>0</v>
          </cell>
          <cell r="K90" t="str">
            <v>원</v>
          </cell>
          <cell r="AB90" t="str">
            <v xml:space="preserve">  2.간접노무비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 t="str">
            <v>원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223949137</v>
          </cell>
          <cell r="AQ90" t="str">
            <v>원</v>
          </cell>
        </row>
        <row r="91">
          <cell r="D91" t="str">
            <v xml:space="preserve">  3.경   비</v>
          </cell>
          <cell r="AB91" t="str">
            <v xml:space="preserve">  3.경   비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 t="str">
            <v>원</v>
          </cell>
        </row>
        <row r="92">
          <cell r="E92" t="str">
            <v>(1) 산재보험료</v>
          </cell>
          <cell r="J92">
            <v>0</v>
          </cell>
          <cell r="K92" t="str">
            <v>원</v>
          </cell>
          <cell r="AB92">
            <v>0</v>
          </cell>
          <cell r="AC92" t="str">
            <v>(1) 산재보험료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 t="str">
            <v>원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94882855</v>
          </cell>
          <cell r="AQ92" t="str">
            <v>원</v>
          </cell>
        </row>
        <row r="93">
          <cell r="E93" t="str">
            <v>(2) 안전관리비</v>
          </cell>
          <cell r="J93">
            <v>21630302</v>
          </cell>
          <cell r="K93" t="str">
            <v>원</v>
          </cell>
          <cell r="AB93">
            <v>0</v>
          </cell>
          <cell r="AC93" t="str">
            <v>(2) 안전관리비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 t="str">
            <v>원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127105582</v>
          </cell>
          <cell r="AQ93" t="str">
            <v>원</v>
          </cell>
        </row>
        <row r="94">
          <cell r="E94" t="str">
            <v>(3) 고용보험료</v>
          </cell>
          <cell r="K94" t="str">
            <v>원</v>
          </cell>
          <cell r="AB94">
            <v>0</v>
          </cell>
          <cell r="AC94" t="str">
            <v>(3) 고용보험료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 t="str">
            <v>원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12774584</v>
          </cell>
          <cell r="AQ94" t="str">
            <v>원</v>
          </cell>
        </row>
        <row r="95">
          <cell r="E95" t="str">
            <v>(4) 기타경비</v>
          </cell>
          <cell r="J95">
            <v>0</v>
          </cell>
          <cell r="K95" t="str">
            <v>원</v>
          </cell>
          <cell r="AB95">
            <v>0</v>
          </cell>
          <cell r="AC95" t="str">
            <v>(4) 기타경비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 t="str">
            <v>원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266077649.27272728</v>
          </cell>
          <cell r="AQ95" t="str">
            <v>원</v>
          </cell>
        </row>
        <row r="96">
          <cell r="E96" t="str">
            <v>(5) 퇴직공제부금비</v>
          </cell>
          <cell r="J96">
            <v>0</v>
          </cell>
          <cell r="K96" t="str">
            <v>원</v>
          </cell>
          <cell r="AB96">
            <v>0</v>
          </cell>
          <cell r="AC96" t="str">
            <v>(5) 퇴직공제부금비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 t="str">
            <v>원</v>
          </cell>
          <cell r="AJ96" t="str">
            <v xml:space="preserve">해  당  없  음 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 t="str">
            <v>원</v>
          </cell>
          <cell r="AR96" t="str">
            <v xml:space="preserve"> 해당없음</v>
          </cell>
        </row>
        <row r="97">
          <cell r="D97" t="str">
            <v xml:space="preserve">  4.일반관리비</v>
          </cell>
          <cell r="J97">
            <v>0</v>
          </cell>
          <cell r="K97" t="str">
            <v>원</v>
          </cell>
          <cell r="AB97" t="str">
            <v xml:space="preserve">  4.일반관리비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 t="str">
            <v>원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 t="str">
            <v>원</v>
          </cell>
        </row>
        <row r="98">
          <cell r="D98" t="str">
            <v xml:space="preserve">  5.이   윤</v>
          </cell>
          <cell r="J98">
            <v>0</v>
          </cell>
          <cell r="K98" t="str">
            <v>원</v>
          </cell>
          <cell r="AB98" t="str">
            <v xml:space="preserve">  5.이   윤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 t="str">
            <v>원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 t="str">
            <v>원</v>
          </cell>
        </row>
        <row r="99">
          <cell r="D99" t="str">
            <v xml:space="preserve">  6.공사손해보험료</v>
          </cell>
          <cell r="J99">
            <v>0</v>
          </cell>
          <cell r="K99" t="str">
            <v>원</v>
          </cell>
          <cell r="L99" t="str">
            <v xml:space="preserve">해  당  없  음 </v>
          </cell>
          <cell r="AB99" t="str">
            <v xml:space="preserve">  6.공사손해보험료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 t="str">
            <v>원</v>
          </cell>
          <cell r="AJ99" t="str">
            <v xml:space="preserve">해  당  없  음 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 t="str">
            <v>원</v>
          </cell>
          <cell r="AR99" t="str">
            <v xml:space="preserve"> 해당없음</v>
          </cell>
        </row>
        <row r="100">
          <cell r="D100" t="str">
            <v xml:space="preserve">  7.부가가치세</v>
          </cell>
          <cell r="J100">
            <v>2163030</v>
          </cell>
          <cell r="K100" t="str">
            <v>원</v>
          </cell>
          <cell r="AB100" t="str">
            <v xml:space="preserve">  7.부가가치세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 t="str">
            <v>원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642513925</v>
          </cell>
          <cell r="AQ100" t="str">
            <v>원</v>
          </cell>
        </row>
        <row r="101">
          <cell r="AP101">
            <v>642513925</v>
          </cell>
          <cell r="AQ101" t="str">
            <v>원</v>
          </cell>
        </row>
        <row r="102">
          <cell r="D102" t="str">
            <v xml:space="preserve"> 8.총   계</v>
          </cell>
          <cell r="J102">
            <v>23793332</v>
          </cell>
          <cell r="K102" t="str">
            <v>원</v>
          </cell>
          <cell r="AB102" t="str">
            <v xml:space="preserve"> 8.총   계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 t="str">
            <v>원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7067653175.272727</v>
          </cell>
          <cell r="AQ102" t="str">
            <v>원</v>
          </cell>
        </row>
        <row r="103">
          <cell r="AP103">
            <v>7067653175.272727</v>
          </cell>
          <cell r="AQ103" t="str">
            <v>원</v>
          </cell>
        </row>
        <row r="104">
          <cell r="AP104">
            <v>7067653175.272727</v>
          </cell>
          <cell r="AQ104" t="str">
            <v>원</v>
          </cell>
        </row>
        <row r="105">
          <cell r="AP105">
            <v>0</v>
          </cell>
        </row>
        <row r="106">
          <cell r="AP106">
            <v>0</v>
          </cell>
        </row>
        <row r="107">
          <cell r="AP107">
            <v>0</v>
          </cell>
        </row>
        <row r="115">
          <cell r="AP115">
            <v>0</v>
          </cell>
        </row>
        <row r="116">
          <cell r="AP116">
            <v>0</v>
          </cell>
        </row>
        <row r="117">
          <cell r="AP117">
            <v>0</v>
          </cell>
        </row>
        <row r="118">
          <cell r="AB118" t="str">
            <v xml:space="preserve">  2.간접노무비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 t="str">
            <v>원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 t="str">
            <v>원</v>
          </cell>
        </row>
        <row r="119">
          <cell r="AB119" t="str">
            <v xml:space="preserve">  3.경   비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 t="str">
            <v>원</v>
          </cell>
        </row>
        <row r="120">
          <cell r="AC120" t="str">
            <v>(1) 산재보험료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 t="str">
            <v>원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94882855</v>
          </cell>
          <cell r="AQ120" t="str">
            <v>원</v>
          </cell>
        </row>
        <row r="121">
          <cell r="AC121" t="str">
            <v>(2) 안전관리비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 t="str">
            <v>원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127105582</v>
          </cell>
          <cell r="AQ121" t="str">
            <v>원</v>
          </cell>
        </row>
        <row r="122">
          <cell r="AC122" t="str">
            <v>(3) 고용보험료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 t="str">
            <v>원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12774584</v>
          </cell>
          <cell r="AQ122" t="str">
            <v>원</v>
          </cell>
        </row>
        <row r="123">
          <cell r="AC123" t="str">
            <v>(4) 기타경비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 t="str">
            <v>원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 t="str">
            <v>원</v>
          </cell>
        </row>
        <row r="124">
          <cell r="AC124" t="str">
            <v>(5) 퇴직공제부금비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 t="str">
            <v>원</v>
          </cell>
          <cell r="AJ124" t="str">
            <v xml:space="preserve">해  당  없  음 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 t="str">
            <v>원</v>
          </cell>
          <cell r="AR124" t="str">
            <v xml:space="preserve"> 해당없음</v>
          </cell>
        </row>
        <row r="125">
          <cell r="AB125" t="str">
            <v xml:space="preserve">  4.일반관리비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 t="str">
            <v>원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 t="str">
            <v>원</v>
          </cell>
        </row>
        <row r="126">
          <cell r="AB126" t="str">
            <v xml:space="preserve">  5.이   윤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 t="str">
            <v>원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 t="str">
            <v>원</v>
          </cell>
        </row>
        <row r="127">
          <cell r="AB127" t="str">
            <v xml:space="preserve">  6.공사손해보험료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 t="str">
            <v>원</v>
          </cell>
          <cell r="AJ127" t="str">
            <v xml:space="preserve">해  당  없  음 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 t="str">
            <v>원</v>
          </cell>
          <cell r="AR127" t="str">
            <v xml:space="preserve"> 해당없음</v>
          </cell>
        </row>
        <row r="128">
          <cell r="AB128" t="str">
            <v xml:space="preserve">  7.부가가치세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 t="str">
            <v>원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 t="str">
            <v>원</v>
          </cell>
        </row>
        <row r="129">
          <cell r="AQ129" t="str">
            <v>원</v>
          </cell>
        </row>
        <row r="130">
          <cell r="AB130" t="str">
            <v xml:space="preserve"> 8.총   계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 t="str">
            <v>원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 t="str">
            <v>원</v>
          </cell>
        </row>
      </sheetData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계획조정"/>
      <sheetName val="항목"/>
      <sheetName val="세목"/>
      <sheetName val="98 3차조정 "/>
      <sheetName val="98 3차운영계획"/>
      <sheetName val="98 2차조정"/>
      <sheetName val="추가반영분"/>
      <sheetName val="추가미반영분"/>
      <sheetName val="계정"/>
      <sheetName val="원가data"/>
      <sheetName val="CALENDAR"/>
      <sheetName val="조건 (A)"/>
      <sheetName val="#REF"/>
      <sheetName val="직구입"/>
      <sheetName val="Sheet1"/>
      <sheetName val="Sheet1 (2)"/>
      <sheetName val="업무분장"/>
      <sheetName val="2.대외공문"/>
      <sheetName val="주소(한문)"/>
      <sheetName val="98판관비3차"/>
      <sheetName val="대공종"/>
      <sheetName val="명세서"/>
      <sheetName val="간이연락"/>
      <sheetName val="부대내역"/>
      <sheetName val="소비자가"/>
      <sheetName val="TEL"/>
      <sheetName val="일위대가 "/>
      <sheetName val="자재단가"/>
      <sheetName val="영업.일1"/>
      <sheetName val="산업"/>
      <sheetName val="일위대가표"/>
      <sheetName val="실행"/>
      <sheetName val="정공공사"/>
      <sheetName val="b_balju_cho"/>
      <sheetName val="기본단가표"/>
      <sheetName val="98_3차조정_"/>
      <sheetName val="98_3차운영계획"/>
      <sheetName val="98_2차조정"/>
      <sheetName val="조건_(A)"/>
      <sheetName val="Sheet1_(2)"/>
      <sheetName val="2_대외공문"/>
      <sheetName val="15"/>
      <sheetName val="내역"/>
      <sheetName val="협조전"/>
      <sheetName val="TB"/>
      <sheetName val="BASE"/>
      <sheetName val="경쟁실분"/>
      <sheetName val="CAUDIT"/>
      <sheetName val="BUS제원1"/>
      <sheetName val="96수출"/>
      <sheetName val="말뚝지지력산정"/>
      <sheetName val="내역서"/>
      <sheetName val="자판실행"/>
      <sheetName val="공정표"/>
      <sheetName val="건축공사"/>
      <sheetName val="카펫타일"/>
      <sheetName val="일일작업현황"/>
      <sheetName val="안전장치"/>
      <sheetName val="삭제금지단가"/>
      <sheetName val="투자비"/>
      <sheetName val="조성원가DATA"/>
      <sheetName val="사업비"/>
      <sheetName val="Sheet5"/>
      <sheetName val="조명시설"/>
      <sheetName val="건설_선금수수료 (2차)"/>
      <sheetName val="건설_선금수수료 (4차)"/>
      <sheetName val="월별손익"/>
      <sheetName val="골조시행"/>
      <sheetName val="건축내역"/>
      <sheetName val="항목(1)"/>
      <sheetName val="Total"/>
      <sheetName val="내역서을지"/>
      <sheetName val="전입"/>
      <sheetName val="산근"/>
      <sheetName val="Keyword"/>
      <sheetName val="고정자산"/>
      <sheetName val="매출원가추정"/>
      <sheetName val="매출추정"/>
      <sheetName val="차수"/>
      <sheetName val="5사남"/>
      <sheetName val="type-F"/>
      <sheetName val="원가"/>
      <sheetName val="일위_파일"/>
      <sheetName val="산출근거"/>
      <sheetName val="VST재료산출"/>
      <sheetName val="해평견적"/>
      <sheetName val="하자보증보험료"/>
      <sheetName val="DEP"/>
      <sheetName val="일위대가"/>
      <sheetName val="건축내역서"/>
      <sheetName val="설비내역서"/>
      <sheetName val="전기내역서"/>
      <sheetName val="집계표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실행철강하도"/>
      <sheetName val="비품"/>
      <sheetName val="전등설비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기초자료입력"/>
      <sheetName val="표 지 "/>
      <sheetName val="목차"/>
      <sheetName val="계획서"/>
      <sheetName val="설명서"/>
      <sheetName val="공사비총괄표"/>
      <sheetName val="예산서"/>
      <sheetName val="설계명세서"/>
      <sheetName val="자재수량산출내역"/>
      <sheetName val="품셈표"/>
      <sheetName val="공정표"/>
      <sheetName val="설치도면"/>
      <sheetName val="설치도면 (2)"/>
      <sheetName val="설계계획서"/>
      <sheetName val="계획서표 지"/>
      <sheetName val="공량단가"/>
      <sheetName val="설계서"/>
      <sheetName val="DATE"/>
      <sheetName val="계정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내역서"/>
      <sheetName val="공사개요"/>
      <sheetName val="집계표(수배전제조구매)"/>
      <sheetName val="DATE"/>
      <sheetName val="설계서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지촌덕평"/>
      <sheetName val="지잡비"/>
      <sheetName val="사업비"/>
      <sheetName val="발계비교"/>
      <sheetName val="발부비"/>
      <sheetName val="1덕평흑석"/>
      <sheetName val="1공잡비"/>
      <sheetName val="2흑석옥성"/>
      <sheetName val="2공잡비"/>
      <sheetName val="수의"/>
      <sheetName val="수잡비"/>
      <sheetName val="00"/>
      <sheetName val="문광당총"/>
      <sheetName val="문당총잡비"/>
      <sheetName val="11"/>
      <sheetName val="청천내"/>
      <sheetName val="청천잡"/>
      <sheetName val="공사검사조서"/>
      <sheetName val="감리원감리조서"/>
      <sheetName val="확인내역서"/>
      <sheetName val="갑지"/>
      <sheetName val="검사원"/>
      <sheetName val="총괄원가"/>
      <sheetName val="집계표(공사)"/>
      <sheetName val="건축원가"/>
      <sheetName val="건축집계표(공종)"/>
      <sheetName val="건축내역"/>
      <sheetName val="설비원가"/>
      <sheetName val="설비집계표(공종)"/>
      <sheetName val="토목원가"/>
      <sheetName val="토목집계표(공종)"/>
      <sheetName val="토목내역"/>
      <sheetName val="조경원가"/>
      <sheetName val="조경집계표(공종)"/>
      <sheetName val="속지"/>
      <sheetName val="Sheet1"/>
      <sheetName val="원가계산"/>
      <sheetName val="데이타"/>
      <sheetName val="노임단가"/>
      <sheetName val="수목단가"/>
      <sheetName val="시설수량표"/>
      <sheetName val="식재수량표"/>
      <sheetName val="일위목록"/>
      <sheetName val="자재단가"/>
      <sheetName val="2000년1차"/>
      <sheetName val="2000전체분"/>
      <sheetName val="실행대비"/>
      <sheetName val="설변공종별"/>
      <sheetName val="설변조정내역"/>
      <sheetName val="건기토원가"/>
      <sheetName val="집계표"/>
      <sheetName val="기계원가"/>
      <sheetName val="건축집계"/>
      <sheetName val="기계내역"/>
      <sheetName val="표지"/>
      <sheetName val="기계경비"/>
      <sheetName val="을"/>
      <sheetName val="원가data"/>
      <sheetName val="공구"/>
      <sheetName val="현장경비"/>
      <sheetName val="DATE"/>
      <sheetName val="조정3월13일료일새벽"/>
      <sheetName val="설계내역서"/>
      <sheetName val="개요"/>
      <sheetName val="현장관리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중기사용료"/>
      <sheetName val="진주방향"/>
      <sheetName val="제잡비계산"/>
      <sheetName val="중기집계"/>
      <sheetName val="건축공사실행"/>
      <sheetName val="지수자료"/>
      <sheetName val="RE9604"/>
      <sheetName val="우배수"/>
      <sheetName val="계산식"/>
      <sheetName val="원가"/>
      <sheetName val="동원인원"/>
      <sheetName val="전체"/>
      <sheetName val="내역"/>
      <sheetName val="200"/>
      <sheetName val="약품공급2"/>
      <sheetName val="A 견적"/>
      <sheetName val="단가산출서"/>
      <sheetName val="단가산출서 (2)"/>
      <sheetName val="#REF"/>
      <sheetName val="직접인건비"/>
      <sheetName val="직접경비"/>
      <sheetName val="업무량"/>
      <sheetName val="계정"/>
      <sheetName val="자재단가비교표"/>
      <sheetName val="원가계산서"/>
      <sheetName val="설계명세서"/>
      <sheetName val="금액"/>
      <sheetName val="용역비내역-진짜"/>
      <sheetName val="배수장토목공사비"/>
      <sheetName val="2003상반기노임기준"/>
      <sheetName val="상계견적"/>
      <sheetName val="변경내역서"/>
      <sheetName val="일위대가"/>
      <sheetName val="참고사항"/>
      <sheetName val="작성"/>
      <sheetName val="데이터"/>
      <sheetName val="관접합및부설"/>
      <sheetName val="단가"/>
      <sheetName val="총괄내역서"/>
      <sheetName val="참고자료"/>
      <sheetName val="일위대가표"/>
      <sheetName val="시멘트"/>
      <sheetName val="제경비율"/>
      <sheetName val="현장경상비"/>
      <sheetName val="중기조종사 단위단가"/>
      <sheetName val="신.분"/>
      <sheetName val="협력업체"/>
      <sheetName val="테이블"/>
      <sheetName val="11-2.아파트내역"/>
      <sheetName val="설계예산서"/>
      <sheetName val="한강운반비"/>
      <sheetName val="산출내역서집계표"/>
      <sheetName val="일위산출"/>
      <sheetName val="FB25JN"/>
      <sheetName val="요율"/>
      <sheetName val="자재대"/>
      <sheetName val="공사개요"/>
      <sheetName val="내역서"/>
      <sheetName val="퍼스트"/>
      <sheetName val="Total"/>
      <sheetName val="투입비"/>
      <sheetName val="지수980731이후"/>
      <sheetName val="총괄장"/>
      <sheetName val=" 갑  지 "/>
      <sheetName val="21301동"/>
      <sheetName val="단위가격"/>
      <sheetName val="단가보완"/>
      <sheetName val="목록"/>
      <sheetName val="CON'C"/>
      <sheetName val="마케팅"/>
      <sheetName val="목차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건축내역서"/>
      <sheetName val="설비내역서"/>
      <sheetName val="전기내역서"/>
      <sheetName val="기준자료1"/>
      <sheetName val="1-최종안"/>
      <sheetName val="사업분석-분양가결정"/>
      <sheetName val="입찰견적보고서"/>
      <sheetName val="전차선로 물량표"/>
      <sheetName val="산근"/>
      <sheetName val="변수값"/>
      <sheetName val="중기상차"/>
      <sheetName val="AS복구"/>
      <sheetName val="중기터파기"/>
      <sheetName val="MEMBER"/>
      <sheetName val="DB"/>
      <sheetName val="일위대가 "/>
      <sheetName val="MOTOR"/>
      <sheetName val="교각1"/>
      <sheetName val="옥내소화전계산서"/>
      <sheetName val="단가표"/>
      <sheetName val="노임"/>
      <sheetName val="4.전기"/>
      <sheetName val="단가 (2)"/>
      <sheetName val="신규일위"/>
      <sheetName val="단면가정"/>
      <sheetName val="물가자료"/>
      <sheetName val="설계서(건축분)"/>
      <sheetName val="품셈TABLE"/>
      <sheetName val="실행(ALT1)"/>
      <sheetName val="실행철강하도"/>
      <sheetName val="ABUT수량-A1"/>
      <sheetName val="명세서"/>
      <sheetName val="Sheet1 (2)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금액내역서"/>
      <sheetName val="플랜트 설치"/>
      <sheetName val="내역서1999.8최종"/>
      <sheetName val="자재"/>
      <sheetName val="의왕실행"/>
      <sheetName val="실행(1)"/>
      <sheetName val="BID"/>
      <sheetName val="설비2차"/>
      <sheetName val="현장관리비참조"/>
      <sheetName val="Y-WORK"/>
      <sheetName val="공사비배분명세서(각사별)"/>
      <sheetName val="임시정보시트"/>
      <sheetName val="계산서(곡선부)"/>
      <sheetName val="포장재료집계표"/>
      <sheetName val="고유코드_설계"/>
      <sheetName val="부대경비산출서"/>
      <sheetName val="각형맨홀"/>
      <sheetName val="평가데이터"/>
      <sheetName val="내역서(조경)"/>
      <sheetName val="목창호"/>
      <sheetName val="견적대비표"/>
      <sheetName val="MEXICO-C"/>
      <sheetName val="부속동"/>
      <sheetName val="예정공정표"/>
      <sheetName val="초기화면"/>
      <sheetName val="근로자자료입력"/>
      <sheetName val="구조물"/>
      <sheetName val="6호기"/>
      <sheetName val="기초단가"/>
      <sheetName val="기본단가표"/>
      <sheetName val="A"/>
      <sheetName val="갑지1"/>
      <sheetName val="연부97-1"/>
      <sheetName val="식재인부"/>
      <sheetName val="8.설치품셈"/>
      <sheetName val="4.공정"/>
      <sheetName val="６공예"/>
      <sheetName val="5-1신설물량"/>
      <sheetName val="토목"/>
      <sheetName val="FOB발"/>
      <sheetName val="조명율표"/>
      <sheetName val="가설공사비"/>
      <sheetName val="도로구조공사비"/>
      <sheetName val="도로토공공사비"/>
      <sheetName val="여수토공사비"/>
      <sheetName val="산정표"/>
      <sheetName val="중기사용료산출근거"/>
      <sheetName val="단가산출2"/>
      <sheetName val="단가 및 재료비"/>
      <sheetName val="세부추진"/>
      <sheetName val="CTEMCOST"/>
      <sheetName val="단가(자재)"/>
      <sheetName val="단가(노임)"/>
      <sheetName val="기초목록"/>
      <sheetName val="전기계산"/>
      <sheetName val="코드표"/>
      <sheetName val="건축집계표"/>
      <sheetName val="기초입력 DATA"/>
      <sheetName val="측량요율"/>
      <sheetName val="토량1-1"/>
      <sheetName val="05-원가계산"/>
      <sheetName val="단가비교표"/>
      <sheetName val="공사비내역서"/>
      <sheetName val="노무"/>
      <sheetName val="참조M"/>
      <sheetName val="참조"/>
      <sheetName val="계양가시설"/>
      <sheetName val="접지수량"/>
      <sheetName val="증감내역서"/>
      <sheetName val="실행"/>
      <sheetName val="예산서"/>
      <sheetName val="조명시설"/>
      <sheetName val="소방"/>
      <sheetName val="단중표"/>
      <sheetName val="계획금액"/>
      <sheetName val="토공사"/>
      <sheetName val="자료입력"/>
      <sheetName val="직노"/>
      <sheetName val="내역표지"/>
      <sheetName val="건축"/>
      <sheetName val="구조"/>
      <sheetName val="설계서(7)"/>
      <sheetName val="을지"/>
      <sheetName val="공정표"/>
      <sheetName val="교통대책내역"/>
      <sheetName val="입찰안"/>
      <sheetName val="일위집계(기존)"/>
      <sheetName val="esc(건축)"/>
      <sheetName val="관급자재"/>
      <sheetName val="공내역"/>
      <sheetName val="용수량(생활용수)"/>
      <sheetName val="수량산출"/>
      <sheetName val="현장관리비"/>
      <sheetName val="골조시행"/>
      <sheetName val="준검 내역서"/>
      <sheetName val="수량산출서 (2)"/>
      <sheetName val="철거집계"/>
      <sheetName val="투찰"/>
      <sheetName val="비계공사"/>
      <sheetName val="분석대장"/>
      <sheetName val="base"/>
      <sheetName val="교각계산"/>
      <sheetName val="원가총괄"/>
      <sheetName val="제경비"/>
      <sheetName val="직공비"/>
      <sheetName val="전입"/>
      <sheetName val="터파기및재료"/>
      <sheetName val="단가및재료비"/>
      <sheetName val="건축-물가변동"/>
      <sheetName val="문학간접"/>
      <sheetName val="출근현황표"/>
      <sheetName val="우각부보강"/>
      <sheetName val="spc 배관견적"/>
      <sheetName val="빗물받이(910-510-410)"/>
      <sheetName val="결재갑지"/>
      <sheetName val="DATA"/>
      <sheetName val="database"/>
      <sheetName val="결재판"/>
      <sheetName val="실행기고및 투입현황(총괄)"/>
      <sheetName val="1"/>
      <sheetName val="2"/>
      <sheetName val="3"/>
      <sheetName val="4"/>
      <sheetName val="5"/>
      <sheetName val="6"/>
      <sheetName val="물가대비표"/>
      <sheetName val="집계"/>
      <sheetName val="총괄표"/>
      <sheetName val="바닥판"/>
      <sheetName val="입력DATA"/>
      <sheetName val="단가일람"/>
      <sheetName val="조경일람"/>
      <sheetName val="재료비"/>
      <sheetName val="4차원가계산서"/>
      <sheetName val="산출내역서"/>
      <sheetName val="인사자료총집계"/>
      <sheetName val="표지 (2)"/>
      <sheetName val="사업총괄"/>
      <sheetName val="판매시설"/>
      <sheetName val="Macro(차단기)"/>
      <sheetName val="물가시세"/>
      <sheetName val="Sheet5"/>
      <sheetName val="D"/>
      <sheetName val="동해title"/>
      <sheetName val="도급내역"/>
      <sheetName val="원가계산하도"/>
      <sheetName val="직원명부"/>
      <sheetName val="사회복지관"/>
      <sheetName val="401"/>
      <sheetName val="내역서 제출"/>
      <sheetName val="일위대가목록"/>
      <sheetName val="계장 품셈표"/>
      <sheetName val="강관파일내역"/>
      <sheetName val="아파트기별"/>
      <sheetName val="공리일"/>
      <sheetName val="장비사용료"/>
      <sheetName val="실행내역서"/>
      <sheetName val="수량집계"/>
      <sheetName val="산출근거"/>
      <sheetName val="장비사양"/>
      <sheetName val="장비집계"/>
      <sheetName val="품셈 "/>
      <sheetName val="PAINT"/>
      <sheetName val="방화도료"/>
      <sheetName val="프랜트면허"/>
      <sheetName val="적격심사표"/>
      <sheetName val="건축일위"/>
      <sheetName val="그라우팅일위"/>
      <sheetName val="앉음벽 (2)"/>
      <sheetName val="자재단가일람"/>
      <sheetName val="중기일람"/>
      <sheetName val="설계변경총괄표(계산식)"/>
      <sheetName val="기계경비(시간당)"/>
      <sheetName val="램머"/>
      <sheetName val="중간"/>
      <sheetName val="Macro1"/>
      <sheetName val="자동제어"/>
      <sheetName val="배관가대"/>
      <sheetName val="펌프자재"/>
      <sheetName val="여과지동"/>
      <sheetName val="기초자료"/>
      <sheetName val="총괄내역"/>
      <sheetName val="건축개요"/>
      <sheetName val="실행간접비"/>
      <sheetName val="부대내역"/>
      <sheetName val="1공구 건정토건 철콘"/>
      <sheetName val="공사기본내용"/>
      <sheetName val="영동(D)"/>
      <sheetName val="부하계산서"/>
      <sheetName val="부하(성남)"/>
      <sheetName val="물량"/>
      <sheetName val="수설계"/>
      <sheetName val="운영비"/>
      <sheetName val="설계서"/>
      <sheetName val="을지DVM"/>
      <sheetName val="기초자료입력"/>
      <sheetName val="준공정산"/>
      <sheetName val="pier(각형)"/>
      <sheetName val="설계명세"/>
      <sheetName val="총괄"/>
      <sheetName val="공사"/>
      <sheetName val="전기"/>
      <sheetName val="값"/>
      <sheetName val="SAKUB"/>
      <sheetName val="Customer Databas"/>
      <sheetName val="대포2교접속"/>
      <sheetName val="천방교접속"/>
      <sheetName val="소비자가"/>
      <sheetName val="96.12"/>
      <sheetName val="ELECTRIC"/>
      <sheetName val="당진1,2호기전선관설치및접지4차공사내역서-을지"/>
      <sheetName val="건축2"/>
      <sheetName val="도급기성"/>
      <sheetName val="단가산출1"/>
      <sheetName val="원가계산서(남측)"/>
      <sheetName val="월별수입"/>
      <sheetName val="총 원가계산"/>
      <sheetName val="cal"/>
      <sheetName val="화성태안9공구내역(실행)"/>
      <sheetName val="예산명세서"/>
      <sheetName val="IBASE"/>
      <sheetName val="시설일위"/>
      <sheetName val="고가수조"/>
      <sheetName val="우수"/>
      <sheetName val="단가대비표"/>
      <sheetName val="본선토량운반계산서(1)0"/>
      <sheetName val="정보"/>
      <sheetName val="하중조건(평상시)"/>
      <sheetName val="재집"/>
      <sheetName val="3련 BOX"/>
      <sheetName val="c_balju"/>
      <sheetName val="경율산정.XLS"/>
      <sheetName val="대창(장성)"/>
      <sheetName val="한양대 에리카캠퍼스 증축공사(170109).xlsm"/>
      <sheetName val="갑지(추정)"/>
      <sheetName val="BSD (2)"/>
      <sheetName val="신_분"/>
      <sheetName val="단가산출서_(2)"/>
      <sheetName val="_갑__지_"/>
      <sheetName val="A_견적"/>
      <sheetName val="설계서(본관)"/>
      <sheetName val="해평견적"/>
      <sheetName val="DATA1"/>
      <sheetName val="우수받이"/>
      <sheetName val="도장면"/>
      <sheetName val="공량산출근거서"/>
      <sheetName val="SAM"/>
      <sheetName val="양배수장"/>
      <sheetName val="자판실행"/>
      <sheetName val="단가조사"/>
      <sheetName val="-치수표(곡선부)"/>
      <sheetName val=""/>
      <sheetName val="집계(세부총괄)"/>
      <sheetName val="H-PILE수량집계"/>
      <sheetName val="설계내역"/>
      <sheetName val="조건"/>
      <sheetName val="99노임단가"/>
      <sheetName val="tggwan(mac)"/>
      <sheetName val="수안보-MBR1"/>
      <sheetName val="공사비 증감 내역서"/>
      <sheetName val="정공공사"/>
      <sheetName val="2.고용보험료산출근거"/>
      <sheetName val="간지"/>
      <sheetName val="공사요율"/>
      <sheetName val="산출3-동력"/>
      <sheetName val="산출4-전등"/>
      <sheetName val="내역갑지"/>
      <sheetName val="토목주소"/>
      <sheetName val="작업일보-7월"/>
      <sheetName val="장"/>
      <sheetName val="자"/>
      <sheetName val="Sheet4"/>
      <sheetName val="증감대비"/>
      <sheetName val="위치조서"/>
      <sheetName val="날개벽(시점좌측)"/>
      <sheetName val="단가산출"/>
      <sheetName val="기계경비산출기준"/>
      <sheetName val="중기단가"/>
      <sheetName val="노임단가 (2)"/>
      <sheetName val="실행내역"/>
      <sheetName val="식재가격"/>
      <sheetName val="식재총괄"/>
      <sheetName val="rate"/>
      <sheetName val="일위대가-1"/>
      <sheetName val="결재판(삭제하지말아주세요)"/>
      <sheetName val="O＆P"/>
      <sheetName val="통신내역서"/>
      <sheetName val="산출집계"/>
      <sheetName val="1. 조명내역서(조명설치)"/>
      <sheetName val="2. 조명내역서(조명자재)"/>
      <sheetName val="일위대가집계표"/>
      <sheetName val="설계기준"/>
      <sheetName val="내역1"/>
      <sheetName val="일위"/>
      <sheetName val="가시설"/>
      <sheetName val="준공평가"/>
      <sheetName val="아파트 내역"/>
      <sheetName val="자재목록"/>
      <sheetName val="견적"/>
      <sheetName val="예산내역서"/>
      <sheetName val="총계"/>
      <sheetName val="유치원내역"/>
      <sheetName val="노무비 근거"/>
      <sheetName val="기성내역"/>
      <sheetName val="당사실시1"/>
      <sheetName val="개산공사비"/>
      <sheetName val="대공종"/>
      <sheetName val="블럭 손익"/>
      <sheetName val="공사명입력"/>
      <sheetName val="플랜트_설치"/>
      <sheetName val="중기조종사_단위단가"/>
      <sheetName val="전차선로_물량표"/>
      <sheetName val="11-2_아파트내역"/>
      <sheetName val="4_전기"/>
      <sheetName val="단가_(2)"/>
      <sheetName val="공통가설"/>
      <sheetName val="전기일위목록"/>
      <sheetName val="옥외외등집계표"/>
      <sheetName val="내역- CCTV"/>
      <sheetName val="중기"/>
      <sheetName val="춘천13"/>
      <sheetName val="Sheet2"/>
      <sheetName val="인건비 "/>
      <sheetName val="철거산출근거"/>
      <sheetName val="입출재고현황 (2)"/>
      <sheetName val="연결임시"/>
      <sheetName val="날개벽수량표"/>
      <sheetName val="정산내역서갑지"/>
      <sheetName val="토공집계"/>
      <sheetName val="삭제금지단가"/>
      <sheetName val="전신"/>
      <sheetName val="환경기계공정표 (3)"/>
      <sheetName val="노임이"/>
      <sheetName val="수량산출서"/>
      <sheetName val="(A)내역서"/>
      <sheetName val="98수문일위"/>
      <sheetName val="JUCK"/>
      <sheetName val="예총"/>
      <sheetName val="설계예시"/>
      <sheetName val="1차증가원가계산"/>
      <sheetName val="공사예산하조서"/>
      <sheetName val="말뚝지지력산정"/>
      <sheetName val="교량공"/>
      <sheetName val="계정code"/>
      <sheetName val="7단가"/>
      <sheetName val="제출내역 (2)"/>
      <sheetName val="연동내역"/>
      <sheetName val="01"/>
      <sheetName val="제안서입력"/>
      <sheetName val="계수시트"/>
      <sheetName val="1~9 하중계산"/>
      <sheetName val="견적단가"/>
      <sheetName val="공종단가"/>
      <sheetName val="부대집계"/>
      <sheetName val="광장"/>
      <sheetName val="REDUCER"/>
      <sheetName val="WE'T"/>
      <sheetName val="합천내역"/>
      <sheetName val="전체내역"/>
      <sheetName val="세진TS안성사무실-건축"/>
      <sheetName val="계약서"/>
      <sheetName val="건축명"/>
      <sheetName val="기계명"/>
      <sheetName val="전기명"/>
      <sheetName val="토목명"/>
      <sheetName val="간접비계산"/>
      <sheetName val="A LINE"/>
      <sheetName val="전기설계변경"/>
      <sheetName val="30집계표"/>
      <sheetName val="공사비예비관리공감측설산출내역"/>
      <sheetName val="총원가계산서(요율)"/>
      <sheetName val="원가계산서 (건축)"/>
      <sheetName val="중기일위대가목록"/>
      <sheetName val="단가산출조서목록"/>
      <sheetName val="표준시장 단가"/>
      <sheetName val="평당공사비산정"/>
      <sheetName val="차액보증"/>
      <sheetName val="시중노임단가"/>
      <sheetName val="금전출납"/>
      <sheetName val="직영명부"/>
      <sheetName val="C1.공사개요"/>
      <sheetName val="A1.스케쥴"/>
      <sheetName val="가설공사내역"/>
      <sheetName val="유림골조"/>
      <sheetName val="계수"/>
      <sheetName val="공종별 집계"/>
      <sheetName val="실행내역서 "/>
      <sheetName val="16-1"/>
      <sheetName val="인건비"/>
      <sheetName val="직재"/>
      <sheetName val="장비경비"/>
      <sheetName val="수목데이타"/>
      <sheetName val="자재일람"/>
      <sheetName val="산2-2-1.EQUIP기본"/>
      <sheetName val="세금자료"/>
      <sheetName val="계단"/>
      <sheetName val="담장배수로"/>
      <sheetName val="배수로"/>
      <sheetName val="운영경비"/>
      <sheetName val="wall"/>
      <sheetName val="가공2원도"/>
      <sheetName val="공사비"/>
      <sheetName val="노단"/>
      <sheetName val="단산"/>
      <sheetName val="명세"/>
      <sheetName val="일대"/>
      <sheetName val="[조정3월13일료일새벽.xls]_________TEM_2"/>
      <sheetName val="3.고용보험료산출근거"/>
      <sheetName val="4.고용보험"/>
      <sheetName val="입력표"/>
      <sheetName val="가도공"/>
      <sheetName val="아파트"/>
      <sheetName val="상세"/>
      <sheetName val="가교,제잡비율"/>
      <sheetName val="3연box"/>
      <sheetName val="정산내역"/>
      <sheetName val="경비"/>
      <sheetName val="노무비"/>
      <sheetName val="일위대가_호표"/>
      <sheetName val="계획시간"/>
      <sheetName val="6-1. 관개량조서"/>
      <sheetName val="1승인신청서"/>
      <sheetName val="과천MAIN"/>
      <sheetName val="2001년계약내력출력분"/>
      <sheetName val="1차기성분내력"/>
      <sheetName val="04년부품"/>
      <sheetName val="건설산출"/>
      <sheetName val="중강당 내역"/>
      <sheetName val="간접"/>
      <sheetName val="노무비청구서"/>
      <sheetName val="투자비"/>
      <sheetName val="조성원가DATA"/>
      <sheetName val="일위대가_"/>
      <sheetName val="내역서1999_8최종"/>
      <sheetName val="Sheet1_(2)"/>
      <sheetName val="단가_및_재료비"/>
      <sheetName val="spc_배관견적"/>
      <sheetName val="수량산출서_(2)"/>
      <sheetName val="기초입력_DATA"/>
      <sheetName val="계장_품셈표"/>
      <sheetName val="내역서_제출"/>
      <sheetName val="1공구_건정토건_철콘"/>
      <sheetName val="표지_(2)"/>
      <sheetName val="신_분1"/>
      <sheetName val="11-2_아파트내역1"/>
      <sheetName val="단가산출서_(2)1"/>
      <sheetName val="A_견적1"/>
      <sheetName val="_갑__지_1"/>
      <sheetName val="중기조종사_단위단가1"/>
      <sheetName val="일위대가_1"/>
      <sheetName val="플랜트_설치1"/>
      <sheetName val="전차선로_물량표1"/>
      <sheetName val="내역서1999_8최종1"/>
      <sheetName val="Sheet1_(2)1"/>
      <sheetName val="단가_(2)1"/>
      <sheetName val="4_전기1"/>
      <sheetName val="단가_및_재료비1"/>
      <sheetName val="spc_배관견적1"/>
      <sheetName val="수량산출서_(2)1"/>
      <sheetName val="기초입력_DATA1"/>
      <sheetName val="계장_품셈표1"/>
      <sheetName val="내역서_제출1"/>
      <sheetName val="1공구_건정토건_철콘1"/>
      <sheetName val="표지_(2)1"/>
      <sheetName val="4_공정"/>
      <sheetName val="노임단가_(2)"/>
      <sheetName val="품셈_"/>
      <sheetName val="실행기고및_투입현황(총괄)"/>
      <sheetName val="준검_내역서"/>
      <sheetName val="96_12"/>
      <sheetName val="8_설치품셈"/>
      <sheetName val="앉음벽_(2)"/>
      <sheetName val="환경기계공정표_(3)"/>
      <sheetName val="경율산정_XLS"/>
      <sheetName val="1__조명내역서(조명설치)"/>
      <sheetName val="2__조명내역서(조명자재)"/>
      <sheetName val="총_원가계산"/>
      <sheetName val="아파트_내역"/>
      <sheetName val="3련_BOX"/>
      <sheetName val="노무비_근거"/>
      <sheetName val="내역-_CCTV"/>
      <sheetName val="인건비_"/>
      <sheetName val="견적을"/>
      <sheetName val="변경갑지"/>
      <sheetName val="증감(갑지)"/>
      <sheetName val="인원"/>
      <sheetName val="거래처등록"/>
      <sheetName val="부2"/>
      <sheetName val="00상노임"/>
      <sheetName val="손익분기점 데이터"/>
      <sheetName val="수목표준대가"/>
      <sheetName val="I一般比"/>
      <sheetName val="Cover"/>
      <sheetName val="계측제어설비"/>
      <sheetName val="토목원가계산"/>
      <sheetName val="내역5"/>
      <sheetName val="법면단"/>
      <sheetName val="구분자"/>
      <sheetName val="b_balju_cho"/>
      <sheetName val="공사통보서"/>
      <sheetName val="시설물일위"/>
      <sheetName val="가설공사"/>
      <sheetName val="단가결정"/>
      <sheetName val="내역아"/>
      <sheetName val="울타리"/>
      <sheetName val="화재 탐지 설비"/>
      <sheetName val="CODE"/>
      <sheetName val="간선계산"/>
      <sheetName val="수량총"/>
      <sheetName val="토공총"/>
      <sheetName val="산출내역"/>
      <sheetName val="본실행경비"/>
      <sheetName val="AS포장복구 "/>
      <sheetName val="관련자료입력"/>
      <sheetName val="기계경비시간당손료목록"/>
      <sheetName val="6.7현장운영"/>
      <sheetName val="단위단가"/>
      <sheetName val="hvac(제어동)"/>
      <sheetName val="콘크스"/>
      <sheetName val="입력"/>
      <sheetName val="품셈표"/>
      <sheetName val="입력란"/>
      <sheetName val="97노임단가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단위수량"/>
      <sheetName val="설계조건"/>
      <sheetName val="시장"/>
      <sheetName val="캔개발배경"/>
      <sheetName val="일정표"/>
      <sheetName val="용수지선토적"/>
      <sheetName val="도로토적"/>
      <sheetName val="총공비"/>
      <sheetName val="재료집계표"/>
      <sheetName val="재료값"/>
      <sheetName val="중기단가목록"/>
      <sheetName val="중기단가산출서"/>
      <sheetName val="공통(20-91)"/>
      <sheetName val="마산방향철근집계"/>
      <sheetName val="마산방향"/>
      <sheetName val="기본단가"/>
      <sheetName val="할증"/>
      <sheetName val="부가세별도"/>
      <sheetName val="5.2.6~7공사요율"/>
      <sheetName val="1,2공구원가계산서"/>
      <sheetName val="1공구산출내역서"/>
      <sheetName val="쌍송교"/>
      <sheetName val="두현공사"/>
      <sheetName val="양촌면도평리"/>
      <sheetName val="주공 갑지"/>
      <sheetName val="잡비계산"/>
      <sheetName val="관급자재대"/>
      <sheetName val="설비(제출)"/>
      <sheetName val="견적조건"/>
      <sheetName val="조도계산서 (도서)"/>
      <sheetName val="예산변경사항"/>
      <sheetName val="경산"/>
      <sheetName val="EQT-ESTN"/>
      <sheetName val="11-2_아파트내역2"/>
      <sheetName val="신_분2"/>
      <sheetName val="단가산출서_(2)2"/>
      <sheetName val="A_견적2"/>
      <sheetName val="중기조종사_단위단가2"/>
      <sheetName val="_갑__지_2"/>
      <sheetName val="일위대가_2"/>
      <sheetName val="플랜트_설치2"/>
      <sheetName val="전차선로_물량표2"/>
      <sheetName val="공사비_증감_내역서"/>
      <sheetName val="블럭_손익"/>
      <sheetName val="BSD_(2)"/>
      <sheetName val="한양대_에리카캠퍼스_증축공사(170109)_xlsm"/>
      <sheetName val="원가계산서_(건축)"/>
      <sheetName val="표준시장_단가"/>
      <sheetName val="제출내역_(2)"/>
      <sheetName val="2_고용보험료산출근거"/>
      <sheetName val="A_LINE"/>
      <sheetName val="Customer_Databas"/>
      <sheetName val="입출재고현황_(2)"/>
      <sheetName val="1~9_하중계산"/>
      <sheetName val="공종별_집계"/>
      <sheetName val="실행내역서_"/>
      <sheetName val="6-1__관개량조서"/>
      <sheetName val="중강당_내역"/>
      <sheetName val="3_고용보험료산출근거"/>
      <sheetName val="4_고용보험"/>
      <sheetName val="기본사항"/>
      <sheetName val="이형관"/>
      <sheetName val="그림"/>
      <sheetName val="고부제"/>
      <sheetName val="삼기제"/>
      <sheetName val="원평천상류2차"/>
      <sheetName val="일반하천실시설계용역"/>
      <sheetName val="조촌제"/>
      <sheetName val="제품정보"/>
      <sheetName val="nys"/>
      <sheetName val="공사원가계산서 "/>
      <sheetName val="04 건축"/>
      <sheetName val="일위대가(가설)"/>
      <sheetName val="P1(좌,우)"/>
      <sheetName val="공사비산출내역"/>
      <sheetName val="인부신상자료"/>
      <sheetName val="손익분기점_데이터"/>
      <sheetName val="내역-_CCTV1"/>
      <sheetName val="앉음벽_(2)1"/>
      <sheetName val="노무비_근거1"/>
      <sheetName val="A_견적3"/>
      <sheetName val="단가산출서_(2)3"/>
      <sheetName val="단가_및_재료비2"/>
      <sheetName val="신_분3"/>
      <sheetName val="Sheet1_(2)2"/>
      <sheetName val="_갑__지_3"/>
      <sheetName val="내역-_CCTV2"/>
      <sheetName val="내역서1999_8최종2"/>
      <sheetName val="4_전기2"/>
      <sheetName val="spc_배관견적2"/>
      <sheetName val="앉음벽_(2)2"/>
      <sheetName val="노무비_근거2"/>
      <sheetName val="이름교환"/>
      <sheetName val="하수급견적대비"/>
      <sheetName val="7.현장총괄"/>
      <sheetName val="상각비"/>
      <sheetName val="상호참고자료"/>
      <sheetName val="발주처자료입력"/>
      <sheetName val="회사기본자료"/>
      <sheetName val="하자보증자료"/>
      <sheetName val="기술자관련자료"/>
      <sheetName val="무시"/>
      <sheetName val="10월"/>
      <sheetName val="1월"/>
      <sheetName val="8월"/>
      <sheetName val="조견표"/>
      <sheetName val="7월"/>
      <sheetName val="공문"/>
      <sheetName val="금융"/>
      <sheetName val="성단물량"/>
      <sheetName val="포장집계"/>
      <sheetName val="포장연장"/>
      <sheetName val="입력자료"/>
      <sheetName val="회계코드"/>
      <sheetName val="공사코드"/>
      <sheetName val="관리부"/>
      <sheetName val="정산"/>
      <sheetName val="청구분"/>
      <sheetName val="총무부"/>
      <sheetName val="소화실적"/>
      <sheetName val="관급"/>
      <sheetName val="FAB별"/>
      <sheetName val="물가시세표"/>
      <sheetName val="중사"/>
      <sheetName val="[조정3월13일료일새벽.xls]_________TEM_3"/>
      <sheetName val="[조정3월13일료일새벽.xls]_________TEM_4"/>
      <sheetName val="[조정3월13일료일새벽.xls]_________TEM_5"/>
      <sheetName val="[조정3월13일료일새벽.xls]_________TEM_6"/>
      <sheetName val="[조정3월13일료일새벽.xls]_________TEM_9"/>
      <sheetName val="[조정3월13일료일새벽.xls]_________TEM_7"/>
      <sheetName val="[조정3월13일료일새벽.xls]_________TEM_8"/>
      <sheetName val="[조정3월13일료일새벽.xls]_________TE_10"/>
      <sheetName val="[조정3월13일료일새벽.xls]_________TE_14"/>
      <sheetName val="[조정3월13일료일새벽.xls]_________TE_11"/>
      <sheetName val="[조정3월13일료일새벽.xls]_________TE_12"/>
      <sheetName val="[조정3월13일료일새벽.xls]_________TE_13"/>
      <sheetName val="[조정3월13일료일새벽.xls]_________TE_15"/>
      <sheetName val="산출근거1"/>
      <sheetName val="직접비"/>
      <sheetName val="골조공사"/>
      <sheetName val="사진대지"/>
      <sheetName val="구조해석"/>
      <sheetName val="산출서"/>
      <sheetName val="단가기준"/>
      <sheetName val="1.앞장표지"/>
      <sheetName val="[조정3월13일료일새벽.xls]_________TE_16"/>
      <sheetName val="[조정3월13일료일새벽.xls]_________TE_17"/>
      <sheetName val="비목군분류일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/>
      <sheetData sheetId="775"/>
      <sheetData sheetId="776"/>
      <sheetData sheetId="777"/>
      <sheetData sheetId="778"/>
      <sheetData sheetId="779" refreshError="1"/>
      <sheetData sheetId="780" refreshError="1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/>
      <sheetData sheetId="823"/>
      <sheetData sheetId="824"/>
      <sheetData sheetId="825"/>
      <sheetData sheetId="826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/>
      <sheetData sheetId="881"/>
      <sheetData sheetId="88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평가데이터"/>
      <sheetName val="경영상태(PQ)"/>
      <sheetName val="시공여유율(PQ)"/>
      <sheetName val="100억이상"/>
      <sheetName val="시공여유율(100억)"/>
      <sheetName val="50억이상"/>
      <sheetName val="10억이상"/>
      <sheetName val="10억미만"/>
      <sheetName val="DATA98"/>
      <sheetName val="우수명단"/>
      <sheetName val="청천내"/>
      <sheetName val="200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표지"/>
      <sheetName val="갑지"/>
      <sheetName val="내역서"/>
      <sheetName val="특기시방서"/>
      <sheetName val="기계설비시방서"/>
      <sheetName val="내역서 "/>
      <sheetName val="2000년1차"/>
      <sheetName val="2000전체분"/>
      <sheetName val="요율"/>
      <sheetName val="자재대"/>
      <sheetName val="ELECTRIC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퇴직금(울산천상)"/>
      <sheetName val="조건"/>
      <sheetName val="산출내역서집계표"/>
      <sheetName val="데이타"/>
      <sheetName val="설계내역서"/>
      <sheetName val="DATE"/>
      <sheetName val="노임이"/>
      <sheetName val="내역"/>
      <sheetName val="지수자료"/>
      <sheetName val="00경영적격"/>
      <sheetName val="설계실행투찰"/>
      <sheetName val="을"/>
      <sheetName val="단가"/>
      <sheetName val="골재"/>
      <sheetName val="Sheet1"/>
      <sheetName val="전체"/>
      <sheetName val="금액"/>
      <sheetName val="공통비"/>
      <sheetName val="유치원내역"/>
      <sheetName val="하수급견적대비"/>
      <sheetName val="database"/>
      <sheetName val="평ꐀ데이터"/>
      <sheetName val="원가"/>
      <sheetName val="설계명세서"/>
      <sheetName val="자료입력"/>
      <sheetName val="공문"/>
      <sheetName val="기성검사원"/>
      <sheetName val="개산급사유서"/>
      <sheetName val="제경비"/>
      <sheetName val="제경비산출"/>
      <sheetName val="Sheet2"/>
      <sheetName val="E.S산근"/>
      <sheetName val="E.S적용"/>
      <sheetName val="기성검사조서"/>
      <sheetName val="요청사진"/>
      <sheetName val="검사사진"/>
      <sheetName val="청구서갑지"/>
      <sheetName val="청구서"/>
      <sheetName val="공량(1월22일)"/>
      <sheetName val="안양건축"/>
      <sheetName val="가설건물"/>
      <sheetName val="3.공통공사대비"/>
      <sheetName val="동원인원"/>
      <sheetName val="시설물일위"/>
      <sheetName val="가설공사"/>
      <sheetName val="단가결정"/>
      <sheetName val="내역아"/>
      <sheetName val="울타리"/>
      <sheetName val="초기화면"/>
      <sheetName val="고막원폐기물"/>
      <sheetName val="실행내역서"/>
      <sheetName val="일위대가"/>
      <sheetName val="백호우계수"/>
      <sheetName val="중기가격"/>
      <sheetName val="준검 내역서"/>
      <sheetName val="우배수"/>
      <sheetName val="계산식"/>
      <sheetName val="직재"/>
      <sheetName val="입찰안"/>
      <sheetName val="진주방향"/>
      <sheetName val="내역서1"/>
      <sheetName val="예산명세서"/>
      <sheetName val="#REF"/>
      <sheetName val="VII-2현장경비"/>
      <sheetName val="Ⅴ-2.공종별내역"/>
      <sheetName val="실행대비"/>
      <sheetName val="토공사(흙막이)"/>
      <sheetName val="일위대가 "/>
      <sheetName val="계획금액"/>
      <sheetName val="일위대가표"/>
      <sheetName val="원가계산서 "/>
      <sheetName val="70%"/>
      <sheetName val="지수980731이후"/>
      <sheetName val="총괄내역서"/>
      <sheetName val="설계예산서"/>
      <sheetName val="실행기고및 투입현황(총괄)"/>
      <sheetName val="MOTOR"/>
      <sheetName val="관접합및부설"/>
      <sheetName val="세부추진"/>
      <sheetName val="항목(1)"/>
      <sheetName val="BOOK4"/>
      <sheetName val="단가산출서"/>
      <sheetName val="단가산출서 (2)"/>
      <sheetName val="현장경비"/>
      <sheetName val="J直材4"/>
      <sheetName val="중기조종사 단위단가"/>
      <sheetName val="단가조정"/>
      <sheetName val="현장경상비"/>
      <sheetName val="교육종류"/>
      <sheetName val="A 견적"/>
      <sheetName val="내역서(조경)"/>
      <sheetName val="목창호"/>
      <sheetName val="견적대비표"/>
      <sheetName val="MEXICO-C"/>
      <sheetName val="물가시세"/>
      <sheetName val="노임단가"/>
      <sheetName val="변수값"/>
      <sheetName val="중기상차"/>
      <sheetName val="AS복구"/>
      <sheetName val="중기터파기"/>
      <sheetName val="단가조사서"/>
      <sheetName val="자재단가"/>
      <sheetName val="구조물공"/>
      <sheetName val="부대공"/>
      <sheetName val="배수공"/>
      <sheetName val="토공"/>
      <sheetName val="포장공"/>
      <sheetName val="BID"/>
      <sheetName val="터파기및재료"/>
      <sheetName val="내역서_"/>
      <sheetName val="준검_내역서"/>
      <sheetName val="E_S산근"/>
      <sheetName val="E_S적용"/>
      <sheetName val="3_공통공사대비"/>
      <sheetName val="골조시행"/>
      <sheetName val="36+45-113-18+19+20I"/>
      <sheetName val="관급자재"/>
      <sheetName val="작성"/>
      <sheetName val="A LINE"/>
      <sheetName val="직공비"/>
      <sheetName val="플랜트 설치"/>
      <sheetName val="원가계산"/>
      <sheetName val="한강운반비"/>
      <sheetName val="설계기준"/>
      <sheetName val="내역1"/>
      <sheetName val="공구"/>
      <sheetName val="수로BOX"/>
      <sheetName val="공사품의서"/>
      <sheetName val="계정"/>
      <sheetName val="폐기물"/>
      <sheetName val="설계서(7)"/>
      <sheetName val="건축"/>
      <sheetName val="NYS"/>
      <sheetName val="수로현황"/>
      <sheetName val="중기단가"/>
      <sheetName val="단가및재료비"/>
      <sheetName val="중기사용료"/>
      <sheetName val="토공(우물통,기타) "/>
      <sheetName val="부속동"/>
      <sheetName val="영동(D)"/>
      <sheetName val="개요"/>
      <sheetName val="부하계산서"/>
      <sheetName val="부하(성남)"/>
      <sheetName val="물량"/>
      <sheetName val="무시"/>
      <sheetName val="기성총괄표"/>
      <sheetName val="총괄집계내역"/>
      <sheetName val="건축기성내역집계표"/>
      <sheetName val="기성부분내역서(건축)"/>
      <sheetName val="설비내역서"/>
      <sheetName val="설비집계표"/>
      <sheetName val="조명시설"/>
      <sheetName val="FILE1"/>
      <sheetName val="99총공사내역서"/>
      <sheetName val="프랜트면허"/>
      <sheetName val="조달청적격심사"/>
      <sheetName val="세금자료"/>
      <sheetName val="1"/>
      <sheetName val="2"/>
      <sheetName val="3"/>
      <sheetName val="4"/>
      <sheetName val="5"/>
      <sheetName val="6"/>
      <sheetName val="용수량(생활용수)"/>
      <sheetName val="설계서(본관)"/>
      <sheetName val="7단가"/>
      <sheetName val="수량산출"/>
      <sheetName val="1.위치도"/>
      <sheetName val="입찰견적보고서"/>
      <sheetName val="합천내역"/>
      <sheetName val="계산서(곡선부)"/>
      <sheetName val="-치수표(곡선부)"/>
      <sheetName val="설계변경총괄표(계산식)"/>
      <sheetName val="2.토목공사"/>
      <sheetName val="소비자가"/>
      <sheetName val="노임"/>
      <sheetName val="공사목록"/>
      <sheetName val="도급"/>
      <sheetName val="상계견적"/>
      <sheetName val="주소"/>
      <sheetName val="식재인부"/>
      <sheetName val="배수통관(좌)"/>
      <sheetName val="ABUT수량-A1"/>
      <sheetName val="중강당 내역"/>
      <sheetName val="일위단가"/>
      <sheetName val="총괄표"/>
      <sheetName val="G.R300경비"/>
      <sheetName val="의왕실행"/>
      <sheetName val="기계경비"/>
      <sheetName val="보차도경계석"/>
      <sheetName val="약전설비"/>
      <sheetName val="설계명세서(종합)"/>
      <sheetName val="소요자재"/>
      <sheetName val="노무산출서"/>
      <sheetName val="민감도"/>
      <sheetName val="Total"/>
      <sheetName val="실행간접비용"/>
      <sheetName val=" 갑  지 "/>
      <sheetName val="단가조사"/>
      <sheetName val="시중노임단가"/>
      <sheetName val="교량하부공"/>
      <sheetName val="공사개요"/>
      <sheetName val="시멘트"/>
      <sheetName val="교각별철근수량집계표"/>
      <sheetName val="참조"/>
      <sheetName val="9GNG운반"/>
      <sheetName val="실행철강하도"/>
      <sheetName val="경율산정.XLS"/>
      <sheetName val="측량요율"/>
      <sheetName val="노무비단가"/>
      <sheetName val="기초자료입력"/>
      <sheetName val="각형맨홀"/>
      <sheetName val="해평견적"/>
      <sheetName val="교사기준면적(초등)"/>
      <sheetName val="기계경비(시간당)"/>
      <sheetName val="램머"/>
      <sheetName val="SOURCE"/>
      <sheetName val="소방"/>
      <sheetName val="기초단가"/>
      <sheetName val="연결임시"/>
      <sheetName val="산출내역서"/>
      <sheetName val="별표 "/>
      <sheetName val="49"/>
      <sheetName val="제잡비계산"/>
      <sheetName val="중기집계"/>
      <sheetName val="용역비내역-진짜"/>
      <sheetName val="전차선로 물량표"/>
      <sheetName val="A"/>
      <sheetName val="D"/>
      <sheetName val="구조물"/>
      <sheetName val="결라"/>
      <sheetName val="출근현황표"/>
      <sheetName val="정부노임단가"/>
      <sheetName val="포장재료집계표"/>
      <sheetName val="3.하중산정4.지지력"/>
      <sheetName val="99노임기준"/>
      <sheetName val="아파트 내역"/>
      <sheetName val="장비집계"/>
      <sheetName val="수목단가"/>
      <sheetName val="시설수량표"/>
      <sheetName val="식재수량표"/>
      <sheetName val="일위목록"/>
      <sheetName val="공사코드"/>
      <sheetName val="일위대가 (2)"/>
      <sheetName val="VXXXXX"/>
      <sheetName val="1공구 건정토건 토공"/>
      <sheetName val="1공구 건정토건 철콘"/>
      <sheetName val="단가산출"/>
      <sheetName val="자재수량"/>
      <sheetName val="Sheet3"/>
      <sheetName val="예정공정표"/>
      <sheetName val="계산서"/>
      <sheetName val="골조"/>
      <sheetName val="총괄"/>
      <sheetName val="부대경비산출서"/>
      <sheetName val="참고사항"/>
      <sheetName val="근로자자료입력"/>
      <sheetName val="월별수입"/>
      <sheetName val="직접경비"/>
      <sheetName val="직접인건비"/>
      <sheetName val="단가표"/>
      <sheetName val="장비사양"/>
      <sheetName val="기계"/>
      <sheetName val="정화조"/>
      <sheetName val="조경"/>
      <sheetName val="토목"/>
      <sheetName val="신.분"/>
      <sheetName val="을지"/>
      <sheetName val="참고자료"/>
      <sheetName val="공사명입력"/>
      <sheetName val="년도별노임표"/>
      <sheetName val="본선토량운반계산서(1)0"/>
      <sheetName val="원가계산하도"/>
      <sheetName val="기본사항"/>
      <sheetName val="21301동"/>
      <sheetName val="정보"/>
      <sheetName val="부표총괄"/>
      <sheetName val="부대내역"/>
      <sheetName val="품셈TABLE"/>
      <sheetName val="자재"/>
      <sheetName val="총 원가계산"/>
      <sheetName val="경산"/>
      <sheetName val="SAM"/>
      <sheetName val="설계서"/>
      <sheetName val="산출금액내역"/>
      <sheetName val="참조M"/>
      <sheetName val="기계경비산출기준"/>
      <sheetName val="직노"/>
      <sheetName val="실행내역"/>
      <sheetName val="철거산출근거"/>
      <sheetName val="단면가정"/>
      <sheetName val="Sheet1 (2)"/>
      <sheetName val="1,2공구원가계산서"/>
      <sheetName val="2공구산출내역"/>
      <sheetName val="1공구산출내역서"/>
      <sheetName val="산수배수"/>
      <sheetName val="기흥하도용"/>
      <sheetName val="계양가시설"/>
      <sheetName val="중기사용료산출근거"/>
      <sheetName val="적정심사"/>
      <sheetName val="산근"/>
      <sheetName val="주공 갑지"/>
      <sheetName val="일반부표"/>
      <sheetName val="공내역"/>
      <sheetName val="물가대비표"/>
      <sheetName val="평가내역"/>
      <sheetName val="일위대가-3"/>
      <sheetName val="공사비_NDE"/>
      <sheetName val="단가산출2"/>
      <sheetName val="단가 및 재료비"/>
      <sheetName val="수량산출서"/>
      <sheetName val="밸브설치"/>
      <sheetName val="환경기계공정표 (3)"/>
      <sheetName val="(A)내역서"/>
      <sheetName val="98수문일위"/>
      <sheetName val="JUCK"/>
      <sheetName val="건축공사이월"/>
      <sheetName val="공사설명"/>
      <sheetName val="송전산출"/>
      <sheetName val="건축집계표"/>
      <sheetName val="CTEMCOST"/>
      <sheetName val="설계내역"/>
      <sheetName val="기성신청"/>
      <sheetName val="원가계산서_"/>
      <sheetName val="일위대가_"/>
      <sheetName val="실행기고및_투입현황(총괄)"/>
      <sheetName val="Ⅴ-2_공종별내역"/>
      <sheetName val="중강당_내역"/>
      <sheetName val="단가산출서_(2)"/>
      <sheetName val="A_LINE"/>
      <sheetName val="중기조종사_단위단가"/>
      <sheetName val="일위대가_호표"/>
      <sheetName val="기초입력 DATA"/>
      <sheetName val="전기"/>
      <sheetName val="건축내역서"/>
      <sheetName val="전기내역서"/>
      <sheetName val="지수"/>
      <sheetName val="날개수량1.5"/>
      <sheetName val="기본정보입력"/>
      <sheetName val="춘천13"/>
      <sheetName val="03전반노무비"/>
      <sheetName val="C1.공사개요"/>
      <sheetName val="실행(1)"/>
      <sheetName val="6호기"/>
      <sheetName val="A1.스케쥴"/>
      <sheetName val="BQ"/>
      <sheetName val="토공집계"/>
      <sheetName val="관리,공감"/>
      <sheetName val="내역- CCTV"/>
      <sheetName val="토공사"/>
      <sheetName val="제경비율"/>
      <sheetName val="수목표준대가"/>
      <sheetName val="CON'C"/>
      <sheetName val="가설공사내역"/>
      <sheetName val="집계표(공종별)"/>
      <sheetName val="단가 산출서(산근#1~#102)"/>
      <sheetName val="설산1.나"/>
      <sheetName val="본사S"/>
      <sheetName val="기계단가산출서"/>
      <sheetName val="갑지(추정)"/>
      <sheetName val="판매시설"/>
      <sheetName val="L_RPTB02_01"/>
      <sheetName val="T13(P68~72,78)"/>
      <sheetName val="설계조건"/>
      <sheetName val="투입비"/>
      <sheetName val="부대"/>
      <sheetName val="역T형교대(말뚝기초)"/>
      <sheetName val="일반공사"/>
      <sheetName val="Baby일위대가"/>
      <sheetName val="대비"/>
      <sheetName val="6-1. 관개량조서"/>
      <sheetName val="목차"/>
      <sheetName val="연동내역"/>
      <sheetName val="정렬"/>
      <sheetName val="2003상반기노임기준"/>
      <sheetName val="조명율표"/>
      <sheetName val="내역서-1"/>
      <sheetName val="문학간접"/>
      <sheetName val="산정표"/>
      <sheetName val="양수장내역"/>
      <sheetName val="양수장"/>
      <sheetName val="건축명"/>
      <sheetName val="기계명"/>
      <sheetName val="전기명"/>
      <sheetName val="토목명"/>
      <sheetName val="노임,재료비"/>
      <sheetName val="고유코드_설계"/>
      <sheetName val="교통대책내역"/>
      <sheetName val="단가 (2)"/>
      <sheetName val="실행"/>
      <sheetName val="b_balju_cho"/>
      <sheetName val="FB25JN"/>
      <sheetName val="4.중기단가산출"/>
      <sheetName val="1.물가시세표"/>
      <sheetName val="제안서입력"/>
      <sheetName val="견적을지"/>
      <sheetName val="당사실시1"/>
      <sheetName val="공사대장"/>
      <sheetName val="수량(가운2)"/>
      <sheetName val="공급기자재조서 (2)"/>
      <sheetName val="산출(동해선 본선)"/>
      <sheetName val="집계(동해본선) "/>
      <sheetName val="산출(동해역통신)"/>
      <sheetName val="역집계(동해역통신)"/>
      <sheetName val="참조자료"/>
      <sheetName val="일용노임단가2001상"/>
      <sheetName val="견적가"/>
      <sheetName val="공량산출서"/>
      <sheetName val="산출근거"/>
      <sheetName val="포장복구집계"/>
      <sheetName val="하도급"/>
      <sheetName val="원도급"/>
      <sheetName val="원하대비"/>
      <sheetName val="결재갑지"/>
      <sheetName val="견적1"/>
      <sheetName val="단가조사-2"/>
      <sheetName val="FOB발"/>
      <sheetName val="공정표"/>
      <sheetName val="노단"/>
      <sheetName val="단산"/>
      <sheetName val="명세"/>
      <sheetName val="일대"/>
      <sheetName val="TOTAL_BOQ"/>
      <sheetName val="구간별관경"/>
      <sheetName val="견적단가"/>
      <sheetName val="쌍송교"/>
      <sheetName val="Tool"/>
      <sheetName val="일위"/>
      <sheetName val="그림"/>
      <sheetName val="설계서(표지)"/>
      <sheetName val="원가계산서"/>
      <sheetName val="서울대규장각(가시설흙막이)"/>
      <sheetName val="05-원가계산"/>
      <sheetName val="계화배수"/>
      <sheetName val="COPING"/>
      <sheetName val="CODE"/>
      <sheetName val="취수탑"/>
      <sheetName val="차액보증"/>
    </sheetNames>
    <sheetDataSet>
      <sheetData sheetId="0" refreshError="1">
        <row r="6">
          <cell r="R6" t="str">
            <v>1,000억이상</v>
          </cell>
        </row>
        <row r="7">
          <cell r="R7" t="str">
            <v>300억이상</v>
          </cell>
        </row>
        <row r="8">
          <cell r="R8" t="str">
            <v>100억이상</v>
          </cell>
        </row>
      </sheetData>
      <sheetData sheetId="1"/>
      <sheetData sheetId="2">
        <row r="6">
          <cell r="R6" t="str">
            <v>1,000억이상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맨홀수량집계표(A)"/>
      <sheetName val="맨홀수량산출(A-LINE)"/>
      <sheetName val="맨홀수량집계표(B)"/>
      <sheetName val="맨홀수량산출(B-LINE)"/>
      <sheetName val="환기주수량집계"/>
      <sheetName val="환기구"/>
      <sheetName val="토사(PE)"/>
      <sheetName val="실행(표지,갑,을)"/>
      <sheetName val="DATE"/>
      <sheetName val="FACTOR"/>
      <sheetName val="SORCE1"/>
      <sheetName val="기계경비(시간당)"/>
      <sheetName val="램머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자재집계표"/>
      <sheetName val="배수공총괄수량집계표"/>
      <sheetName val="BOX총괄집계"/>
      <sheetName val="도수로총괄집계"/>
      <sheetName val="GABION옹벽 총괄집계"/>
      <sheetName val="부대공총괄"/>
      <sheetName val="토공총괄집계"/>
      <sheetName val="제목"/>
      <sheetName val="자재"/>
      <sheetName val="집계표"/>
      <sheetName val="관로토공"/>
      <sheetName val="제수변실토공"/>
      <sheetName val="공기변실토공"/>
      <sheetName val="펌프실토공"/>
      <sheetName val="제수변실"/>
      <sheetName val="공기변실"/>
      <sheetName val="제수변보호통"/>
      <sheetName val="지상식소화전"/>
      <sheetName val="펌프실"/>
      <sheetName val="수량양식"/>
      <sheetName val="SORCE1"/>
      <sheetName val="포장공"/>
      <sheetName val="토공"/>
      <sheetName val="배수공"/>
      <sheetName val="대로근거"/>
      <sheetName val="중로근거"/>
      <sheetName val="총괄수량집계"/>
      <sheetName val="우배수"/>
      <sheetName val="부표총괄"/>
      <sheetName val="산1~6"/>
      <sheetName val="단가"/>
      <sheetName val="원가계산서(남측)"/>
      <sheetName val="DATE"/>
      <sheetName val="관급"/>
      <sheetName val="대비"/>
      <sheetName val="WORK"/>
      <sheetName val="FACTOR"/>
      <sheetName val="#REF"/>
      <sheetName val="9811"/>
      <sheetName val="소일위대가코드표"/>
      <sheetName val="기자재단가조사서"/>
      <sheetName val="신규노무비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골조시행"/>
      <sheetName val="부지현황"/>
      <sheetName val="목록"/>
      <sheetName val="공사개요"/>
      <sheetName val="파스콘"/>
      <sheetName val="견적의뢰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두정2차"/>
      <sheetName val="DATE"/>
      <sheetName val="SORCE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내역"/>
      <sheetName val="공잡비"/>
      <sheetName val="20청천덕평"/>
      <sheetName val="20청천잡"/>
      <sheetName val="2000전체분"/>
      <sheetName val="2000전체잡비"/>
      <sheetName val="2000년1차"/>
      <sheetName val="2000년1차잡비"/>
      <sheetName val="신규단가"/>
      <sheetName val="단가리스트"/>
      <sheetName val="입력"/>
      <sheetName val="Sheet1"/>
      <sheetName val="STANDARD"/>
      <sheetName val="중기조종사 단위단가"/>
      <sheetName val="노임단가"/>
      <sheetName val="별표 "/>
      <sheetName val="평가데이터"/>
      <sheetName val="보험료산출"/>
      <sheetName val="J"/>
      <sheetName val="산출내역(4월)"/>
      <sheetName val="산출내역(5월) (2)"/>
      <sheetName val="200"/>
      <sheetName val="설직재-1"/>
      <sheetName val="#REF"/>
      <sheetName val="Sheet2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표지"/>
      <sheetName val="별표집계"/>
      <sheetName val="청천내"/>
      <sheetName val="내역"/>
      <sheetName val="국내조달(통합-1)"/>
      <sheetName val="갱문및옹벽집계"/>
      <sheetName val="연부97-1"/>
      <sheetName val="갑지1"/>
      <sheetName val="효명0010"/>
      <sheetName val="노무비단가"/>
      <sheetName val="주공 갑지"/>
      <sheetName val="구룡간선입력"/>
      <sheetName val="내역서01"/>
      <sheetName val="구간별관경"/>
      <sheetName val="도시가스현황"/>
      <sheetName val="노임이"/>
      <sheetName val="DATE"/>
      <sheetName val="중기사용료"/>
      <sheetName val="공사비총괄표"/>
      <sheetName val="구조물공"/>
      <sheetName val="부대공"/>
      <sheetName val="배수공"/>
      <sheetName val="토공"/>
      <sheetName val="포장공"/>
      <sheetName val="원가"/>
      <sheetName val="연결임시"/>
      <sheetName val="교사기준면적(초등)"/>
      <sheetName val="횡배수관토공수량"/>
      <sheetName val="을"/>
      <sheetName val="APT"/>
      <sheetName val="터파기및재료"/>
      <sheetName val="직노"/>
      <sheetName val="부대tu"/>
      <sheetName val="조달청적격심사"/>
      <sheetName val="실행내역"/>
      <sheetName val="안양건축"/>
      <sheetName val="입찰안"/>
      <sheetName val="일위대가"/>
      <sheetName val="2000청천-덕평발주포장1"/>
      <sheetName val="1.취수장"/>
      <sheetName val="토사(PE)"/>
      <sheetName val="NYS"/>
      <sheetName val="토공(우물통,기타) "/>
      <sheetName val="설계조건"/>
      <sheetName val="일위대가표"/>
      <sheetName val="3절_CheckList_구분"/>
      <sheetName val="Y-WORK"/>
      <sheetName val="기계경비(시간당)"/>
      <sheetName val="램머"/>
      <sheetName val="기준액"/>
      <sheetName val="FRP PIPING 일위대가"/>
      <sheetName val="단가조정"/>
      <sheetName val="단위단가"/>
      <sheetName val="원가계산서"/>
      <sheetName val="정렬"/>
      <sheetName val="건축내역서"/>
      <sheetName val="설비내역서"/>
      <sheetName val="전기내역서"/>
      <sheetName val="기계"/>
      <sheetName val="정화조"/>
      <sheetName val="조경"/>
      <sheetName val="토목"/>
      <sheetName val="99노임기준"/>
      <sheetName val="결재판"/>
      <sheetName val="공사대장"/>
      <sheetName val="계양가시설"/>
      <sheetName val="노임"/>
      <sheetName val="설계내역일위"/>
      <sheetName val="노무비 경비"/>
      <sheetName val="산정표"/>
      <sheetName val="산재 안전"/>
      <sheetName val="01"/>
      <sheetName val="계수시트"/>
      <sheetName val="내역서"/>
      <sheetName val="문10"/>
      <sheetName val="G.R300경비"/>
      <sheetName val="노임,재료비"/>
      <sheetName val="I.일위대가목차"/>
      <sheetName val="토목공사"/>
      <sheetName val="일위목록"/>
      <sheetName val="9902"/>
      <sheetName val="실행내역서 "/>
      <sheetName val="국산화"/>
      <sheetName val="TOTAL_BOQ"/>
      <sheetName val="직공→간접비포함"/>
      <sheetName val="공문"/>
      <sheetName val="기성검사원"/>
      <sheetName val="개산급사유서"/>
      <sheetName val="갑지"/>
      <sheetName val="제경비"/>
      <sheetName val="제경비산출"/>
      <sheetName val="E.S산근"/>
      <sheetName val="E.S적용"/>
      <sheetName val="기성검사조서"/>
      <sheetName val="요청사진"/>
      <sheetName val="검사사진"/>
      <sheetName val="청구서갑지"/>
      <sheetName val="청구서"/>
      <sheetName val="건축-물가변동"/>
      <sheetName val="기본일위"/>
      <sheetName val="경산"/>
      <sheetName val="경비"/>
      <sheetName val="SOURCE"/>
      <sheetName val="기자재구매의뢰서"/>
      <sheetName val="투찰금액"/>
      <sheetName val="갑지(요약)"/>
      <sheetName val="금융"/>
      <sheetName val="은행"/>
      <sheetName val="리스"/>
      <sheetName val="보험"/>
      <sheetName val="공사개요"/>
      <sheetName val="총투입계"/>
      <sheetName val="설계(안)"/>
      <sheetName val="소방일위 "/>
      <sheetName val="실행기고및 투입현황(총괄)"/>
      <sheetName val="실행간접비용"/>
      <sheetName val="wall"/>
      <sheetName val="21301동"/>
      <sheetName val="문학간접"/>
      <sheetName val="내역서(조경)"/>
      <sheetName val="목창호"/>
      <sheetName val="견적대비표"/>
      <sheetName val="아파트"/>
      <sheetName val="총괄표"/>
      <sheetName val="거푸집물량"/>
      <sheetName val="협진중기"/>
      <sheetName val="근로자자료입력"/>
      <sheetName val="구간산출"/>
      <sheetName val="중기손료"/>
      <sheetName val="기초단가"/>
      <sheetName val="슬래브"/>
      <sheetName val="단가 (2)"/>
      <sheetName val="기성내역1"/>
      <sheetName val="기계경비"/>
      <sheetName val="용소리교"/>
      <sheetName val="Tool"/>
      <sheetName val="그림"/>
      <sheetName val="원가계산"/>
      <sheetName val="시중노임단가"/>
      <sheetName val="총괄"/>
      <sheetName val="총괄내역서"/>
      <sheetName val="설계예산서"/>
      <sheetName val="공토공단위당"/>
      <sheetName val="시설물"/>
      <sheetName val="식재출력용"/>
      <sheetName val="유지관리"/>
      <sheetName val="현장관리비"/>
      <sheetName val="가정조건"/>
      <sheetName val="공통"/>
      <sheetName val="관급자재"/>
      <sheetName val="골프장예산"/>
      <sheetName val="지급자재"/>
      <sheetName val="1-11조직표"/>
      <sheetName val="자재"/>
      <sheetName val="품셈"/>
      <sheetName val="기본단가표"/>
      <sheetName val="부대내역"/>
      <sheetName val="(실사조정)총괄"/>
      <sheetName val="DATA"/>
      <sheetName val="효성CB 1P기초"/>
      <sheetName val="구천"/>
      <sheetName val="2003상반기노임기준"/>
      <sheetName val="교육종류"/>
      <sheetName val="설계명세서"/>
      <sheetName val="암거"/>
      <sheetName val="단가"/>
      <sheetName val="세율표"/>
      <sheetName val="단가표"/>
      <sheetName val="인건비 "/>
      <sheetName val="수량산출서"/>
      <sheetName val="NN"/>
      <sheetName val="공통가설_8"/>
      <sheetName val="기타시설"/>
      <sheetName val="판매시설"/>
      <sheetName val="아파트_9"/>
      <sheetName val="주민복지관"/>
      <sheetName val="지하주차장"/>
      <sheetName val="직접공사비집계표_7"/>
      <sheetName val="실행내역서"/>
      <sheetName val="서울대규장각(가시설흙막이)"/>
      <sheetName val="내역서(교량)전체"/>
      <sheetName val="전장품(관리용)"/>
      <sheetName val="C1"/>
      <sheetName val="단가일람"/>
      <sheetName val="단중표"/>
      <sheetName val="초기화면"/>
      <sheetName val="산출근거"/>
      <sheetName val="토공사"/>
      <sheetName val="총공사내역서"/>
      <sheetName val="데이타"/>
      <sheetName val="재료"/>
      <sheetName val="건축개요"/>
      <sheetName val="조명시설"/>
      <sheetName val="예산명세서"/>
      <sheetName val="자료입력"/>
      <sheetName val="밸브설치"/>
      <sheetName val="총괄집"/>
      <sheetName val="품 #1.1"/>
      <sheetName val="산출내역서집계표"/>
      <sheetName val="견적조건"/>
      <sheetName val="00노임기준"/>
      <sheetName val="2원료가나다."/>
      <sheetName val="교각별철근수량집계표"/>
      <sheetName val="하중계산"/>
      <sheetName val="단면가정"/>
      <sheetName val="코드표"/>
      <sheetName val="자재코드"/>
      <sheetName val="지수980731이후"/>
      <sheetName val="공통가설(현장검토안)"/>
      <sheetName val="설계내역서"/>
      <sheetName val="구분테이블"/>
      <sheetName val="95년12월말"/>
      <sheetName val="물집"/>
      <sheetName val="도급"/>
      <sheetName val="A 견적"/>
      <sheetName val="03전반노무비"/>
      <sheetName val="총괄-1"/>
      <sheetName val="적용노임"/>
      <sheetName val="일반자재"/>
      <sheetName val="건축"/>
      <sheetName val="공정코드"/>
      <sheetName val="현장경비"/>
      <sheetName val="요율"/>
      <sheetName val="파이프류"/>
      <sheetName val="옹벽기초자료"/>
      <sheetName val="현황산출서"/>
      <sheetName val="장비경비"/>
      <sheetName val="수량"/>
      <sheetName val="VII-2현장경비"/>
      <sheetName val="Ⅴ-2.공종별내역"/>
      <sheetName val="빌딩 안내"/>
      <sheetName val="asd"/>
      <sheetName val="당초"/>
      <sheetName val="관로토공"/>
      <sheetName val="관현간선입력"/>
      <sheetName val="2. 공원조도"/>
      <sheetName val="기계경비단가"/>
      <sheetName val="복구경비"/>
      <sheetName val="부대토목"/>
      <sheetName val="시설물일위"/>
      <sheetName val="9811"/>
      <sheetName val="중기가격"/>
      <sheetName val="적산"/>
      <sheetName val="수량산출(계측)"/>
      <sheetName val="Total"/>
      <sheetName val="설계내역2"/>
      <sheetName val="견적을지"/>
      <sheetName val="Sheet3"/>
      <sheetName val="03상노임"/>
      <sheetName val="유림골조"/>
      <sheetName val="플랜트 설치"/>
      <sheetName val="외주을지"/>
      <sheetName val="단가산출"/>
      <sheetName val="설계내역총괄"/>
      <sheetName val="직접인건비"/>
      <sheetName val="명세서"/>
      <sheetName val="사급자재"/>
      <sheetName val="1.설계설명서"/>
      <sheetName val="공량산출서"/>
      <sheetName val="도수로현황"/>
      <sheetName val="수용율"/>
      <sheetName val="기초자료입력"/>
      <sheetName val="실행예산"/>
      <sheetName val="6-2. 기계경비산출"/>
      <sheetName val="노무비 근거"/>
      <sheetName val="5-2.일위대가"/>
      <sheetName val="계좌번호"/>
      <sheetName val="골조시행"/>
      <sheetName val="단가비교표"/>
      <sheetName val="노무비"/>
      <sheetName val="첨부2.예정공정표"/>
      <sheetName val="파일의이용"/>
      <sheetName val="왕십리방향"/>
      <sheetName val="교대시점"/>
      <sheetName val="기경집계"/>
      <sheetName val="기존단가 (2)"/>
      <sheetName val="AHU-1"/>
      <sheetName val="급탕설비"/>
      <sheetName val="화장실배기팬"/>
      <sheetName val="3.3"/>
      <sheetName val="산출금액내역"/>
      <sheetName val="직재"/>
      <sheetName val="재집"/>
      <sheetName val="전기(기계전기실)"/>
      <sheetName val="전기(열차제어)"/>
      <sheetName val="전기(전기성능)"/>
      <sheetName val="전기(차량)"/>
      <sheetName val="전기(차량부품)"/>
      <sheetName val="적용(기계)"/>
      <sheetName val="남평내역"/>
      <sheetName val="내역서(토목)"/>
      <sheetName val="수목단가"/>
      <sheetName val="시설수량표"/>
      <sheetName val="식재수량표"/>
      <sheetName val="자재단가"/>
      <sheetName val="계산서(곡선부)"/>
      <sheetName val="포장재료집계표"/>
      <sheetName val="평가내역"/>
      <sheetName val="우배수"/>
      <sheetName val="간선계산"/>
      <sheetName val="원가계산서(남측)"/>
      <sheetName val="차액보증"/>
      <sheetName val="계산식"/>
      <sheetName val="재료집계표"/>
      <sheetName val="수량집계표"/>
      <sheetName val="Customer Databas"/>
      <sheetName val="견적의뢰"/>
      <sheetName val="산#2-1 (2)"/>
      <sheetName val="WEIGHT LIST"/>
      <sheetName val="POL6차-PIPING"/>
      <sheetName val="토목내역서"/>
      <sheetName val="단가조사서"/>
      <sheetName val="CTEMCOST"/>
      <sheetName val="산출"/>
      <sheetName val="데리네이타현황"/>
      <sheetName val="토목내역서 (도급단가) (2)"/>
      <sheetName val="오억미만"/>
      <sheetName val="기별(종합)"/>
      <sheetName val="9509"/>
      <sheetName val="MEXICO-C"/>
      <sheetName val="부속동"/>
      <sheetName val="개요"/>
      <sheetName val="물량"/>
      <sheetName val="영동(D)"/>
      <sheetName val="무시"/>
      <sheetName val="세부추진"/>
      <sheetName val="H PILE수량"/>
      <sheetName val="교량하부공"/>
      <sheetName val="97노임단가"/>
      <sheetName val="입력란"/>
      <sheetName val="조건표"/>
      <sheetName val="각형맨홀"/>
      <sheetName val="07급여표"/>
      <sheetName val="양수장토공"/>
      <sheetName val="국민연금표"/>
      <sheetName val="일위대가-3"/>
      <sheetName val="거래처등록"/>
      <sheetName val="참고자료"/>
      <sheetName val="은행코드"/>
      <sheetName val="도급내역"/>
      <sheetName val="도급내역5+800"/>
      <sheetName val="도급금액"/>
      <sheetName val="재노경"/>
      <sheetName val="성단물량"/>
      <sheetName val="252K444"/>
      <sheetName val="참조"/>
      <sheetName val="기계장치 (2)"/>
      <sheetName val="FAB별"/>
      <sheetName val="ELECTRIC"/>
      <sheetName val="패널"/>
      <sheetName val="터널조도"/>
      <sheetName val="Piping Design Data"/>
      <sheetName val="설비적용원가계산"/>
      <sheetName val="예산내역서"/>
      <sheetName val="부대집계"/>
      <sheetName val="측구공"/>
      <sheetName val="1호인버트수량"/>
      <sheetName val="공동수급체별"/>
      <sheetName val="2호맨홀공제수량"/>
      <sheetName val="손익분석"/>
      <sheetName val="Eq. Mobilization"/>
      <sheetName val="D.B"/>
      <sheetName val="창호"/>
      <sheetName val="가설"/>
      <sheetName val="타일"/>
      <sheetName val="주차및엘리베이터"/>
      <sheetName val="가정사항"/>
      <sheetName val="9567매출"/>
      <sheetName val="업체명"/>
      <sheetName val="관리"/>
      <sheetName val="공사내역"/>
      <sheetName val="일용직내역"/>
      <sheetName val="2공구산출내역"/>
      <sheetName val="형틀공사"/>
      <sheetName val="집계"/>
      <sheetName val="총물량"/>
      <sheetName val="전기내역"/>
      <sheetName val="기성내역서"/>
      <sheetName val="A1-DATA"/>
      <sheetName val="단면"/>
      <sheetName val="3결로"/>
      <sheetName val="내역서-수정본"/>
      <sheetName val="단가표 (2)"/>
      <sheetName val="폐기물"/>
      <sheetName val="횡배수관단위수량"/>
      <sheetName val="보강토입력"/>
      <sheetName val="1.설계조건"/>
      <sheetName val="포장공사"/>
      <sheetName val="VXXXXXX"/>
      <sheetName val="b_balju"/>
      <sheetName val="Tool(참고)"/>
      <sheetName val="공사비예산서(토목분)"/>
      <sheetName val="중기"/>
      <sheetName val="전체"/>
      <sheetName val="토목주소"/>
      <sheetName val="자재단가비교표"/>
      <sheetName val="일위대가목록"/>
      <sheetName val="산출내역서"/>
      <sheetName val="소방"/>
      <sheetName val="골재산출"/>
      <sheetName val="주요공정집계표(출력금지)"/>
      <sheetName val="설계명세"/>
      <sheetName val="근로자명단"/>
      <sheetName val="출력"/>
      <sheetName val="에너지요금"/>
      <sheetName val="3BL공동구 수량"/>
      <sheetName val="납부서"/>
      <sheetName val="2000 "/>
      <sheetName val="중기사용료산출근거"/>
      <sheetName val="단가 및 재료비"/>
      <sheetName val="단가산출표"/>
      <sheetName val="공종목록표"/>
      <sheetName val="기초일위"/>
      <sheetName val="시설일위"/>
      <sheetName val="조명일위"/>
      <sheetName val="공사기본내용입력"/>
      <sheetName val="공통가설"/>
      <sheetName val="을지"/>
      <sheetName val="산근"/>
      <sheetName val="산출내역(5월)_(2)"/>
      <sheetName val="FRP_PIPING_일위대가"/>
      <sheetName val="중기조종사_단위단가"/>
      <sheetName val="1_취수장"/>
      <sheetName val="단가_(2)"/>
      <sheetName val="조명율표"/>
      <sheetName val="MOTOR"/>
      <sheetName val="단가대비표"/>
      <sheetName val="장비집계"/>
      <sheetName val="간접"/>
      <sheetName val="ABUT수량-A1"/>
      <sheetName val="미장"/>
      <sheetName val="예산서"/>
      <sheetName val="원가+내역"/>
      <sheetName val="단가조사"/>
      <sheetName val="내역서2안"/>
      <sheetName val="구조물"/>
      <sheetName val="모래기초"/>
      <sheetName val="철거공사1"/>
      <sheetName val="물량산출 집계표"/>
      <sheetName val="소요자재명세서"/>
      <sheetName val="경율산정.XLS"/>
      <sheetName val="급탕순환펌프"/>
      <sheetName val="급수사용량"/>
      <sheetName val="급,배기팬"/>
      <sheetName val="청곡지선입력"/>
      <sheetName val="교량공"/>
      <sheetName val="구역화물"/>
      <sheetName val="식재인부"/>
      <sheetName val="1차 내역서"/>
      <sheetName val="조경일람"/>
      <sheetName val="금액내역서"/>
      <sheetName val="설치공사비"/>
      <sheetName val="상반기손익차2총괄"/>
      <sheetName val="세부내역"/>
      <sheetName val="공제구간조서"/>
      <sheetName val="FACTOR"/>
      <sheetName val="참고사항"/>
      <sheetName val="토공 total"/>
      <sheetName val="화해(함평)"/>
      <sheetName val="화해(장성)"/>
      <sheetName val="기초작업"/>
      <sheetName val="공종"/>
      <sheetName val="인건-측정"/>
      <sheetName val="직공비"/>
      <sheetName val="NOMUBI"/>
      <sheetName val="sw1"/>
      <sheetName val="TRE TABLE"/>
      <sheetName val="단가및재료비"/>
      <sheetName val="중기단가"/>
      <sheetName val="전화공사 공량 및 집계표"/>
      <sheetName val="집수정토공"/>
      <sheetName val="단가비교표_공통1"/>
      <sheetName val="설비(제출)"/>
      <sheetName val="기본자료입력"/>
      <sheetName val="날개벽수량표"/>
      <sheetName val="대비"/>
      <sheetName val="용수량(생활용수)"/>
      <sheetName val="동바리(1공구)"/>
      <sheetName val="단열재(1공구)"/>
      <sheetName val="필로티거푸집(1공구)"/>
      <sheetName val="갱폼거푸집(1공구)"/>
      <sheetName val="외부비계(1공구)"/>
      <sheetName val="신우"/>
      <sheetName val="금회변내역"/>
      <sheetName val="인건비"/>
      <sheetName val="내역결재"/>
      <sheetName val="실행내역서_"/>
      <sheetName val="별표_"/>
      <sheetName val="주공_갑지"/>
      <sheetName val="대전(세창동)"/>
      <sheetName val="참고"/>
      <sheetName val="단가산출서"/>
      <sheetName val="단가산출서 (2)"/>
      <sheetName val="참조M"/>
      <sheetName val="수량집계"/>
      <sheetName val="내역적용"/>
      <sheetName val="2000년 공정표"/>
      <sheetName val="장"/>
      <sheetName val="원가계산서 (건축)"/>
      <sheetName val="총내역서"/>
      <sheetName val="2@ BOX"/>
      <sheetName val="맨홀수량산출(A-LINE)"/>
      <sheetName val="database"/>
      <sheetName val="설계변경내역서"/>
      <sheetName val="T13(P68~72,78)"/>
      <sheetName val="공정현황보고(2안)"/>
      <sheetName val="도기류"/>
      <sheetName val="사진대지"/>
      <sheetName val="Sheet13"/>
      <sheetName val="발전기"/>
      <sheetName val="Sheet14"/>
      <sheetName val="정부노임단가"/>
      <sheetName val="해외"/>
      <sheetName val="급여테이블"/>
      <sheetName val="청주(철골발주의뢰서)"/>
      <sheetName val="공구"/>
      <sheetName val="중기집계"/>
      <sheetName val="STEEL BOX 단면설계(SEC.8)"/>
      <sheetName val="기계설비-물가변동"/>
      <sheetName val="Sensitivity"/>
      <sheetName val="AP1"/>
      <sheetName val="돈암사업"/>
      <sheetName val="환경기계공정표 (3)"/>
      <sheetName val="(A)내역서"/>
      <sheetName val="98수문일위"/>
      <sheetName val="PC"/>
      <sheetName val="인건비_"/>
      <sheetName val="노무비_경비"/>
      <sheetName val="산재_안전"/>
      <sheetName val="소방일위_"/>
      <sheetName val="실행기고및_투입현황(총괄)"/>
      <sheetName val="토공(우물통,기타)_"/>
      <sheetName val="I_일위대가목차"/>
      <sheetName val="효성CB_1P기초"/>
      <sheetName val="E_S산근"/>
      <sheetName val="E_S적용"/>
      <sheetName val="2원료가나다_"/>
      <sheetName val="2__공원조도"/>
      <sheetName val="A_견적"/>
      <sheetName val="2.입력sheet"/>
      <sheetName val="구성"/>
      <sheetName val="구분자"/>
      <sheetName val="설치산출"/>
      <sheetName val="총공사비"/>
      <sheetName val="공사원가계산서"/>
      <sheetName val="수량산출"/>
      <sheetName val="첨)시중노임단가"/>
      <sheetName val="4차원가계산서"/>
      <sheetName val="6PILE  (돌출)"/>
      <sheetName val="수종"/>
      <sheetName val="규격"/>
      <sheetName val="2.대외공문"/>
      <sheetName val="이름정의"/>
      <sheetName val="거래처코드 "/>
      <sheetName val="Sheet5"/>
      <sheetName val="투입내역"/>
      <sheetName val="Sheet4"/>
      <sheetName val="관리,공감"/>
      <sheetName val="수로단위수량"/>
      <sheetName val="단가조정표"/>
      <sheetName val="6.관급자재조서"/>
      <sheetName val="일위목록데이타"/>
      <sheetName val="Front"/>
      <sheetName val="품셈총괄표"/>
      <sheetName val="C3"/>
      <sheetName val="식생블럭단위수량"/>
      <sheetName val="3연box"/>
      <sheetName val="단 box"/>
      <sheetName val="SULKEA"/>
      <sheetName val="중갑지"/>
      <sheetName val="일위(토,포,부)"/>
      <sheetName val="결재판(삭제하지말아주세요)"/>
      <sheetName val="자료"/>
      <sheetName val="POOM_MOTO"/>
      <sheetName val="POOM_MOTO2"/>
      <sheetName val="I一般比"/>
      <sheetName val="49"/>
      <sheetName val="작성"/>
      <sheetName val="장비비"/>
      <sheetName val="직접경비"/>
      <sheetName val="01후반노무비"/>
      <sheetName val="s"/>
      <sheetName val="경상직원"/>
      <sheetName val="외부비계"/>
      <sheetName val="급여조견표"/>
      <sheetName val="경상비"/>
      <sheetName val="실행철강하도"/>
      <sheetName val="경상"/>
      <sheetName val="전선 및 전선관"/>
      <sheetName val="노임(1차)"/>
      <sheetName val="공종단가"/>
      <sheetName val="증감대비"/>
      <sheetName val="2공구하도급내역서"/>
      <sheetName val="3.공통공사대비"/>
      <sheetName val="FAX"/>
      <sheetName val="실행"/>
      <sheetName val="삼보지질"/>
      <sheetName val="자"/>
      <sheetName val="노"/>
      <sheetName val="안전보건교육"/>
      <sheetName val="회사기초자료"/>
      <sheetName val="시험비"/>
      <sheetName val="건설기계가격"/>
      <sheetName val="말뚝지지력산정"/>
      <sheetName val="4.2.1 마루높이 검토"/>
      <sheetName val="해외(원화)"/>
      <sheetName val="집행현황"/>
      <sheetName val="석축설면"/>
      <sheetName val="법면단"/>
      <sheetName val="석축단"/>
      <sheetName val="법면수집"/>
      <sheetName val="물가시세"/>
      <sheetName val="가설공사내역"/>
      <sheetName val="설계내역"/>
      <sheetName val="Mc1"/>
      <sheetName val="배수장토목공사비"/>
      <sheetName val="6-1. 관개량조서"/>
      <sheetName val="101동"/>
      <sheetName val="상"/>
      <sheetName val="배"/>
      <sheetName val="물가대비표"/>
      <sheetName val="교각"/>
      <sheetName val="퍼스트"/>
      <sheetName val="부하계산서"/>
      <sheetName val="산#3-1"/>
      <sheetName val="기계경비(맨홀)"/>
      <sheetName val="노임,자재"/>
      <sheetName val="98지급계획"/>
      <sheetName val="산출내역"/>
      <sheetName val="견적서"/>
      <sheetName val="특별교실"/>
      <sheetName val="계약서"/>
      <sheetName val="인부임"/>
      <sheetName val="정산설계"/>
      <sheetName val="청곡지거입력"/>
      <sheetName val="수습"/>
      <sheetName val="분개내역서 (2000년도 )"/>
      <sheetName val="기자재대비표"/>
      <sheetName val="공사비산출서"/>
      <sheetName val="원가계산하도"/>
      <sheetName val="01.10월"/>
      <sheetName val="도로구조공사비"/>
      <sheetName val="노임단가표"/>
      <sheetName val="상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량산출"/>
      <sheetName val="수량 집계"/>
      <sheetName val="자재산출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DATE"/>
      <sheetName val="PHASE1-1수량산출"/>
      <sheetName val="수목데이타 "/>
      <sheetName val="원가입력"/>
      <sheetName val="DATA"/>
      <sheetName val="데이타"/>
      <sheetName val="토사(PE)"/>
      <sheetName val="총괄내역서"/>
      <sheetName val="ITB COST"/>
      <sheetName val="간접비내역-1"/>
      <sheetName val="APT"/>
      <sheetName val="SORCE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비 (2)"/>
      <sheetName val="토목 (2)"/>
      <sheetName val="건축 (2)"/>
      <sheetName val="퍼스트"/>
      <sheetName val="요율맨"/>
      <sheetName val="산출내역서집계표"/>
      <sheetName val="건축"/>
      <sheetName val="토목"/>
      <sheetName val="설비"/>
    </sheetNames>
    <sheetDataSet>
      <sheetData sheetId="0"/>
      <sheetData sheetId="1"/>
      <sheetData sheetId="2"/>
      <sheetData sheetId="3"/>
      <sheetData sheetId="4"/>
      <sheetData sheetId="5">
        <row r="2">
          <cell r="AB2" t="str">
            <v>공사명 : 한국애니메이션고등학교 신축공사</v>
          </cell>
          <cell r="AR2" t="str">
            <v>(단위:원)</v>
          </cell>
        </row>
        <row r="3">
          <cell r="D3" t="str">
            <v>항  목  별</v>
          </cell>
          <cell r="F3" t="str">
            <v xml:space="preserve">자   재   비 </v>
          </cell>
          <cell r="G3" t="str">
            <v>노    무    비</v>
          </cell>
          <cell r="H3" t="str">
            <v>경         비</v>
          </cell>
          <cell r="I3" t="str">
            <v>합         계</v>
          </cell>
          <cell r="J3" t="str">
            <v>금    액</v>
          </cell>
          <cell r="L3" t="str">
            <v>비    고</v>
          </cell>
          <cell r="AB3" t="str">
            <v>항  목  별</v>
          </cell>
          <cell r="AD3" t="str">
            <v>교사동</v>
          </cell>
          <cell r="AE3" t="str">
            <v>교사동</v>
          </cell>
          <cell r="AF3" t="str">
            <v>교사동</v>
          </cell>
          <cell r="AG3" t="str">
            <v>교사동</v>
          </cell>
          <cell r="AH3" t="str">
            <v>다목적실</v>
          </cell>
          <cell r="AI3" t="str">
            <v>다목적실</v>
          </cell>
          <cell r="AJ3" t="str">
            <v>다목적실</v>
          </cell>
          <cell r="AK3" t="str">
            <v>다목적실</v>
          </cell>
          <cell r="AL3" t="str">
            <v>본관개축</v>
          </cell>
          <cell r="AM3" t="str">
            <v>본관개축</v>
          </cell>
          <cell r="AN3" t="str">
            <v>본관개축</v>
          </cell>
          <cell r="AO3" t="str">
            <v>본관개축</v>
          </cell>
          <cell r="AP3" t="str">
            <v>금  액</v>
          </cell>
          <cell r="AQ3" t="str">
            <v>단위</v>
          </cell>
          <cell r="AR3" t="str">
            <v>비    고</v>
          </cell>
        </row>
        <row r="4">
          <cell r="F4" t="str">
            <v>금    액</v>
          </cell>
          <cell r="G4" t="str">
            <v>금    액</v>
          </cell>
          <cell r="H4" t="str">
            <v>금    액</v>
          </cell>
          <cell r="I4" t="str">
            <v>단 가</v>
          </cell>
          <cell r="AD4" t="str">
            <v>재료비</v>
          </cell>
          <cell r="AE4" t="str">
            <v>노무비</v>
          </cell>
          <cell r="AF4" t="str">
            <v>경비</v>
          </cell>
          <cell r="AG4" t="str">
            <v>금    액</v>
          </cell>
          <cell r="AH4" t="str">
            <v>재료비</v>
          </cell>
          <cell r="AI4" t="str">
            <v>노무비</v>
          </cell>
          <cell r="AJ4" t="str">
            <v>경비</v>
          </cell>
          <cell r="AK4" t="str">
            <v>금    액</v>
          </cell>
          <cell r="AL4" t="str">
            <v>재료비</v>
          </cell>
          <cell r="AM4" t="str">
            <v>노무비</v>
          </cell>
          <cell r="AN4" t="str">
            <v>경비</v>
          </cell>
          <cell r="AO4" t="str">
            <v>금    액</v>
          </cell>
        </row>
        <row r="6">
          <cell r="D6" t="str">
            <v xml:space="preserve">  1.공종별합계</v>
          </cell>
          <cell r="F6">
            <v>0</v>
          </cell>
          <cell r="G6">
            <v>0</v>
          </cell>
          <cell r="H6">
            <v>0</v>
          </cell>
          <cell r="J6">
            <v>0</v>
          </cell>
          <cell r="K6" t="str">
            <v>원</v>
          </cell>
          <cell r="L6" t="str">
            <v xml:space="preserve">※ 좌측란의 금액은 재료비+직접노무비+산출경비를 </v>
          </cell>
          <cell r="AB6" t="str">
            <v xml:space="preserve">  1.공종별합계</v>
          </cell>
          <cell r="AP6">
            <v>5700349443</v>
          </cell>
          <cell r="AQ6" t="str">
            <v>원</v>
          </cell>
          <cell r="AR6" t="str">
            <v xml:space="preserve">※ 좌측란의 금액은 재료비+직접노무비+산출경비를 </v>
          </cell>
        </row>
        <row r="7">
          <cell r="E7" t="str">
            <v>가.건축공사</v>
          </cell>
          <cell r="L7" t="str">
            <v xml:space="preserve">     합산한 금액임.</v>
          </cell>
          <cell r="AC7" t="str">
            <v>가.건축공사</v>
          </cell>
          <cell r="AR7" t="str">
            <v xml:space="preserve">     합산한 금액임.</v>
          </cell>
        </row>
        <row r="8">
          <cell r="E8" t="str">
            <v>01 공 통 가 설 공 사</v>
          </cell>
          <cell r="J8">
            <v>0</v>
          </cell>
          <cell r="AC8" t="str">
            <v>01 공통가설공사</v>
          </cell>
          <cell r="AD8">
            <v>2731827</v>
          </cell>
          <cell r="AE8">
            <v>6389541</v>
          </cell>
          <cell r="AF8">
            <v>20590751</v>
          </cell>
          <cell r="AG8">
            <v>29712119</v>
          </cell>
          <cell r="AP8">
            <v>29712119</v>
          </cell>
          <cell r="AQ8" t="str">
            <v>원</v>
          </cell>
        </row>
        <row r="9">
          <cell r="E9" t="str">
            <v>02 가  설  공  사</v>
          </cell>
          <cell r="J9">
            <v>0</v>
          </cell>
          <cell r="K9" t="str">
            <v>원</v>
          </cell>
          <cell r="L9" t="str">
            <v>※ 각동별 공종별 합계금액을 표시.</v>
          </cell>
          <cell r="AC9" t="str">
            <v>02 가설공사</v>
          </cell>
          <cell r="AD9">
            <v>23570253</v>
          </cell>
          <cell r="AE9">
            <v>169770133</v>
          </cell>
          <cell r="AF9">
            <v>0</v>
          </cell>
          <cell r="AG9">
            <v>193340386</v>
          </cell>
          <cell r="AH9">
            <v>4580504</v>
          </cell>
          <cell r="AI9">
            <v>31737335</v>
          </cell>
          <cell r="AJ9">
            <v>0</v>
          </cell>
          <cell r="AK9">
            <v>36317839</v>
          </cell>
          <cell r="AP9">
            <v>229658225</v>
          </cell>
          <cell r="AQ9" t="str">
            <v>원</v>
          </cell>
          <cell r="AR9" t="str">
            <v>※ 각동별 공종별 합계금액을 표시.</v>
          </cell>
        </row>
        <row r="10">
          <cell r="E10" t="str">
            <v xml:space="preserve">03 토   공   사 </v>
          </cell>
          <cell r="J10">
            <v>0</v>
          </cell>
          <cell r="K10" t="str">
            <v>원</v>
          </cell>
          <cell r="AC10" t="str">
            <v>03 토공사</v>
          </cell>
          <cell r="AD10">
            <v>7362273</v>
          </cell>
          <cell r="AE10">
            <v>11004026</v>
          </cell>
          <cell r="AF10">
            <v>12528209</v>
          </cell>
          <cell r="AG10">
            <v>30894508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34596</v>
          </cell>
          <cell r="AM10">
            <v>81141</v>
          </cell>
          <cell r="AN10">
            <v>67311</v>
          </cell>
          <cell r="AO10">
            <v>183048</v>
          </cell>
          <cell r="AP10">
            <v>31077556</v>
          </cell>
          <cell r="AQ10" t="str">
            <v>원</v>
          </cell>
        </row>
        <row r="11">
          <cell r="E11" t="str">
            <v>04 철근콘크리트공사</v>
          </cell>
          <cell r="J11">
            <v>0</v>
          </cell>
          <cell r="K11" t="str">
            <v>원</v>
          </cell>
          <cell r="AC11" t="str">
            <v>04 흙막이및 토공사</v>
          </cell>
          <cell r="AH11">
            <v>11636379</v>
          </cell>
          <cell r="AI11">
            <v>20237015</v>
          </cell>
          <cell r="AJ11">
            <v>14333004</v>
          </cell>
          <cell r="AK11">
            <v>46206398</v>
          </cell>
          <cell r="AP11">
            <v>46206398</v>
          </cell>
          <cell r="AQ11" t="str">
            <v>원</v>
          </cell>
        </row>
        <row r="12">
          <cell r="E12" t="str">
            <v>05 조  적  공  사</v>
          </cell>
          <cell r="J12">
            <v>0</v>
          </cell>
          <cell r="K12" t="str">
            <v>원</v>
          </cell>
          <cell r="AC12" t="str">
            <v>05 철근콘크리트공사</v>
          </cell>
          <cell r="AD12">
            <v>78807364</v>
          </cell>
          <cell r="AE12">
            <v>452181675</v>
          </cell>
          <cell r="AF12">
            <v>23855486</v>
          </cell>
          <cell r="AG12">
            <v>554844525</v>
          </cell>
          <cell r="AH12">
            <v>34890901</v>
          </cell>
          <cell r="AI12">
            <v>188940786</v>
          </cell>
          <cell r="AJ12">
            <v>7347816</v>
          </cell>
          <cell r="AK12">
            <v>231179503</v>
          </cell>
          <cell r="AL12">
            <v>607710</v>
          </cell>
          <cell r="AM12">
            <v>2118294</v>
          </cell>
          <cell r="AN12">
            <v>113188</v>
          </cell>
          <cell r="AO12">
            <v>2839192</v>
          </cell>
          <cell r="AP12">
            <v>788863220</v>
          </cell>
          <cell r="AQ12" t="str">
            <v>원</v>
          </cell>
        </row>
        <row r="13">
          <cell r="E13" t="str">
            <v>06 철 골 공 사</v>
          </cell>
          <cell r="J13">
            <v>0</v>
          </cell>
          <cell r="K13" t="str">
            <v>원</v>
          </cell>
          <cell r="AC13" t="str">
            <v>06 철골공사</v>
          </cell>
          <cell r="AD13">
            <v>85988808</v>
          </cell>
          <cell r="AE13">
            <v>38048970</v>
          </cell>
          <cell r="AF13">
            <v>2650080</v>
          </cell>
          <cell r="AG13">
            <v>126687858</v>
          </cell>
          <cell r="AH13">
            <v>4059510</v>
          </cell>
          <cell r="AI13">
            <v>4681598</v>
          </cell>
          <cell r="AJ13">
            <v>425596</v>
          </cell>
          <cell r="AK13">
            <v>9166704</v>
          </cell>
          <cell r="AP13">
            <v>135854562</v>
          </cell>
          <cell r="AQ13" t="str">
            <v>원</v>
          </cell>
        </row>
        <row r="14">
          <cell r="E14" t="str">
            <v>07 방  수  공  사</v>
          </cell>
          <cell r="J14">
            <v>0</v>
          </cell>
          <cell r="K14" t="str">
            <v>원</v>
          </cell>
          <cell r="AC14" t="str">
            <v>07 조적공사</v>
          </cell>
          <cell r="AD14">
            <v>97761353</v>
          </cell>
          <cell r="AE14">
            <v>128658792</v>
          </cell>
          <cell r="AF14">
            <v>0</v>
          </cell>
          <cell r="AG14">
            <v>226420145</v>
          </cell>
          <cell r="AH14">
            <v>4837032</v>
          </cell>
          <cell r="AI14">
            <v>16251228</v>
          </cell>
          <cell r="AJ14">
            <v>0</v>
          </cell>
          <cell r="AK14">
            <v>21088260</v>
          </cell>
          <cell r="AP14">
            <v>247508405</v>
          </cell>
          <cell r="AQ14" t="str">
            <v>원</v>
          </cell>
        </row>
        <row r="15">
          <cell r="E15" t="str">
            <v>08 타  일  공  사</v>
          </cell>
          <cell r="J15">
            <v>0</v>
          </cell>
          <cell r="K15" t="str">
            <v>원</v>
          </cell>
          <cell r="AC15" t="str">
            <v>08 방수공사</v>
          </cell>
          <cell r="AD15">
            <v>19407277</v>
          </cell>
          <cell r="AE15">
            <v>70581909</v>
          </cell>
          <cell r="AF15">
            <v>0</v>
          </cell>
          <cell r="AG15">
            <v>89989186</v>
          </cell>
          <cell r="AH15">
            <v>7924562</v>
          </cell>
          <cell r="AI15">
            <v>35492672</v>
          </cell>
          <cell r="AJ15">
            <v>0</v>
          </cell>
          <cell r="AK15">
            <v>43417234</v>
          </cell>
          <cell r="AP15">
            <v>133406420</v>
          </cell>
          <cell r="AQ15" t="str">
            <v>원</v>
          </cell>
        </row>
        <row r="16">
          <cell r="E16" t="str">
            <v xml:space="preserve">09 석   공   사 </v>
          </cell>
          <cell r="J16">
            <v>0</v>
          </cell>
          <cell r="K16" t="str">
            <v>원</v>
          </cell>
          <cell r="AC16" t="str">
            <v xml:space="preserve">09 타일공사 </v>
          </cell>
          <cell r="AD16">
            <v>16066959</v>
          </cell>
          <cell r="AE16">
            <v>12595675</v>
          </cell>
          <cell r="AF16">
            <v>0</v>
          </cell>
          <cell r="AG16">
            <v>28662634</v>
          </cell>
          <cell r="AH16">
            <v>10984933</v>
          </cell>
          <cell r="AI16">
            <v>8914421</v>
          </cell>
          <cell r="AJ16">
            <v>0</v>
          </cell>
          <cell r="AK16">
            <v>19899354</v>
          </cell>
          <cell r="AP16">
            <v>48561988</v>
          </cell>
          <cell r="AQ16" t="str">
            <v>원</v>
          </cell>
        </row>
        <row r="17">
          <cell r="E17" t="str">
            <v>10 금  속  공  사</v>
          </cell>
          <cell r="J17">
            <v>0</v>
          </cell>
          <cell r="K17" t="str">
            <v>원</v>
          </cell>
          <cell r="AC17" t="str">
            <v>10 석공사</v>
          </cell>
          <cell r="AD17">
            <v>49053357</v>
          </cell>
          <cell r="AE17">
            <v>50919676</v>
          </cell>
          <cell r="AF17">
            <v>0</v>
          </cell>
          <cell r="AG17">
            <v>99973033</v>
          </cell>
          <cell r="AH17">
            <v>7417414</v>
          </cell>
          <cell r="AI17">
            <v>5123054</v>
          </cell>
          <cell r="AJ17">
            <v>0</v>
          </cell>
          <cell r="AK17">
            <v>12540468</v>
          </cell>
          <cell r="AP17">
            <v>112513501</v>
          </cell>
          <cell r="AQ17" t="str">
            <v>원</v>
          </cell>
        </row>
        <row r="18">
          <cell r="E18" t="str">
            <v xml:space="preserve">11 목   공   사 </v>
          </cell>
          <cell r="J18">
            <v>0</v>
          </cell>
          <cell r="K18" t="str">
            <v>원</v>
          </cell>
          <cell r="AC18" t="str">
            <v>11 목공사</v>
          </cell>
          <cell r="AD18">
            <v>105000687</v>
          </cell>
          <cell r="AE18">
            <v>6474028</v>
          </cell>
          <cell r="AF18">
            <v>0</v>
          </cell>
          <cell r="AG18">
            <v>111474715</v>
          </cell>
          <cell r="AH18">
            <v>3191759</v>
          </cell>
          <cell r="AI18">
            <v>6988896</v>
          </cell>
          <cell r="AJ18">
            <v>0</v>
          </cell>
          <cell r="AK18">
            <v>10180655</v>
          </cell>
          <cell r="AP18">
            <v>121655370</v>
          </cell>
          <cell r="AQ18" t="str">
            <v>원</v>
          </cell>
        </row>
        <row r="19">
          <cell r="E19" t="str">
            <v>12 미  장  공  사</v>
          </cell>
          <cell r="J19">
            <v>0</v>
          </cell>
          <cell r="K19" t="str">
            <v>원</v>
          </cell>
          <cell r="AC19" t="str">
            <v>12 건축음향내장공사</v>
          </cell>
          <cell r="AD19">
            <v>136055675</v>
          </cell>
          <cell r="AE19">
            <v>52735601</v>
          </cell>
          <cell r="AF19">
            <v>0</v>
          </cell>
          <cell r="AG19">
            <v>188791276</v>
          </cell>
          <cell r="AP19">
            <v>188791276</v>
          </cell>
          <cell r="AQ19" t="str">
            <v>원</v>
          </cell>
        </row>
        <row r="20">
          <cell r="E20" t="str">
            <v>13 창  호  공  사</v>
          </cell>
          <cell r="J20">
            <v>0</v>
          </cell>
          <cell r="K20" t="str">
            <v>원</v>
          </cell>
          <cell r="AC20" t="str">
            <v>13 금속공사</v>
          </cell>
          <cell r="AD20">
            <v>455543338</v>
          </cell>
          <cell r="AE20">
            <v>165367718</v>
          </cell>
          <cell r="AF20">
            <v>33723</v>
          </cell>
          <cell r="AG20">
            <v>620944779</v>
          </cell>
          <cell r="AH20">
            <v>24317084</v>
          </cell>
          <cell r="AI20">
            <v>16121617</v>
          </cell>
          <cell r="AJ20">
            <v>12863</v>
          </cell>
          <cell r="AK20">
            <v>40451564</v>
          </cell>
          <cell r="AP20">
            <v>661396343</v>
          </cell>
          <cell r="AQ20" t="str">
            <v>원</v>
          </cell>
        </row>
        <row r="21">
          <cell r="E21" t="str">
            <v>14 유  리   공  사</v>
          </cell>
          <cell r="J21">
            <v>0</v>
          </cell>
          <cell r="K21" t="str">
            <v>원</v>
          </cell>
          <cell r="AC21" t="str">
            <v>14 미장공사</v>
          </cell>
          <cell r="AD21">
            <v>3142023</v>
          </cell>
          <cell r="AE21">
            <v>73205710</v>
          </cell>
          <cell r="AF21">
            <v>295113</v>
          </cell>
          <cell r="AG21">
            <v>76642846</v>
          </cell>
          <cell r="AH21">
            <v>3366649</v>
          </cell>
          <cell r="AI21">
            <v>44505470</v>
          </cell>
          <cell r="AJ21">
            <v>15180</v>
          </cell>
          <cell r="AK21">
            <v>47887299</v>
          </cell>
          <cell r="AP21">
            <v>124530145</v>
          </cell>
          <cell r="AQ21" t="str">
            <v>원</v>
          </cell>
        </row>
        <row r="22">
          <cell r="E22" t="str">
            <v>15 도  장  공  사</v>
          </cell>
          <cell r="J22">
            <v>0</v>
          </cell>
          <cell r="K22" t="str">
            <v>원</v>
          </cell>
          <cell r="AC22" t="str">
            <v>15 창호공사</v>
          </cell>
          <cell r="AD22">
            <v>245767374</v>
          </cell>
          <cell r="AE22">
            <v>357966</v>
          </cell>
          <cell r="AF22">
            <v>0</v>
          </cell>
          <cell r="AG22">
            <v>246125340</v>
          </cell>
          <cell r="AH22">
            <v>49886199</v>
          </cell>
          <cell r="AI22">
            <v>160029</v>
          </cell>
          <cell r="AJ22">
            <v>0</v>
          </cell>
          <cell r="AK22">
            <v>50046228</v>
          </cell>
          <cell r="AP22">
            <v>296171568</v>
          </cell>
          <cell r="AQ22" t="str">
            <v>원</v>
          </cell>
        </row>
        <row r="23">
          <cell r="E23" t="str">
            <v>16 수  장  공  사</v>
          </cell>
          <cell r="J23">
            <v>0</v>
          </cell>
          <cell r="K23" t="str">
            <v>원</v>
          </cell>
          <cell r="AC23" t="str">
            <v>16 유리공사</v>
          </cell>
          <cell r="AD23">
            <v>58095273</v>
          </cell>
          <cell r="AE23">
            <v>30437764</v>
          </cell>
          <cell r="AF23">
            <v>0</v>
          </cell>
          <cell r="AG23">
            <v>88533037</v>
          </cell>
          <cell r="AH23">
            <v>10930609</v>
          </cell>
          <cell r="AI23">
            <v>5272278</v>
          </cell>
          <cell r="AJ23">
            <v>0</v>
          </cell>
          <cell r="AK23">
            <v>16202887</v>
          </cell>
          <cell r="AP23">
            <v>104735924</v>
          </cell>
          <cell r="AQ23" t="str">
            <v>원</v>
          </cell>
        </row>
        <row r="24">
          <cell r="E24" t="str">
            <v>17 지붕 및 홈통공사</v>
          </cell>
          <cell r="J24">
            <v>0</v>
          </cell>
          <cell r="K24" t="str">
            <v>원</v>
          </cell>
          <cell r="AC24" t="str">
            <v>17 도장공사</v>
          </cell>
          <cell r="AD24">
            <v>62737936</v>
          </cell>
          <cell r="AE24">
            <v>56061324</v>
          </cell>
          <cell r="AF24">
            <v>0</v>
          </cell>
          <cell r="AG24">
            <v>118799260</v>
          </cell>
          <cell r="AH24">
            <v>8406686</v>
          </cell>
          <cell r="AI24">
            <v>4376616</v>
          </cell>
          <cell r="AJ24">
            <v>0</v>
          </cell>
          <cell r="AK24">
            <v>12783302</v>
          </cell>
          <cell r="AP24">
            <v>131582562</v>
          </cell>
          <cell r="AQ24" t="str">
            <v>원</v>
          </cell>
        </row>
        <row r="25">
          <cell r="E25" t="str">
            <v xml:space="preserve">18 잡   공   사 </v>
          </cell>
          <cell r="J25">
            <v>0</v>
          </cell>
          <cell r="K25" t="str">
            <v>원</v>
          </cell>
          <cell r="AC25" t="str">
            <v>18 스페이스 후렘공사</v>
          </cell>
          <cell r="AD25">
            <v>38125162</v>
          </cell>
          <cell r="AE25">
            <v>10077600</v>
          </cell>
          <cell r="AF25">
            <v>1000000</v>
          </cell>
          <cell r="AG25">
            <v>49202762</v>
          </cell>
          <cell r="AP25">
            <v>49202762</v>
          </cell>
          <cell r="AQ25" t="str">
            <v>원</v>
          </cell>
        </row>
        <row r="26">
          <cell r="E26" t="str">
            <v>19 정화조설치공사</v>
          </cell>
          <cell r="J26">
            <v>0</v>
          </cell>
          <cell r="K26" t="str">
            <v>원</v>
          </cell>
          <cell r="AC26" t="str">
            <v>19 수장공사</v>
          </cell>
          <cell r="AD26">
            <v>468931584</v>
          </cell>
          <cell r="AE26">
            <v>35634265</v>
          </cell>
          <cell r="AF26">
            <v>34365</v>
          </cell>
          <cell r="AG26">
            <v>504600214</v>
          </cell>
          <cell r="AH26">
            <v>115579610</v>
          </cell>
          <cell r="AI26">
            <v>26787573</v>
          </cell>
          <cell r="AJ26">
            <v>0</v>
          </cell>
          <cell r="AK26">
            <v>142367183</v>
          </cell>
          <cell r="AP26">
            <v>646967397</v>
          </cell>
          <cell r="AQ26" t="str">
            <v>원</v>
          </cell>
        </row>
        <row r="27">
          <cell r="E27" t="str">
            <v>20 철  거  공  사</v>
          </cell>
          <cell r="J27">
            <v>0</v>
          </cell>
          <cell r="K27" t="str">
            <v>원</v>
          </cell>
          <cell r="AC27" t="str">
            <v>20 잡공사</v>
          </cell>
          <cell r="AD27">
            <v>84543386</v>
          </cell>
          <cell r="AE27">
            <v>21886475</v>
          </cell>
          <cell r="AF27">
            <v>0</v>
          </cell>
          <cell r="AG27">
            <v>106429861</v>
          </cell>
          <cell r="AH27">
            <v>32379202</v>
          </cell>
          <cell r="AI27">
            <v>1715030</v>
          </cell>
          <cell r="AJ27">
            <v>0</v>
          </cell>
          <cell r="AK27">
            <v>34094232</v>
          </cell>
          <cell r="AP27">
            <v>140524093</v>
          </cell>
          <cell r="AQ27" t="str">
            <v>원</v>
          </cell>
        </row>
        <row r="28">
          <cell r="E28" t="str">
            <v>21 골  재  비</v>
          </cell>
          <cell r="J28">
            <v>0</v>
          </cell>
          <cell r="K28" t="str">
            <v>원</v>
          </cell>
          <cell r="AC28" t="str">
            <v>21 마감공사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L28">
            <v>31197675</v>
          </cell>
          <cell r="AM28">
            <v>12684885</v>
          </cell>
          <cell r="AN28">
            <v>4278</v>
          </cell>
          <cell r="AO28">
            <v>43886838</v>
          </cell>
          <cell r="AP28">
            <v>43886838</v>
          </cell>
          <cell r="AQ28" t="str">
            <v>원</v>
          </cell>
        </row>
        <row r="29">
          <cell r="E29" t="str">
            <v>22 운  반  비</v>
          </cell>
          <cell r="J29">
            <v>0</v>
          </cell>
          <cell r="K29" t="str">
            <v>원</v>
          </cell>
          <cell r="AC29" t="str">
            <v>22 골재및운반비</v>
          </cell>
          <cell r="AD29">
            <v>9804150</v>
          </cell>
          <cell r="AE29">
            <v>4722045</v>
          </cell>
          <cell r="AF29">
            <v>2221380</v>
          </cell>
          <cell r="AG29">
            <v>16747575</v>
          </cell>
          <cell r="AH29">
            <v>4582934</v>
          </cell>
          <cell r="AI29">
            <v>2237810</v>
          </cell>
          <cell r="AJ29">
            <v>921434</v>
          </cell>
          <cell r="AK29">
            <v>7742178</v>
          </cell>
          <cell r="AL29">
            <v>59680</v>
          </cell>
          <cell r="AM29">
            <v>14642</v>
          </cell>
          <cell r="AN29">
            <v>6888</v>
          </cell>
          <cell r="AO29">
            <v>81210</v>
          </cell>
          <cell r="AP29">
            <v>24570963</v>
          </cell>
          <cell r="AQ29" t="str">
            <v>원</v>
          </cell>
        </row>
        <row r="30">
          <cell r="E30" t="str">
            <v>23 작 업 부 산 물</v>
          </cell>
          <cell r="J30">
            <v>0</v>
          </cell>
          <cell r="K30" t="str">
            <v>원</v>
          </cell>
          <cell r="AC30" t="str">
            <v>23 작업부산물</v>
          </cell>
          <cell r="AD30">
            <v>-2080800</v>
          </cell>
          <cell r="AE30">
            <v>0</v>
          </cell>
          <cell r="AF30">
            <v>0</v>
          </cell>
          <cell r="AG30">
            <v>-2080800</v>
          </cell>
          <cell r="AH30">
            <v>-520200</v>
          </cell>
          <cell r="AI30">
            <v>0</v>
          </cell>
          <cell r="AJ30">
            <v>0</v>
          </cell>
          <cell r="AK30">
            <v>-520200</v>
          </cell>
          <cell r="AL30">
            <v>-86700</v>
          </cell>
          <cell r="AM30">
            <v>0</v>
          </cell>
          <cell r="AN30">
            <v>0</v>
          </cell>
          <cell r="AO30">
            <v>-86700</v>
          </cell>
          <cell r="AP30">
            <v>-2687700</v>
          </cell>
          <cell r="AQ30" t="str">
            <v>원</v>
          </cell>
        </row>
        <row r="31">
          <cell r="AC31" t="str">
            <v>24 관급자재비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Q31" t="str">
            <v>원</v>
          </cell>
        </row>
        <row r="32">
          <cell r="E32" t="str">
            <v>합 계</v>
          </cell>
          <cell r="F32">
            <v>0</v>
          </cell>
          <cell r="G32">
            <v>0</v>
          </cell>
          <cell r="H32">
            <v>0</v>
          </cell>
          <cell r="J32">
            <v>0</v>
          </cell>
          <cell r="K32" t="str">
            <v>원</v>
          </cell>
          <cell r="AC32" t="str">
            <v>합 계</v>
          </cell>
          <cell r="AD32">
            <v>2046415259</v>
          </cell>
          <cell r="AE32">
            <v>1397110893</v>
          </cell>
          <cell r="AF32">
            <v>63209107</v>
          </cell>
          <cell r="AG32">
            <v>3506735259</v>
          </cell>
          <cell r="AH32">
            <v>338451767</v>
          </cell>
          <cell r="AI32">
            <v>419543428</v>
          </cell>
          <cell r="AJ32">
            <v>23055893</v>
          </cell>
          <cell r="AK32">
            <v>781051088</v>
          </cell>
          <cell r="AL32">
            <v>31812961</v>
          </cell>
          <cell r="AM32">
            <v>14898962</v>
          </cell>
          <cell r="AN32">
            <v>191665</v>
          </cell>
          <cell r="AO32">
            <v>46903588</v>
          </cell>
          <cell r="AP32">
            <v>4334689935</v>
          </cell>
          <cell r="AQ32" t="str">
            <v>원</v>
          </cell>
        </row>
        <row r="33">
          <cell r="E33" t="str">
            <v>나.토목공사</v>
          </cell>
          <cell r="AC33" t="str">
            <v>나.토목공사</v>
          </cell>
        </row>
        <row r="35">
          <cell r="E35" t="str">
            <v>01 토공사</v>
          </cell>
          <cell r="J35">
            <v>0</v>
          </cell>
          <cell r="K35" t="str">
            <v>원</v>
          </cell>
          <cell r="AC35" t="str">
            <v>01 토공사</v>
          </cell>
          <cell r="AD35">
            <v>492257</v>
          </cell>
          <cell r="AE35">
            <v>590533</v>
          </cell>
          <cell r="AF35">
            <v>823870</v>
          </cell>
          <cell r="AG35">
            <v>1906660</v>
          </cell>
          <cell r="AP35">
            <v>1906660</v>
          </cell>
          <cell r="AQ35" t="str">
            <v>원</v>
          </cell>
        </row>
        <row r="36">
          <cell r="E36" t="str">
            <v>02 하수도공사</v>
          </cell>
          <cell r="J36">
            <v>0</v>
          </cell>
          <cell r="K36" t="str">
            <v>원</v>
          </cell>
          <cell r="AC36" t="str">
            <v>02 구조물공사</v>
          </cell>
          <cell r="AD36">
            <v>4633590</v>
          </cell>
          <cell r="AE36">
            <v>42718344</v>
          </cell>
          <cell r="AF36">
            <v>131084</v>
          </cell>
          <cell r="AG36">
            <v>47483018</v>
          </cell>
          <cell r="AP36">
            <v>47483018</v>
          </cell>
          <cell r="AQ36" t="str">
            <v>원</v>
          </cell>
        </row>
        <row r="37">
          <cell r="E37" t="str">
            <v>03 포장공사</v>
          </cell>
          <cell r="J37">
            <v>0</v>
          </cell>
          <cell r="K37" t="str">
            <v>원</v>
          </cell>
          <cell r="AC37" t="str">
            <v>03 배수시설공사</v>
          </cell>
          <cell r="AD37">
            <v>13685630</v>
          </cell>
          <cell r="AE37">
            <v>17702877</v>
          </cell>
          <cell r="AF37">
            <v>795421</v>
          </cell>
          <cell r="AG37">
            <v>32183928</v>
          </cell>
          <cell r="AP37">
            <v>32183928</v>
          </cell>
          <cell r="AQ37" t="str">
            <v>원</v>
          </cell>
        </row>
        <row r="38">
          <cell r="E38" t="str">
            <v>04 옹벽공사</v>
          </cell>
          <cell r="J38">
            <v>0</v>
          </cell>
          <cell r="K38" t="str">
            <v>원</v>
          </cell>
          <cell r="AC38" t="str">
            <v>04 포장공사</v>
          </cell>
          <cell r="AD38">
            <v>23098180</v>
          </cell>
          <cell r="AE38">
            <v>39510964</v>
          </cell>
          <cell r="AF38">
            <v>720108</v>
          </cell>
          <cell r="AG38">
            <v>63329252</v>
          </cell>
          <cell r="AP38">
            <v>63329252</v>
          </cell>
          <cell r="AQ38" t="str">
            <v>원</v>
          </cell>
        </row>
        <row r="39">
          <cell r="E39" t="str">
            <v>05 화단박스공사</v>
          </cell>
          <cell r="J39">
            <v>0</v>
          </cell>
          <cell r="K39" t="str">
            <v>원</v>
          </cell>
          <cell r="AC39" t="str">
            <v>05 정문,후문및담장공사</v>
          </cell>
          <cell r="AD39">
            <v>39820550</v>
          </cell>
          <cell r="AE39">
            <v>12877260</v>
          </cell>
          <cell r="AF39">
            <v>684000</v>
          </cell>
          <cell r="AG39">
            <v>53381810</v>
          </cell>
          <cell r="AP39">
            <v>53381810</v>
          </cell>
          <cell r="AQ39" t="str">
            <v>원</v>
          </cell>
        </row>
        <row r="40">
          <cell r="E40" t="str">
            <v>06 구조물공사</v>
          </cell>
          <cell r="J40">
            <v>0</v>
          </cell>
          <cell r="K40" t="str">
            <v>원</v>
          </cell>
          <cell r="AC40" t="str">
            <v>06 체육장마사토포설공사</v>
          </cell>
          <cell r="AD40">
            <v>634900</v>
          </cell>
          <cell r="AE40">
            <v>236100</v>
          </cell>
          <cell r="AF40">
            <v>201635</v>
          </cell>
          <cell r="AG40">
            <v>1072635</v>
          </cell>
          <cell r="AP40">
            <v>1072635</v>
          </cell>
          <cell r="AQ40" t="str">
            <v>원</v>
          </cell>
        </row>
        <row r="41">
          <cell r="E41" t="str">
            <v>07 철거공사</v>
          </cell>
          <cell r="J41">
            <v>0</v>
          </cell>
          <cell r="K41" t="str">
            <v>원</v>
          </cell>
          <cell r="AC41" t="str">
            <v>07 철거및복구공사</v>
          </cell>
          <cell r="AD41">
            <v>148214</v>
          </cell>
          <cell r="AE41">
            <v>381226</v>
          </cell>
          <cell r="AF41">
            <v>149405</v>
          </cell>
          <cell r="AG41">
            <v>678845</v>
          </cell>
          <cell r="AP41">
            <v>678845</v>
          </cell>
          <cell r="AQ41" t="str">
            <v>원</v>
          </cell>
        </row>
        <row r="42">
          <cell r="E42" t="str">
            <v>08 사급자재비공사</v>
          </cell>
          <cell r="J42">
            <v>0</v>
          </cell>
          <cell r="K42" t="str">
            <v>원</v>
          </cell>
          <cell r="AC42" t="str">
            <v>소계</v>
          </cell>
          <cell r="AD42">
            <v>82513321</v>
          </cell>
          <cell r="AE42">
            <v>114017304</v>
          </cell>
          <cell r="AF42">
            <v>3505523</v>
          </cell>
          <cell r="AG42">
            <v>200036148</v>
          </cell>
          <cell r="AP42">
            <v>200036148</v>
          </cell>
          <cell r="AQ42" t="str">
            <v>원</v>
          </cell>
        </row>
        <row r="43">
          <cell r="E43" t="str">
            <v>09 운반비</v>
          </cell>
          <cell r="J43">
            <v>0</v>
          </cell>
          <cell r="K43" t="str">
            <v>원</v>
          </cell>
          <cell r="AC43" t="str">
            <v>08 운반비</v>
          </cell>
          <cell r="AD43">
            <v>0</v>
          </cell>
          <cell r="AE43">
            <v>0</v>
          </cell>
          <cell r="AF43">
            <v>1446095</v>
          </cell>
          <cell r="AG43">
            <v>1446095</v>
          </cell>
          <cell r="AP43">
            <v>1446095</v>
          </cell>
          <cell r="AQ43" t="str">
            <v>원</v>
          </cell>
        </row>
        <row r="44">
          <cell r="E44" t="str">
            <v>10 작업 부산물</v>
          </cell>
          <cell r="J44">
            <v>0</v>
          </cell>
          <cell r="K44" t="str">
            <v>원</v>
          </cell>
          <cell r="AC44" t="str">
            <v>09 작업 부산물</v>
          </cell>
          <cell r="AD44">
            <v>-84150</v>
          </cell>
          <cell r="AE44">
            <v>0</v>
          </cell>
          <cell r="AF44">
            <v>0</v>
          </cell>
          <cell r="AG44">
            <v>-84150</v>
          </cell>
          <cell r="AP44">
            <v>-84150</v>
          </cell>
          <cell r="AQ44" t="str">
            <v>원</v>
          </cell>
        </row>
        <row r="45">
          <cell r="E45" t="str">
            <v xml:space="preserve"> 11 폐기물처리수수료</v>
          </cell>
          <cell r="J45">
            <v>0</v>
          </cell>
          <cell r="K45" t="str">
            <v>원</v>
          </cell>
          <cell r="AC45" t="str">
            <v xml:space="preserve"> 10 관급자재비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P45">
            <v>0</v>
          </cell>
          <cell r="AQ45" t="str">
            <v>원</v>
          </cell>
        </row>
        <row r="46">
          <cell r="E46" t="str">
            <v>합계</v>
          </cell>
          <cell r="F46">
            <v>0</v>
          </cell>
          <cell r="G46">
            <v>0</v>
          </cell>
          <cell r="H46">
            <v>0</v>
          </cell>
          <cell r="J46">
            <v>0</v>
          </cell>
          <cell r="K46" t="str">
            <v>원</v>
          </cell>
          <cell r="AC46" t="str">
            <v>합계</v>
          </cell>
          <cell r="AD46">
            <v>82429171</v>
          </cell>
          <cell r="AE46">
            <v>114017304</v>
          </cell>
          <cell r="AF46">
            <v>3505523</v>
          </cell>
          <cell r="AG46">
            <v>199951998</v>
          </cell>
          <cell r="AP46">
            <v>199951998</v>
          </cell>
          <cell r="AQ46" t="str">
            <v>원</v>
          </cell>
        </row>
        <row r="61">
          <cell r="E61" t="str">
            <v>다.기계설비공사</v>
          </cell>
          <cell r="AC61" t="str">
            <v>다.기계설비공사</v>
          </cell>
          <cell r="AG61" t="str">
            <v>신축동</v>
          </cell>
          <cell r="AH61" t="str">
            <v>본관동</v>
          </cell>
          <cell r="AI61" t="str">
            <v>본관동</v>
          </cell>
          <cell r="AJ61" t="str">
            <v>본관동</v>
          </cell>
          <cell r="AK61" t="str">
            <v>본관동</v>
          </cell>
          <cell r="AL61" t="str">
            <v>본관동증축</v>
          </cell>
          <cell r="AM61" t="str">
            <v>본관동증축</v>
          </cell>
          <cell r="AN61" t="str">
            <v>본관동증축</v>
          </cell>
          <cell r="AO61" t="str">
            <v>본관동증축</v>
          </cell>
        </row>
        <row r="62">
          <cell r="AG62" t="str">
            <v>합계</v>
          </cell>
          <cell r="AH62" t="str">
            <v>재료비</v>
          </cell>
          <cell r="AI62" t="str">
            <v>노무비</v>
          </cell>
          <cell r="AJ62" t="str">
            <v>경비</v>
          </cell>
          <cell r="AK62" t="str">
            <v>합계</v>
          </cell>
          <cell r="AL62" t="str">
            <v>재료비</v>
          </cell>
          <cell r="AM62" t="str">
            <v>노무비</v>
          </cell>
          <cell r="AN62" t="str">
            <v>경비</v>
          </cell>
          <cell r="AO62" t="str">
            <v>합계</v>
          </cell>
        </row>
        <row r="63">
          <cell r="E63" t="str">
            <v>01 옥외배관공사</v>
          </cell>
          <cell r="J63">
            <v>0</v>
          </cell>
          <cell r="K63" t="str">
            <v>원</v>
          </cell>
          <cell r="AC63" t="str">
            <v>01 장비설치공사</v>
          </cell>
          <cell r="AD63">
            <v>37696528</v>
          </cell>
          <cell r="AE63">
            <v>23950965</v>
          </cell>
          <cell r="AF63">
            <v>0</v>
          </cell>
          <cell r="AG63">
            <v>61647493</v>
          </cell>
          <cell r="AH63">
            <v>6782360</v>
          </cell>
          <cell r="AI63">
            <v>2412020</v>
          </cell>
          <cell r="AJ63">
            <v>0</v>
          </cell>
          <cell r="AK63">
            <v>9194380</v>
          </cell>
          <cell r="AP63">
            <v>70841873</v>
          </cell>
          <cell r="AQ63" t="str">
            <v>원</v>
          </cell>
        </row>
        <row r="64">
          <cell r="E64" t="str">
            <v>02 기계실배관공사</v>
          </cell>
          <cell r="J64">
            <v>0</v>
          </cell>
          <cell r="K64" t="str">
            <v>원</v>
          </cell>
          <cell r="AC64" t="str">
            <v>02 기계실배관공사</v>
          </cell>
          <cell r="AD64">
            <v>131491383</v>
          </cell>
          <cell r="AE64">
            <v>49145503</v>
          </cell>
          <cell r="AF64">
            <v>0</v>
          </cell>
          <cell r="AG64">
            <v>180636886</v>
          </cell>
          <cell r="AP64">
            <v>180636886</v>
          </cell>
          <cell r="AQ64" t="str">
            <v>원</v>
          </cell>
        </row>
        <row r="65">
          <cell r="E65" t="str">
            <v>03 난방배관공사</v>
          </cell>
          <cell r="J65">
            <v>0</v>
          </cell>
          <cell r="K65" t="str">
            <v>원</v>
          </cell>
          <cell r="AC65" t="str">
            <v>03 난방배관공사</v>
          </cell>
          <cell r="AH65">
            <v>28380365</v>
          </cell>
          <cell r="AI65">
            <v>47108338</v>
          </cell>
          <cell r="AJ65">
            <v>0</v>
          </cell>
          <cell r="AK65">
            <v>75488703</v>
          </cell>
          <cell r="AP65">
            <v>75488703</v>
          </cell>
          <cell r="AQ65" t="str">
            <v>원</v>
          </cell>
        </row>
        <row r="66">
          <cell r="E66" t="str">
            <v>04 위생배관공사</v>
          </cell>
          <cell r="J66">
            <v>0</v>
          </cell>
          <cell r="K66" t="str">
            <v>원</v>
          </cell>
          <cell r="AC66" t="str">
            <v>04 냉난방배관공사</v>
          </cell>
          <cell r="AD66">
            <v>234172219</v>
          </cell>
          <cell r="AE66">
            <v>153473404</v>
          </cell>
          <cell r="AF66">
            <v>0</v>
          </cell>
          <cell r="AG66">
            <v>387645623</v>
          </cell>
          <cell r="AP66">
            <v>387645623</v>
          </cell>
          <cell r="AQ66" t="str">
            <v>원</v>
          </cell>
        </row>
        <row r="67">
          <cell r="E67" t="str">
            <v>05 배기닥트설치공사</v>
          </cell>
          <cell r="J67">
            <v>0</v>
          </cell>
          <cell r="K67" t="str">
            <v>원</v>
          </cell>
          <cell r="AC67" t="str">
            <v>05 공조닥트설치공사</v>
          </cell>
          <cell r="AD67">
            <v>16918675</v>
          </cell>
          <cell r="AE67">
            <v>38126660</v>
          </cell>
          <cell r="AF67">
            <v>0</v>
          </cell>
          <cell r="AG67">
            <v>55045335</v>
          </cell>
          <cell r="AP67">
            <v>55045335</v>
          </cell>
          <cell r="AQ67" t="str">
            <v>원</v>
          </cell>
        </row>
        <row r="68">
          <cell r="E68" t="str">
            <v>06 가스배관공사</v>
          </cell>
          <cell r="J68">
            <v>0</v>
          </cell>
          <cell r="K68" t="str">
            <v>원</v>
          </cell>
          <cell r="AC68" t="str">
            <v>06 위생기구설치공사</v>
          </cell>
          <cell r="AD68">
            <v>28581934</v>
          </cell>
          <cell r="AE68">
            <v>14731155</v>
          </cell>
          <cell r="AF68">
            <v>0</v>
          </cell>
          <cell r="AG68">
            <v>43313089</v>
          </cell>
          <cell r="AH68">
            <v>2323379</v>
          </cell>
          <cell r="AI68">
            <v>6970913</v>
          </cell>
          <cell r="AJ68">
            <v>0</v>
          </cell>
          <cell r="AK68">
            <v>9294292</v>
          </cell>
          <cell r="AP68">
            <v>52607381</v>
          </cell>
          <cell r="AQ68" t="str">
            <v>원</v>
          </cell>
        </row>
        <row r="69">
          <cell r="AC69" t="str">
            <v>07 위생배관공사</v>
          </cell>
          <cell r="AD69">
            <v>54966551</v>
          </cell>
          <cell r="AE69">
            <v>57083740</v>
          </cell>
          <cell r="AF69">
            <v>0</v>
          </cell>
          <cell r="AG69">
            <v>112050291</v>
          </cell>
          <cell r="AP69">
            <v>112050291</v>
          </cell>
          <cell r="AQ69" t="str">
            <v>원</v>
          </cell>
        </row>
        <row r="70">
          <cell r="E70" t="str">
            <v>07 자동제어공사</v>
          </cell>
          <cell r="J70">
            <v>0</v>
          </cell>
          <cell r="K70" t="str">
            <v>원</v>
          </cell>
          <cell r="AC70" t="str">
            <v>08 도시가스배관공사</v>
          </cell>
          <cell r="AD70">
            <v>22420315</v>
          </cell>
          <cell r="AE70">
            <v>12539215</v>
          </cell>
          <cell r="AF70">
            <v>0</v>
          </cell>
          <cell r="AG70">
            <v>34959530</v>
          </cell>
          <cell r="AP70">
            <v>34959530</v>
          </cell>
          <cell r="AQ70" t="str">
            <v>원</v>
          </cell>
        </row>
        <row r="71">
          <cell r="E71" t="str">
            <v>08 소화배관공사</v>
          </cell>
          <cell r="J71">
            <v>0</v>
          </cell>
          <cell r="K71" t="str">
            <v>원</v>
          </cell>
          <cell r="AC71" t="str">
            <v>09 자동제어서치공사</v>
          </cell>
          <cell r="AD71">
            <v>31132209</v>
          </cell>
          <cell r="AE71">
            <v>4086978</v>
          </cell>
          <cell r="AF71">
            <v>0</v>
          </cell>
          <cell r="AG71">
            <v>35219187</v>
          </cell>
          <cell r="AP71">
            <v>35219187</v>
          </cell>
          <cell r="AQ71" t="str">
            <v>원</v>
          </cell>
        </row>
        <row r="72">
          <cell r="E72" t="str">
            <v>09 위생기구설치공사</v>
          </cell>
          <cell r="J72">
            <v>0</v>
          </cell>
          <cell r="K72" t="str">
            <v>원</v>
          </cell>
          <cell r="AC72" t="str">
            <v>10 연도설치공사</v>
          </cell>
          <cell r="AD72">
            <v>43364264</v>
          </cell>
          <cell r="AE72">
            <v>6692154</v>
          </cell>
          <cell r="AF72">
            <v>0</v>
          </cell>
          <cell r="AG72">
            <v>50056418</v>
          </cell>
          <cell r="AP72">
            <v>50056418</v>
          </cell>
          <cell r="AQ72" t="str">
            <v>원</v>
          </cell>
        </row>
        <row r="73">
          <cell r="E73" t="str">
            <v>10 급수급탕배관공사</v>
          </cell>
          <cell r="J73">
            <v>0</v>
          </cell>
          <cell r="K73" t="str">
            <v>원</v>
          </cell>
          <cell r="AC73" t="str">
            <v>11 방진설치공사</v>
          </cell>
          <cell r="AD73">
            <v>14923805</v>
          </cell>
          <cell r="AE73">
            <v>4324093</v>
          </cell>
          <cell r="AF73">
            <v>0</v>
          </cell>
          <cell r="AG73">
            <v>19247898</v>
          </cell>
          <cell r="AP73">
            <v>19247898</v>
          </cell>
          <cell r="AQ73" t="str">
            <v>원</v>
          </cell>
        </row>
        <row r="74">
          <cell r="E74" t="str">
            <v>11 오배수통기배관공사</v>
          </cell>
          <cell r="J74">
            <v>0</v>
          </cell>
          <cell r="K74" t="str">
            <v>원</v>
          </cell>
          <cell r="AC74" t="str">
            <v>12 환기닥트설치공사</v>
          </cell>
          <cell r="AH74">
            <v>15865991</v>
          </cell>
          <cell r="AI74">
            <v>7499700</v>
          </cell>
          <cell r="AJ74">
            <v>0</v>
          </cell>
          <cell r="AK74">
            <v>23365691</v>
          </cell>
          <cell r="AL74">
            <v>1566495</v>
          </cell>
          <cell r="AM74">
            <v>4088287</v>
          </cell>
          <cell r="AN74">
            <v>0</v>
          </cell>
          <cell r="AO74">
            <v>5654782</v>
          </cell>
          <cell r="AP74">
            <v>29020473</v>
          </cell>
          <cell r="AQ74" t="str">
            <v>원</v>
          </cell>
        </row>
        <row r="75">
          <cell r="E75" t="str">
            <v>합계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원</v>
          </cell>
          <cell r="AC75" t="str">
            <v>13 위생설비공사</v>
          </cell>
          <cell r="AH75">
            <v>27036309</v>
          </cell>
          <cell r="AI75">
            <v>31424526</v>
          </cell>
          <cell r="AJ75">
            <v>0</v>
          </cell>
          <cell r="AK75">
            <v>58460835</v>
          </cell>
          <cell r="AL75">
            <v>682861</v>
          </cell>
          <cell r="AM75">
            <v>1285389</v>
          </cell>
          <cell r="AN75">
            <v>0</v>
          </cell>
          <cell r="AO75">
            <v>1968250</v>
          </cell>
          <cell r="AP75">
            <v>60429085</v>
          </cell>
          <cell r="AQ75" t="str">
            <v>원</v>
          </cell>
        </row>
        <row r="76">
          <cell r="AC76" t="str">
            <v>14 가스설비공사</v>
          </cell>
          <cell r="AL76">
            <v>1286720</v>
          </cell>
          <cell r="AM76">
            <v>1172107</v>
          </cell>
          <cell r="AN76">
            <v>0</v>
          </cell>
          <cell r="AO76">
            <v>2458827</v>
          </cell>
          <cell r="AP76">
            <v>2458827</v>
          </cell>
          <cell r="AQ76" t="str">
            <v>원</v>
          </cell>
        </row>
        <row r="77">
          <cell r="AC77" t="str">
            <v>12 관급장비설치공사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P77">
            <v>0</v>
          </cell>
        </row>
        <row r="78">
          <cell r="AC78" t="str">
            <v>합계</v>
          </cell>
          <cell r="AD78">
            <v>615667883</v>
          </cell>
          <cell r="AE78">
            <v>364153867</v>
          </cell>
          <cell r="AF78">
            <v>0</v>
          </cell>
          <cell r="AG78">
            <v>979821750</v>
          </cell>
          <cell r="AH78">
            <v>80388404</v>
          </cell>
          <cell r="AI78">
            <v>95415497</v>
          </cell>
          <cell r="AJ78">
            <v>0</v>
          </cell>
          <cell r="AK78">
            <v>175803901</v>
          </cell>
          <cell r="AL78">
            <v>3536076</v>
          </cell>
          <cell r="AM78">
            <v>6545783</v>
          </cell>
          <cell r="AN78">
            <v>0</v>
          </cell>
          <cell r="AO78">
            <v>10081859</v>
          </cell>
          <cell r="AP78">
            <v>1165707510</v>
          </cell>
          <cell r="AQ78" t="str">
            <v>원</v>
          </cell>
        </row>
        <row r="90">
          <cell r="D90" t="str">
            <v xml:space="preserve">  2.간접노무비</v>
          </cell>
          <cell r="J90">
            <v>0</v>
          </cell>
          <cell r="K90" t="str">
            <v>원</v>
          </cell>
          <cell r="AB90" t="str">
            <v xml:space="preserve">  2.간접노무비</v>
          </cell>
          <cell r="AI90" t="str">
            <v>원</v>
          </cell>
          <cell r="AP90">
            <v>223949137</v>
          </cell>
          <cell r="AQ90" t="str">
            <v>원</v>
          </cell>
        </row>
        <row r="91">
          <cell r="D91" t="str">
            <v xml:space="preserve">  3.경   비</v>
          </cell>
          <cell r="AB91" t="str">
            <v xml:space="preserve">  3.경   비</v>
          </cell>
          <cell r="AQ91" t="str">
            <v>원</v>
          </cell>
        </row>
        <row r="92">
          <cell r="E92" t="str">
            <v>(1) 산재보험료</v>
          </cell>
          <cell r="J92">
            <v>0</v>
          </cell>
          <cell r="K92" t="str">
            <v>원</v>
          </cell>
          <cell r="AC92" t="str">
            <v>(1) 산재보험료</v>
          </cell>
          <cell r="AI92" t="str">
            <v>원</v>
          </cell>
          <cell r="AP92">
            <v>94882855</v>
          </cell>
          <cell r="AQ92" t="str">
            <v>원</v>
          </cell>
        </row>
        <row r="93">
          <cell r="E93" t="str">
            <v>(2) 안전관리비</v>
          </cell>
          <cell r="J93">
            <v>21630302</v>
          </cell>
          <cell r="K93" t="str">
            <v>원</v>
          </cell>
          <cell r="AC93" t="str">
            <v>(2) 안전관리비</v>
          </cell>
          <cell r="AI93" t="str">
            <v>원</v>
          </cell>
          <cell r="AP93">
            <v>127105582</v>
          </cell>
          <cell r="AQ93" t="str">
            <v>원</v>
          </cell>
        </row>
        <row r="94">
          <cell r="E94" t="str">
            <v>(3) 고용보험료</v>
          </cell>
          <cell r="K94" t="str">
            <v>원</v>
          </cell>
          <cell r="AC94" t="str">
            <v>(3) 고용보험료</v>
          </cell>
          <cell r="AI94" t="str">
            <v>원</v>
          </cell>
          <cell r="AP94">
            <v>12774584</v>
          </cell>
          <cell r="AQ94" t="str">
            <v>원</v>
          </cell>
        </row>
        <row r="95">
          <cell r="E95" t="str">
            <v>(4) 기타경비</v>
          </cell>
          <cell r="J95">
            <v>0</v>
          </cell>
          <cell r="K95" t="str">
            <v>원</v>
          </cell>
          <cell r="AC95" t="str">
            <v>(4) 기타경비</v>
          </cell>
          <cell r="AI95" t="str">
            <v>원</v>
          </cell>
          <cell r="AP95">
            <v>266077649.27272728</v>
          </cell>
          <cell r="AQ95" t="str">
            <v>원</v>
          </cell>
        </row>
        <row r="96">
          <cell r="E96" t="str">
            <v>(5) 퇴직공제부금비</v>
          </cell>
          <cell r="J96">
            <v>0</v>
          </cell>
          <cell r="K96" t="str">
            <v>원</v>
          </cell>
          <cell r="AC96" t="str">
            <v>(5) 퇴직공제부금비</v>
          </cell>
          <cell r="AI96" t="str">
            <v>원</v>
          </cell>
          <cell r="AJ96" t="str">
            <v xml:space="preserve">해  당  없  음 </v>
          </cell>
          <cell r="AQ96" t="str">
            <v>원</v>
          </cell>
          <cell r="AR96" t="str">
            <v xml:space="preserve"> 해당없음</v>
          </cell>
        </row>
        <row r="97">
          <cell r="D97" t="str">
            <v xml:space="preserve">  4.일반관리비</v>
          </cell>
          <cell r="J97">
            <v>0</v>
          </cell>
          <cell r="K97" t="str">
            <v>원</v>
          </cell>
          <cell r="AB97" t="str">
            <v xml:space="preserve">  4.일반관리비</v>
          </cell>
          <cell r="AI97" t="str">
            <v>원</v>
          </cell>
          <cell r="AP97">
            <v>0</v>
          </cell>
          <cell r="AQ97" t="str">
            <v>원</v>
          </cell>
        </row>
        <row r="98">
          <cell r="D98" t="str">
            <v xml:space="preserve">  5.이   윤</v>
          </cell>
          <cell r="J98">
            <v>0</v>
          </cell>
          <cell r="K98" t="str">
            <v>원</v>
          </cell>
          <cell r="AB98" t="str">
            <v xml:space="preserve">  5.이   윤</v>
          </cell>
          <cell r="AI98" t="str">
            <v>원</v>
          </cell>
          <cell r="AP98">
            <v>0</v>
          </cell>
          <cell r="AQ98" t="str">
            <v>원</v>
          </cell>
        </row>
        <row r="99">
          <cell r="D99" t="str">
            <v xml:space="preserve">  6.공사손해보험료</v>
          </cell>
          <cell r="J99">
            <v>0</v>
          </cell>
          <cell r="K99" t="str">
            <v>원</v>
          </cell>
          <cell r="L99" t="str">
            <v xml:space="preserve">해  당  없  음 </v>
          </cell>
          <cell r="AB99" t="str">
            <v xml:space="preserve">  6.공사손해보험료</v>
          </cell>
          <cell r="AI99" t="str">
            <v>원</v>
          </cell>
          <cell r="AJ99" t="str">
            <v xml:space="preserve">해  당  없  음 </v>
          </cell>
          <cell r="AP99">
            <v>0</v>
          </cell>
          <cell r="AQ99" t="str">
            <v>원</v>
          </cell>
          <cell r="AR99" t="str">
            <v xml:space="preserve"> 해당없음</v>
          </cell>
        </row>
        <row r="100">
          <cell r="D100" t="str">
            <v xml:space="preserve">  7.부가가치세</v>
          </cell>
          <cell r="J100">
            <v>2163030</v>
          </cell>
          <cell r="K100" t="str">
            <v>원</v>
          </cell>
          <cell r="AB100" t="str">
            <v xml:space="preserve">  7.부가가치세</v>
          </cell>
          <cell r="AI100" t="str">
            <v>원</v>
          </cell>
          <cell r="AP100">
            <v>642513925</v>
          </cell>
          <cell r="AQ100" t="str">
            <v>원</v>
          </cell>
        </row>
        <row r="102">
          <cell r="D102" t="str">
            <v xml:space="preserve"> 8.총   계</v>
          </cell>
          <cell r="J102">
            <v>23793332</v>
          </cell>
          <cell r="K102" t="str">
            <v>원</v>
          </cell>
          <cell r="AB102" t="str">
            <v xml:space="preserve"> 8.총   계</v>
          </cell>
          <cell r="AI102" t="str">
            <v>원</v>
          </cell>
          <cell r="AP102">
            <v>7067653175.272727</v>
          </cell>
          <cell r="AQ102" t="str">
            <v>원</v>
          </cell>
        </row>
        <row r="105">
          <cell r="AP105">
            <v>0</v>
          </cell>
        </row>
        <row r="107">
          <cell r="AP107">
            <v>0</v>
          </cell>
        </row>
        <row r="118">
          <cell r="AB118" t="str">
            <v xml:space="preserve">  2.간접노무비</v>
          </cell>
          <cell r="AI118" t="str">
            <v>원</v>
          </cell>
          <cell r="AQ118" t="str">
            <v>원</v>
          </cell>
        </row>
        <row r="119">
          <cell r="AB119" t="str">
            <v xml:space="preserve">  3.경   비</v>
          </cell>
          <cell r="AQ119" t="str">
            <v>원</v>
          </cell>
        </row>
        <row r="120">
          <cell r="AC120" t="str">
            <v>(1) 산재보험료</v>
          </cell>
          <cell r="AI120" t="str">
            <v>원</v>
          </cell>
          <cell r="AP120">
            <v>94882855</v>
          </cell>
          <cell r="AQ120" t="str">
            <v>원</v>
          </cell>
        </row>
        <row r="121">
          <cell r="AC121" t="str">
            <v>(2) 안전관리비</v>
          </cell>
          <cell r="AI121" t="str">
            <v>원</v>
          </cell>
          <cell r="AP121">
            <v>127105582</v>
          </cell>
          <cell r="AQ121" t="str">
            <v>원</v>
          </cell>
        </row>
        <row r="122">
          <cell r="AC122" t="str">
            <v>(3) 고용보험료</v>
          </cell>
          <cell r="AI122" t="str">
            <v>원</v>
          </cell>
          <cell r="AP122">
            <v>12774584</v>
          </cell>
          <cell r="AQ122" t="str">
            <v>원</v>
          </cell>
        </row>
        <row r="123">
          <cell r="AC123" t="str">
            <v>(4) 기타경비</v>
          </cell>
          <cell r="AI123" t="str">
            <v>원</v>
          </cell>
          <cell r="AQ123" t="str">
            <v>원</v>
          </cell>
        </row>
        <row r="124">
          <cell r="AC124" t="str">
            <v>(5) 퇴직공제부금비</v>
          </cell>
          <cell r="AI124" t="str">
            <v>원</v>
          </cell>
          <cell r="AJ124" t="str">
            <v xml:space="preserve">해  당  없  음 </v>
          </cell>
          <cell r="AQ124" t="str">
            <v>원</v>
          </cell>
          <cell r="AR124" t="str">
            <v xml:space="preserve"> 해당없음</v>
          </cell>
        </row>
        <row r="125">
          <cell r="AB125" t="str">
            <v xml:space="preserve">  4.일반관리비</v>
          </cell>
          <cell r="AI125" t="str">
            <v>원</v>
          </cell>
          <cell r="AQ125" t="str">
            <v>원</v>
          </cell>
        </row>
        <row r="126">
          <cell r="AB126" t="str">
            <v xml:space="preserve">  5.이   윤</v>
          </cell>
          <cell r="AI126" t="str">
            <v>원</v>
          </cell>
          <cell r="AQ126" t="str">
            <v>원</v>
          </cell>
        </row>
        <row r="127">
          <cell r="AB127" t="str">
            <v xml:space="preserve">  6.공사손해보험료</v>
          </cell>
          <cell r="AI127" t="str">
            <v>원</v>
          </cell>
          <cell r="AJ127" t="str">
            <v xml:space="preserve">해  당  없  음 </v>
          </cell>
          <cell r="AQ127" t="str">
            <v>원</v>
          </cell>
          <cell r="AR127" t="str">
            <v xml:space="preserve"> 해당없음</v>
          </cell>
        </row>
        <row r="128">
          <cell r="AB128" t="str">
            <v xml:space="preserve">  7.부가가치세</v>
          </cell>
          <cell r="AI128" t="str">
            <v>원</v>
          </cell>
          <cell r="AQ128" t="str">
            <v>원</v>
          </cell>
        </row>
        <row r="130">
          <cell r="AB130" t="str">
            <v xml:space="preserve"> 8.총   계</v>
          </cell>
          <cell r="AI130" t="str">
            <v>원</v>
          </cell>
          <cell r="AQ130" t="str">
            <v>원</v>
          </cell>
        </row>
      </sheetData>
      <sheetData sheetId="6"/>
      <sheetData sheetId="7"/>
      <sheetData sheetId="8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서"/>
      <sheetName val="내역집계표"/>
      <sheetName val="내역서"/>
      <sheetName val="수로단위수량"/>
      <sheetName val="Sheet3"/>
      <sheetName val="Sheet2"/>
      <sheetName val="일위대가(건축)"/>
      <sheetName val="을지"/>
      <sheetName val="냉천부속동"/>
      <sheetName val="노임이"/>
      <sheetName val="FA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면적개요"/>
      <sheetName val="외주견적업체 "/>
      <sheetName val="골조분석"/>
      <sheetName val="골조공사비대비"/>
      <sheetName val="경비 (2)"/>
      <sheetName val="경비"/>
      <sheetName val="산정기준"/>
      <sheetName val="안산,정자"/>
      <sheetName val="대비표i"/>
      <sheetName val="대비표ii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골조시행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목차"/>
      <sheetName val="기계경비"/>
      <sheetName val="포장절단"/>
      <sheetName val="중기터파기,되메우기"/>
      <sheetName val="포장깨기"/>
      <sheetName val="암반깨기(0.4)"/>
      <sheetName val="소형브레이카"/>
      <sheetName val="램머"/>
      <sheetName val="잔토운반거리"/>
      <sheetName val="내용"/>
      <sheetName val="변수값(1)"/>
      <sheetName val="변수값(2)"/>
      <sheetName val="잔토처리"/>
      <sheetName val="중기터파기(잔토처리)"/>
      <sheetName val="폐기물처리비"/>
      <sheetName val="AS복구"/>
      <sheetName val="G.R300합계"/>
      <sheetName val="G.R300경비"/>
      <sheetName val="재료집계표"/>
      <sheetName val="하천하월"/>
      <sheetName val="압입공사수량산출"/>
      <sheetName val="관.지.벽 공정집계표"/>
      <sheetName val="보강콘크리트산출"/>
      <sheetName val="PE내관피스표"/>
      <sheetName val="인수공(총괄)"/>
      <sheetName val="FC관자재산출"/>
      <sheetName val="양수작업"/>
      <sheetName val="공제대산출"/>
      <sheetName val="현장자재소운반"/>
      <sheetName val="라,교,공사안내판"/>
      <sheetName val="전력비"/>
      <sheetName val="가설규모및부지임차료"/>
      <sheetName val="가설울타리및보안등설치"/>
      <sheetName val="지수판설치수량산출서"/>
      <sheetName val="잔디복구수량산출"/>
      <sheetName val="단가산출"/>
      <sheetName val="Baby일위대가"/>
      <sheetName val="단위수량산출"/>
      <sheetName val="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모래90"/>
      <sheetName val="Sheet2"/>
      <sheetName val="단위수량"/>
      <sheetName val="맨홀수량산출"/>
      <sheetName val="내역"/>
      <sheetName val="토사(PE)"/>
      <sheetName val="1.공사비집계"/>
    </sheetNames>
    <definedNames>
      <definedName name="Macro1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종배수관산출근거"/>
      <sheetName val="종배수관"/>
      <sheetName val="배수산출근거"/>
      <sheetName val="종배수관집계"/>
      <sheetName val="종배수관수량집계"/>
      <sheetName val="암거단위"/>
      <sheetName val="노임단가"/>
      <sheetName val="단위수량"/>
      <sheetName val="일위대가"/>
      <sheetName val="노임"/>
      <sheetName val="맨홀수량산출"/>
      <sheetName val="이토변실"/>
      <sheetName val="견적을지"/>
      <sheetName val="단가"/>
      <sheetName val="내역1"/>
    </sheetNames>
    <definedNames>
      <definedName name="매크로11"/>
      <definedName name="매크로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드레일단부"/>
      <sheetName val="제목"/>
      <sheetName val="자재"/>
      <sheetName val="집계표"/>
      <sheetName val="관로토공"/>
      <sheetName val="제수변실토공"/>
      <sheetName val="공기변실토공"/>
      <sheetName val="펌프실토공"/>
      <sheetName val="제수변실"/>
      <sheetName val="공기변실"/>
      <sheetName val="제수변보호통"/>
      <sheetName val="지상식소화전"/>
      <sheetName val="펌프실"/>
      <sheetName val="수량양식"/>
      <sheetName val="#REF"/>
      <sheetName val="종배수관"/>
      <sheetName val="DATE"/>
      <sheetName val="ABUT수량-A1"/>
      <sheetName val="6호기"/>
      <sheetName val="맨홀수량"/>
      <sheetName val="TYPE-A"/>
      <sheetName val="수량산출"/>
      <sheetName val="밸브설치"/>
      <sheetName val="단위수량"/>
      <sheetName val="inputdata"/>
      <sheetName val="출력X"/>
      <sheetName val="하도급승인신청서-실행포함"/>
      <sheetName val="실행철강하도"/>
      <sheetName val="단가표"/>
      <sheetName val="노임단가"/>
      <sheetName val="2000년1차"/>
      <sheetName val="내역"/>
      <sheetName val="노임"/>
      <sheetName val="맨홀수량산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0토공"/>
      <sheetName val="유용계획(만리포)"/>
      <sheetName val="토공집계표(만리포)"/>
      <sheetName val="관로토적표"/>
      <sheetName val="만리포집계"/>
      <sheetName val="만리포펌프장 "/>
      <sheetName val="#REF"/>
      <sheetName val="DATE"/>
      <sheetName val="INPUT"/>
      <sheetName val="실행기성 갑지"/>
      <sheetName val="TB-내역서"/>
      <sheetName val="종배수관"/>
      <sheetName val="수량산출"/>
      <sheetName val="1.0만리포토공"/>
      <sheetName val="단위수량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골조시행"/>
      <sheetName val="부지현황"/>
      <sheetName val="목록"/>
      <sheetName val="공사개요"/>
      <sheetName val="파스콘"/>
      <sheetName val="견적의뢰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집계표(수배전제조구매)"/>
      <sheetName val="xxxxxx"/>
      <sheetName val="품의"/>
      <sheetName val="가실행정리"/>
      <sheetName val="품셈TABLE"/>
      <sheetName val="지질조사"/>
      <sheetName val="금액내역서"/>
      <sheetName val="설계기준"/>
      <sheetName val="내역1"/>
      <sheetName val="데이타"/>
      <sheetName val="식재인부"/>
      <sheetName val="노임단가"/>
      <sheetName val="대림경상68억"/>
      <sheetName val="역T형교대(말뚝기초)"/>
      <sheetName val="인제내역"/>
      <sheetName val="정공공사"/>
      <sheetName val="중기조종사 단위단가"/>
      <sheetName val="공사비산출내역"/>
      <sheetName val="Total"/>
      <sheetName val="건축"/>
      <sheetName val="간접"/>
      <sheetName val="목차"/>
      <sheetName val="간접비"/>
      <sheetName val="BOM-Form A.1.III"/>
      <sheetName val="CB"/>
      <sheetName val="Sheet2"/>
      <sheetName val="결재갑지"/>
      <sheetName val="설계명세서"/>
      <sheetName val="두정2차"/>
      <sheetName val="6호기"/>
      <sheetName val="내역서2안"/>
      <sheetName val="견적서"/>
      <sheetName val="마감LIST-1"/>
      <sheetName val="입찰안"/>
      <sheetName val="D"/>
      <sheetName val="99노임기준"/>
      <sheetName val="단가대비표"/>
      <sheetName val="일위대가"/>
      <sheetName val="단가"/>
      <sheetName val="경비2내역"/>
      <sheetName val="DATA"/>
      <sheetName val="Sheet1"/>
      <sheetName val="설치공사비"/>
      <sheetName val="내역서"/>
      <sheetName val="단가비교표"/>
      <sheetName val="#REF"/>
      <sheetName val="종현황"/>
      <sheetName val="현장"/>
      <sheetName val="BID"/>
      <sheetName val="경비"/>
      <sheetName val="국내"/>
      <sheetName val="갑지"/>
      <sheetName val="제잡비"/>
      <sheetName val="공통가설"/>
      <sheetName val="관리자"/>
      <sheetName val="투찰내역서"/>
      <sheetName val="토목공사일반"/>
      <sheetName val="직원인원"/>
      <sheetName val="돌담교 상부수량"/>
      <sheetName val="U-TYPE(1)"/>
      <sheetName val="대비"/>
      <sheetName val="Sheet5"/>
      <sheetName val="개요"/>
      <sheetName val="기안"/>
      <sheetName val="마케팅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청산공사"/>
      <sheetName val="예상"/>
      <sheetName val="주관사업"/>
      <sheetName val="소비자가"/>
      <sheetName val="개산공사비"/>
      <sheetName val="일위대가표"/>
      <sheetName val="가격조사서"/>
      <sheetName val="구체"/>
      <sheetName val="좌측날개벽"/>
      <sheetName val="우측날개벽"/>
      <sheetName val="공사원가계산서"/>
      <sheetName val="CR CODE"/>
      <sheetName val="부서CODE"/>
      <sheetName val="THEME CODE"/>
      <sheetName val="별표 "/>
      <sheetName val="안전장치"/>
      <sheetName val="8.석축단위(H=1.5M)"/>
      <sheetName val="관급자재대"/>
      <sheetName val="공통비총괄표"/>
      <sheetName val="단면 (2)"/>
      <sheetName val="일위대가(계측기설치)"/>
      <sheetName val="교대(A1-A2)"/>
      <sheetName val="내역"/>
      <sheetName val="물량내역서"/>
      <sheetName val="수금 "/>
      <sheetName val="수주현황"/>
      <sheetName val="월별전망"/>
      <sheetName val="가설공사비"/>
      <sheetName val="도로구조공사비"/>
      <sheetName val="도로토공공사비"/>
      <sheetName val="여수토공사비"/>
      <sheetName val="가시설단위수량"/>
      <sheetName val="SORCE1"/>
      <sheetName val="단위수량"/>
      <sheetName val="와동25-3(변경)"/>
      <sheetName val="요율"/>
      <sheetName val="자재대"/>
      <sheetName val="AS포장복구 "/>
      <sheetName val="H-PILE수량집계"/>
      <sheetName val="인원투입(개산견적)"/>
      <sheetName val="조직도"/>
      <sheetName val="효명0010"/>
      <sheetName val="C1.공사개요"/>
      <sheetName val="품셈표"/>
      <sheetName val="2.대외공문"/>
      <sheetName val="수량산출"/>
      <sheetName val="말뚝물량"/>
      <sheetName val="비품"/>
      <sheetName val="해평견적"/>
      <sheetName val="예총"/>
      <sheetName val="건축내역"/>
      <sheetName val="증감내역서"/>
      <sheetName val="1.개요입력"/>
      <sheetName val="22.경비내역"/>
      <sheetName val="21.경비기본입력"/>
      <sheetName val="3.공기산정"/>
      <sheetName val="34.주택성능등급"/>
      <sheetName val="단가산출"/>
      <sheetName val="실행(1)"/>
      <sheetName val="A1.스케쥴"/>
      <sheetName val="보할공정"/>
      <sheetName val="종배수관"/>
      <sheetName val="산출금액내역"/>
      <sheetName val="연동내역"/>
      <sheetName val="도급"/>
      <sheetName val="유동표"/>
      <sheetName val="품셈집계"/>
      <sheetName val="기본1"/>
      <sheetName val="수정일위대가"/>
      <sheetName val="난방방식분류"/>
      <sheetName val="공사정보입력"/>
      <sheetName val="수지표"/>
      <sheetName val="셀명"/>
      <sheetName val="2000노임기준"/>
      <sheetName val="식재일위대가"/>
      <sheetName val="점수계산1-2"/>
      <sheetName val="노무비단가"/>
      <sheetName val="6PILE  (돌출)"/>
      <sheetName val="삭제금지단가"/>
      <sheetName val="IW-LIST"/>
      <sheetName val="mcc일위대가"/>
      <sheetName val="수량금액증감"/>
      <sheetName val="신천3호용수로"/>
      <sheetName val="단가표"/>
      <sheetName val="2공구산출내역"/>
      <sheetName val="경영상태"/>
      <sheetName val="정부노임단가"/>
      <sheetName val="A2"/>
      <sheetName val="연돌일위집계"/>
      <sheetName val="집수정(600-700)"/>
      <sheetName val="1구간내역서"/>
      <sheetName val="산출내역서집계표"/>
      <sheetName val="가정조건"/>
      <sheetName val="수량산출(음암)"/>
      <sheetName val="도"/>
      <sheetName val="2000년1차"/>
      <sheetName val="Form A.1.III"/>
      <sheetName val="Form A.1"/>
      <sheetName val="Form A.1.1"/>
      <sheetName val="BOM Indirect"/>
      <sheetName val="Form A.1.II.1"/>
      <sheetName val="Form A.1.II.2"/>
      <sheetName val="Rekap-Base Price"/>
      <sheetName val="SUM"/>
      <sheetName val="설치공사"/>
      <sheetName val="총괄"/>
      <sheetName val="시운전연료비"/>
      <sheetName val="1차설계변경내역"/>
      <sheetName val="장비"/>
      <sheetName val="산근1"/>
      <sheetName val="노무"/>
      <sheetName val="자재"/>
      <sheetName val="대목"/>
      <sheetName val="준검 내역서"/>
      <sheetName val="일위대가(1)"/>
      <sheetName val="설비원가"/>
      <sheetName val="표지"/>
      <sheetName val="수목데이타 "/>
      <sheetName val="신우"/>
      <sheetName val="철거산출근거"/>
      <sheetName val="투찰추정"/>
      <sheetName val="식재가격"/>
      <sheetName val="식재총괄"/>
      <sheetName val="일위목록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자료입력"/>
      <sheetName val="인건비 "/>
      <sheetName val="변압기 및 발전기 용량"/>
      <sheetName val="실행,원가 최종예상"/>
      <sheetName val="단가기준"/>
      <sheetName val="기본계획"/>
      <sheetName val="간지(전기공사)"/>
      <sheetName val="자재단가"/>
      <sheetName val="일위대가목차"/>
      <sheetName val="시운전연료"/>
      <sheetName val="단면치수"/>
      <sheetName val="건축내역(김해율하1차)1"/>
      <sheetName val="ABUT수량-A1"/>
      <sheetName val="97 사업추정(WEKI)"/>
      <sheetName val="경비 (2)"/>
      <sheetName val="건축내역(트럼프수성)"/>
      <sheetName val="건축내역(진해석동)"/>
      <sheetName val="동원인원"/>
      <sheetName val="104동"/>
      <sheetName val="문학간접"/>
      <sheetName val="하조서"/>
      <sheetName val="토공사"/>
      <sheetName val="200"/>
      <sheetName val="손익분석"/>
      <sheetName val="집계표"/>
      <sheetName val="노임이"/>
      <sheetName val="본실행경비"/>
      <sheetName val="FB25JN"/>
      <sheetName val="터파기및재료"/>
      <sheetName val="추가예산"/>
      <sheetName val="Sheet4"/>
      <sheetName val="입력"/>
      <sheetName val="원가서"/>
      <sheetName val="Customer Databas"/>
      <sheetName val="장비가동"/>
      <sheetName val="품의서"/>
      <sheetName val="관계주식"/>
      <sheetName val="표준비목단가Upload"/>
      <sheetName val="유림총괄"/>
      <sheetName val="기초일위"/>
      <sheetName val="시설일위"/>
      <sheetName val="조명일위"/>
      <sheetName val="경비내역"/>
      <sheetName val="출자한도"/>
      <sheetName val="PRICES"/>
      <sheetName val="예산내역"/>
      <sheetName val="총괄수지표"/>
      <sheetName val="Front"/>
      <sheetName val="wall"/>
      <sheetName val="수입"/>
      <sheetName val="실행대비"/>
      <sheetName val="h-013211-2"/>
      <sheetName val="Sheet3"/>
      <sheetName val="1. 설계조건 2.단면가정 3. 하중계산"/>
      <sheetName val="DATA 입력란"/>
      <sheetName val="간선계산"/>
      <sheetName val="금액"/>
      <sheetName val="북제주원가"/>
      <sheetName val="DATA2000"/>
      <sheetName val="3BL공동구 수량"/>
      <sheetName val="포장집계"/>
      <sheetName val="포장연장"/>
      <sheetName val="기기리스트"/>
      <sheetName val="현장설명"/>
      <sheetName val="SG"/>
      <sheetName val="적용률"/>
      <sheetName val="공통,경비내역"/>
      <sheetName val="BH-1 (2)"/>
      <sheetName val="현금"/>
      <sheetName val="직공비"/>
      <sheetName val="원가계산"/>
      <sheetName val="공틀공사"/>
      <sheetName val="빙장비사양"/>
      <sheetName val="장비사양"/>
      <sheetName val="본선 토공 분배표"/>
      <sheetName val="토목(대안)"/>
      <sheetName val="3.공통공사대비"/>
      <sheetName val="효율계획(당월)"/>
      <sheetName val="전체실적"/>
      <sheetName val="직접비"/>
      <sheetName val="실행철강하도"/>
      <sheetName val="CTEMCOST"/>
      <sheetName val="ELECTRIC"/>
      <sheetName val="SCHEDULE"/>
      <sheetName val="환경기계공정표 (3)"/>
      <sheetName val="수입산정"/>
      <sheetName val="수목단가"/>
      <sheetName val="시설수량표"/>
      <sheetName val="식재수량표"/>
      <sheetName val="식재일위"/>
      <sheetName val="암센터"/>
      <sheetName val="단면가정"/>
      <sheetName val="설계조건"/>
      <sheetName val="을"/>
      <sheetName val="단가조사"/>
      <sheetName val="일위(PN)"/>
      <sheetName val="Model"/>
      <sheetName val="자금신청서"/>
      <sheetName val="COVER"/>
      <sheetName val="첨부1"/>
      <sheetName val="수목표준대가"/>
      <sheetName val="남대문빌딩"/>
      <sheetName val="아파트"/>
      <sheetName val="QandAJunior"/>
      <sheetName val="일용노임단가"/>
      <sheetName val="JUCKEYK"/>
      <sheetName val="SAM"/>
      <sheetName val="2234"/>
      <sheetName val="조립1부실적"/>
      <sheetName val="BSD (2)"/>
      <sheetName val="EQUIP"/>
      <sheetName val="입출재고현황 (2)"/>
      <sheetName val="일반수량"/>
      <sheetName val="(3.품질관리 시험 총괄표)"/>
      <sheetName val="현장현황"/>
      <sheetName val="사업부배부A"/>
      <sheetName val="PROJECT BRIEF"/>
      <sheetName val="중기조종사_단위단가"/>
      <sheetName val="BOM-Form_A_1_III"/>
      <sheetName val="INPUT"/>
      <sheetName val="용수량(생활용수)"/>
      <sheetName val="당정동경상이수"/>
      <sheetName val="당정동공통이수"/>
      <sheetName val="평가데이터"/>
      <sheetName val="교통대책내역"/>
      <sheetName val="SPC노임(5월)"/>
      <sheetName val="sum1 (2)"/>
      <sheetName val="기계내역서"/>
      <sheetName val="필터"/>
      <sheetName val="PAINT"/>
      <sheetName val="일보_생산"/>
      <sheetName val="목표세부명세"/>
      <sheetName val="약품공급2"/>
      <sheetName val="물량표"/>
      <sheetName val="INPUTDATA"/>
      <sheetName val="횡배수관"/>
      <sheetName val="공사내역"/>
      <sheetName val="Roon matrix"/>
      <sheetName val="DATE"/>
      <sheetName val="공구원가계산"/>
      <sheetName val="nys"/>
      <sheetName val="EJ"/>
      <sheetName val="교각별철근수량집계표"/>
      <sheetName val="도봉2지구"/>
      <sheetName val="예가표"/>
      <sheetName val="건축집계합계"/>
      <sheetName val="건축집계표이수"/>
      <sheetName val="을지"/>
      <sheetName val="March"/>
      <sheetName val="단가테이블"/>
      <sheetName val="재료"/>
      <sheetName val="설치자재"/>
      <sheetName val="추천서"/>
      <sheetName val="견적"/>
      <sheetName val="2-2직관자재산출서-A-LINE"/>
      <sheetName val="인건비"/>
      <sheetName val="소방"/>
      <sheetName val="카렌스센터계량기설치공사"/>
      <sheetName val="T13(P68~72,78)"/>
      <sheetName val="Baby일위대가"/>
      <sheetName val="기초작업"/>
      <sheetName val="9GNG운반"/>
      <sheetName val="일위대가목록"/>
      <sheetName val="도급FORM"/>
      <sheetName val="단"/>
      <sheetName val="01"/>
      <sheetName val="DAN"/>
      <sheetName val="백호우계수"/>
      <sheetName val="70%"/>
      <sheetName val="실행예산"/>
      <sheetName val="현장경상비"/>
      <sheetName val="MIJIBI"/>
      <sheetName val="코드"/>
      <sheetName val="1호맨홀토공"/>
      <sheetName val="BOJUNGGM"/>
      <sheetName val="가정"/>
      <sheetName val="기둥"/>
      <sheetName val="저판(버림100)"/>
      <sheetName val="직종인원"/>
      <sheetName val="포장수량"/>
      <sheetName val="형틀"/>
      <sheetName val="토목주소"/>
      <sheetName val="프랜트면허"/>
      <sheetName val="당초"/>
      <sheetName val="절단표"/>
      <sheetName val="Preli"/>
      <sheetName val="Project Management"/>
      <sheetName val="5. 현장관리비(new) "/>
      <sheetName val="총괄내역"/>
      <sheetName val="출근부(삼일)"/>
      <sheetName val="초안"/>
      <sheetName val="DHEQSUPT"/>
      <sheetName val="견"/>
      <sheetName val="진주방향"/>
      <sheetName val="밸브설치"/>
      <sheetName val="견적대비표"/>
      <sheetName val="부대tu"/>
      <sheetName val="차액보증"/>
      <sheetName val="토적표"/>
      <sheetName val="배수공수집"/>
      <sheetName val="정리"/>
      <sheetName val="장비비"/>
      <sheetName val="단중표"/>
      <sheetName val="LOPCALC"/>
      <sheetName val="갑지(요약)"/>
      <sheetName val="c_balju"/>
      <sheetName val="잡비"/>
      <sheetName val="심사"/>
      <sheetName val="실행내역"/>
      <sheetName val="G.노무비,현장경상"/>
      <sheetName val="공사"/>
      <sheetName val="설계서SC"/>
      <sheetName val="전기혼잡제경비(45)"/>
      <sheetName val="준공조서"/>
      <sheetName val="공사준공계"/>
      <sheetName val="준공검사보고서"/>
      <sheetName val="부대내역"/>
      <sheetName val="인사자료총집계"/>
      <sheetName val="지급자재"/>
      <sheetName val="옥외외등집계표"/>
      <sheetName val="원가계산서(남측)"/>
      <sheetName val="수로BOX"/>
      <sheetName val="CON기초"/>
      <sheetName val="집계(건축)"/>
      <sheetName val="집계(기계)"/>
      <sheetName val="집계(전기)"/>
      <sheetName val="집계(통신)"/>
      <sheetName val="집계(조경)"/>
      <sheetName val="00노임기준"/>
      <sheetName val="대비표(토공1안)"/>
      <sheetName val="중기조종사_단위단가1"/>
      <sheetName val="(A)내역서"/>
      <sheetName val="표 지"/>
      <sheetName val="원가계산서"/>
      <sheetName val="cal"/>
      <sheetName val="EQT-ESTN"/>
      <sheetName val="form"/>
      <sheetName val="시장성초안camera"/>
      <sheetName val="기준요인별"/>
      <sheetName val="EP0618"/>
      <sheetName val="I.일위대가목차"/>
      <sheetName val="전기"/>
      <sheetName val="갑지(추정)"/>
      <sheetName val="RE9604"/>
      <sheetName val="Requirement(Work Crew)"/>
      <sheetName val="소일위대가코드표"/>
      <sheetName val="노임(남)"/>
      <sheetName val="노임(북)"/>
      <sheetName val="대공종"/>
      <sheetName val="단가 (2)"/>
      <sheetName val="인적사항"/>
      <sheetName val="VXXXXXXX"/>
      <sheetName val="하수급견적대비"/>
      <sheetName val="통신"/>
      <sheetName val="조명시설"/>
      <sheetName val="(실사조정)총괄"/>
      <sheetName val="식재"/>
      <sheetName val="대비표"/>
      <sheetName val="시설물"/>
      <sheetName val="식재출력용"/>
      <sheetName val="유지관리"/>
      <sheetName val="잡비계산"/>
      <sheetName val="건축공사"/>
      <sheetName val="단가 및 재료비"/>
      <sheetName val="중기사용료산출근거"/>
      <sheetName val="협력업체"/>
      <sheetName val="자재목록"/>
      <sheetName val="토공사(흙막이)"/>
      <sheetName val="노임"/>
      <sheetName val="PROJECT BRIEF(EX.NEW)"/>
      <sheetName val="기계"/>
      <sheetName val="적용기준"/>
      <sheetName val="건기(집)"/>
      <sheetName val="BOM-Form_A_1_III1"/>
      <sheetName val="돌담교_상부수량"/>
      <sheetName val="단면_(2)"/>
      <sheetName val="별표_"/>
      <sheetName val="CR_CODE"/>
      <sheetName val="THEME_CODE"/>
      <sheetName val="8_석축단위(H=1_5M)"/>
      <sheetName val="AS포장복구_"/>
      <sheetName val="2_대외공문"/>
      <sheetName val="수금_"/>
      <sheetName val="C1_공사개요"/>
      <sheetName val="1_개요입력"/>
      <sheetName val="22_경비내역"/>
      <sheetName val="21_경비기본입력"/>
      <sheetName val="3_공기산정"/>
      <sheetName val="34_주택성능등급"/>
      <sheetName val="A1_스케쥴"/>
      <sheetName val="Form_A_1_III"/>
      <sheetName val="Form_A_1"/>
      <sheetName val="Form_A_1_1"/>
      <sheetName val="BOM_Indirect"/>
      <sheetName val="Form_A_1_II_1"/>
      <sheetName val="Form_A_1_II_2"/>
      <sheetName val="Rekap-Base_Price"/>
      <sheetName val="6PILE__(돌출)"/>
      <sheetName val="준검_내역서"/>
      <sheetName val="수목데이타_"/>
      <sheetName val="인건비_"/>
      <sheetName val="변압기_및_발전기_용량"/>
      <sheetName val="실행,원가_최종예상"/>
      <sheetName val="97_사업추정(WEKI)"/>
      <sheetName val="경비_(2)"/>
      <sheetName val="Customer_Databas"/>
      <sheetName val="3BL공동구_수량"/>
      <sheetName val="1__설계조건_2_단면가정_3__하중계산"/>
      <sheetName val="DATA_입력란"/>
      <sheetName val="본선_토공_분배표"/>
      <sheetName val="BH-1_(2)"/>
      <sheetName val="3_공통공사대비"/>
      <sheetName val="환경기계공정표_(3)"/>
      <sheetName val="입출재고현황_(2)"/>
      <sheetName val="PROJECT_BRIEF"/>
      <sheetName val="(3_품질관리_시험_총괄표)"/>
      <sheetName val="BSD_(2)"/>
      <sheetName val="sum1_(2)"/>
      <sheetName val="Roon_matrix"/>
      <sheetName val="Project_Management"/>
      <sheetName val="5__현장관리비(new)_"/>
      <sheetName val="견적율"/>
      <sheetName val="pier-1"/>
      <sheetName val="우석문틀"/>
      <sheetName val="대,유,램"/>
      <sheetName val="도급양식"/>
      <sheetName val="3.건축(현장안)"/>
      <sheetName val="비탈면보호공수량산출"/>
      <sheetName val="코드표"/>
      <sheetName val="기초일위대가"/>
      <sheetName val="비교표"/>
      <sheetName val="설계명세"/>
      <sheetName val="2차공사"/>
      <sheetName val="건축도급단가"/>
      <sheetName val="실행단가"/>
      <sheetName val="월별수입"/>
      <sheetName val="Mc1"/>
      <sheetName val="물가시세표"/>
      <sheetName val="유림골조"/>
      <sheetName val="Sheet1 (2)"/>
      <sheetName val="설계내역서"/>
      <sheetName val="조건"/>
      <sheetName val="일용노임단가2001상"/>
      <sheetName val="참조자료"/>
      <sheetName val="단가일람"/>
      <sheetName val="조경일람"/>
      <sheetName val="CON'C"/>
      <sheetName val="토량1-1"/>
      <sheetName val="견적업체리스트"/>
      <sheetName val="부대집계"/>
      <sheetName val="수정계획3"/>
      <sheetName val="6공구(당초)"/>
      <sheetName val="물가자료"/>
      <sheetName val="토목내역서 (도급단가)"/>
      <sheetName val="내역분기"/>
      <sheetName val="공통가설공사"/>
      <sheetName val="총괄집계표"/>
      <sheetName val="구분자"/>
      <sheetName val="용산1(해보)"/>
      <sheetName val="1.설계기준"/>
      <sheetName val="청주(철골발주의뢰서)"/>
      <sheetName val="돈암사업"/>
      <sheetName val="APT"/>
      <sheetName val="한화금융비"/>
      <sheetName val="실행내역서 "/>
      <sheetName val="s"/>
      <sheetName val="한진금융비"/>
      <sheetName val="울산자동제어"/>
      <sheetName val="총집계표"/>
      <sheetName val="공양식"/>
      <sheetName val="마산월령동골조물량변경"/>
      <sheetName val="공량산출서"/>
      <sheetName val="환율change"/>
      <sheetName val="대비2"/>
      <sheetName val="Sens&amp;Anal"/>
      <sheetName val="변경비교-을"/>
      <sheetName val="총괄내역서"/>
      <sheetName val="b_balju"/>
      <sheetName val="노무비"/>
      <sheetName val="단가적용"/>
      <sheetName val="B"/>
      <sheetName val="맨홀수량산출"/>
      <sheetName val="골조"/>
      <sheetName val="아파트-가설"/>
      <sheetName val="견내"/>
      <sheetName val="소방 "/>
      <sheetName val="SIL98"/>
      <sheetName val="식생블럭단위수량"/>
      <sheetName val="B1(반포1차)"/>
      <sheetName val="데리네이타현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비 (2)"/>
      <sheetName val="토목 (2)"/>
      <sheetName val="건축 (2)"/>
      <sheetName val="퍼스트"/>
      <sheetName val="요율맨"/>
      <sheetName val="산출내역서집계표"/>
      <sheetName val="건축"/>
      <sheetName val="토목"/>
      <sheetName val="설비"/>
    </sheetNames>
    <sheetDataSet>
      <sheetData sheetId="0"/>
      <sheetData sheetId="1"/>
      <sheetData sheetId="2"/>
      <sheetData sheetId="3"/>
      <sheetData sheetId="4"/>
      <sheetData sheetId="5">
        <row r="2">
          <cell r="AB2" t="str">
            <v>공사명 : 한국애니메이션고등학교 신축공사</v>
          </cell>
          <cell r="AR2" t="str">
            <v>(단위:원)</v>
          </cell>
        </row>
        <row r="3">
          <cell r="D3" t="str">
            <v>항  목  별</v>
          </cell>
          <cell r="F3" t="str">
            <v xml:space="preserve">자   재   비 </v>
          </cell>
          <cell r="G3" t="str">
            <v>노    무    비</v>
          </cell>
          <cell r="H3" t="str">
            <v>경         비</v>
          </cell>
          <cell r="I3" t="str">
            <v>합         계</v>
          </cell>
          <cell r="J3" t="str">
            <v>금    액</v>
          </cell>
          <cell r="L3" t="str">
            <v>비    고</v>
          </cell>
          <cell r="AB3" t="str">
            <v>항  목  별</v>
          </cell>
          <cell r="AD3" t="str">
            <v>교사동</v>
          </cell>
          <cell r="AE3" t="str">
            <v>교사동</v>
          </cell>
          <cell r="AF3" t="str">
            <v>교사동</v>
          </cell>
          <cell r="AG3" t="str">
            <v>교사동</v>
          </cell>
          <cell r="AH3" t="str">
            <v>다목적실</v>
          </cell>
          <cell r="AI3" t="str">
            <v>다목적실</v>
          </cell>
          <cell r="AJ3" t="str">
            <v>다목적실</v>
          </cell>
          <cell r="AK3" t="str">
            <v>다목적실</v>
          </cell>
          <cell r="AL3" t="str">
            <v>본관개축</v>
          </cell>
          <cell r="AM3" t="str">
            <v>본관개축</v>
          </cell>
          <cell r="AN3" t="str">
            <v>본관개축</v>
          </cell>
          <cell r="AO3" t="str">
            <v>본관개축</v>
          </cell>
          <cell r="AP3" t="str">
            <v>금  액</v>
          </cell>
          <cell r="AQ3" t="str">
            <v>단위</v>
          </cell>
          <cell r="AR3" t="str">
            <v>비    고</v>
          </cell>
        </row>
        <row r="4">
          <cell r="F4" t="str">
            <v>금    액</v>
          </cell>
          <cell r="G4" t="str">
            <v>금    액</v>
          </cell>
          <cell r="H4" t="str">
            <v>금    액</v>
          </cell>
          <cell r="I4" t="str">
            <v>단 가</v>
          </cell>
          <cell r="AD4" t="str">
            <v>재료비</v>
          </cell>
          <cell r="AE4" t="str">
            <v>노무비</v>
          </cell>
          <cell r="AF4" t="str">
            <v>경비</v>
          </cell>
          <cell r="AG4" t="str">
            <v>금    액</v>
          </cell>
          <cell r="AH4" t="str">
            <v>재료비</v>
          </cell>
          <cell r="AI4" t="str">
            <v>노무비</v>
          </cell>
          <cell r="AJ4" t="str">
            <v>경비</v>
          </cell>
          <cell r="AK4" t="str">
            <v>금    액</v>
          </cell>
          <cell r="AL4" t="str">
            <v>재료비</v>
          </cell>
          <cell r="AM4" t="str">
            <v>노무비</v>
          </cell>
          <cell r="AN4" t="str">
            <v>경비</v>
          </cell>
          <cell r="AO4" t="str">
            <v>금    액</v>
          </cell>
        </row>
        <row r="6">
          <cell r="D6" t="str">
            <v xml:space="preserve">  1.공종별합계</v>
          </cell>
          <cell r="F6">
            <v>0</v>
          </cell>
          <cell r="G6">
            <v>0</v>
          </cell>
          <cell r="H6">
            <v>0</v>
          </cell>
          <cell r="J6">
            <v>0</v>
          </cell>
          <cell r="K6" t="str">
            <v>원</v>
          </cell>
          <cell r="L6" t="str">
            <v xml:space="preserve">※ 좌측란의 금액은 재료비+직접노무비+산출경비를 </v>
          </cell>
          <cell r="AB6" t="str">
            <v xml:space="preserve">  1.공종별합계</v>
          </cell>
          <cell r="AP6">
            <v>5700349443</v>
          </cell>
          <cell r="AQ6" t="str">
            <v>원</v>
          </cell>
          <cell r="AR6" t="str">
            <v xml:space="preserve">※ 좌측란의 금액은 재료비+직접노무비+산출경비를 </v>
          </cell>
        </row>
        <row r="7">
          <cell r="E7" t="str">
            <v>가.건축공사</v>
          </cell>
          <cell r="L7" t="str">
            <v xml:space="preserve">     합산한 금액임.</v>
          </cell>
          <cell r="AC7" t="str">
            <v>가.건축공사</v>
          </cell>
          <cell r="AR7" t="str">
            <v xml:space="preserve">     합산한 금액임.</v>
          </cell>
        </row>
        <row r="8">
          <cell r="E8" t="str">
            <v>01 공 통 가 설 공 사</v>
          </cell>
          <cell r="J8">
            <v>0</v>
          </cell>
          <cell r="AC8" t="str">
            <v>01 공통가설공사</v>
          </cell>
          <cell r="AD8">
            <v>2731827</v>
          </cell>
          <cell r="AE8">
            <v>6389541</v>
          </cell>
          <cell r="AF8">
            <v>20590751</v>
          </cell>
          <cell r="AG8">
            <v>29712119</v>
          </cell>
          <cell r="AP8">
            <v>29712119</v>
          </cell>
          <cell r="AQ8" t="str">
            <v>원</v>
          </cell>
        </row>
        <row r="9">
          <cell r="E9" t="str">
            <v>02 가  설  공  사</v>
          </cell>
          <cell r="J9">
            <v>0</v>
          </cell>
          <cell r="K9" t="str">
            <v>원</v>
          </cell>
          <cell r="L9" t="str">
            <v>※ 각동별 공종별 합계금액을 표시.</v>
          </cell>
          <cell r="AC9" t="str">
            <v>02 가설공사</v>
          </cell>
          <cell r="AD9">
            <v>23570253</v>
          </cell>
          <cell r="AE9">
            <v>169770133</v>
          </cell>
          <cell r="AF9">
            <v>0</v>
          </cell>
          <cell r="AG9">
            <v>193340386</v>
          </cell>
          <cell r="AH9">
            <v>4580504</v>
          </cell>
          <cell r="AI9">
            <v>31737335</v>
          </cell>
          <cell r="AJ9">
            <v>0</v>
          </cell>
          <cell r="AK9">
            <v>36317839</v>
          </cell>
          <cell r="AP9">
            <v>229658225</v>
          </cell>
          <cell r="AQ9" t="str">
            <v>원</v>
          </cell>
          <cell r="AR9" t="str">
            <v>※ 각동별 공종별 합계금액을 표시.</v>
          </cell>
        </row>
        <row r="10">
          <cell r="E10" t="str">
            <v xml:space="preserve">03 토   공   사 </v>
          </cell>
          <cell r="J10">
            <v>0</v>
          </cell>
          <cell r="K10" t="str">
            <v>원</v>
          </cell>
          <cell r="AC10" t="str">
            <v>03 토공사</v>
          </cell>
          <cell r="AD10">
            <v>7362273</v>
          </cell>
          <cell r="AE10">
            <v>11004026</v>
          </cell>
          <cell r="AF10">
            <v>12528209</v>
          </cell>
          <cell r="AG10">
            <v>30894508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34596</v>
          </cell>
          <cell r="AM10">
            <v>81141</v>
          </cell>
          <cell r="AN10">
            <v>67311</v>
          </cell>
          <cell r="AO10">
            <v>183048</v>
          </cell>
          <cell r="AP10">
            <v>31077556</v>
          </cell>
          <cell r="AQ10" t="str">
            <v>원</v>
          </cell>
        </row>
        <row r="11">
          <cell r="E11" t="str">
            <v>04 철근콘크리트공사</v>
          </cell>
          <cell r="J11">
            <v>0</v>
          </cell>
          <cell r="K11" t="str">
            <v>원</v>
          </cell>
          <cell r="AC11" t="str">
            <v>04 흙막이및 토공사</v>
          </cell>
          <cell r="AH11">
            <v>11636379</v>
          </cell>
          <cell r="AI11">
            <v>20237015</v>
          </cell>
          <cell r="AJ11">
            <v>14333004</v>
          </cell>
          <cell r="AK11">
            <v>46206398</v>
          </cell>
          <cell r="AP11">
            <v>46206398</v>
          </cell>
          <cell r="AQ11" t="str">
            <v>원</v>
          </cell>
        </row>
        <row r="12">
          <cell r="E12" t="str">
            <v>05 조  적  공  사</v>
          </cell>
          <cell r="J12">
            <v>0</v>
          </cell>
          <cell r="K12" t="str">
            <v>원</v>
          </cell>
          <cell r="AC12" t="str">
            <v>05 철근콘크리트공사</v>
          </cell>
          <cell r="AD12">
            <v>78807364</v>
          </cell>
          <cell r="AE12">
            <v>452181675</v>
          </cell>
          <cell r="AF12">
            <v>23855486</v>
          </cell>
          <cell r="AG12">
            <v>554844525</v>
          </cell>
          <cell r="AH12">
            <v>34890901</v>
          </cell>
          <cell r="AI12">
            <v>188940786</v>
          </cell>
          <cell r="AJ12">
            <v>7347816</v>
          </cell>
          <cell r="AK12">
            <v>231179503</v>
          </cell>
          <cell r="AL12">
            <v>607710</v>
          </cell>
          <cell r="AM12">
            <v>2118294</v>
          </cell>
          <cell r="AN12">
            <v>113188</v>
          </cell>
          <cell r="AO12">
            <v>2839192</v>
          </cell>
          <cell r="AP12">
            <v>788863220</v>
          </cell>
          <cell r="AQ12" t="str">
            <v>원</v>
          </cell>
        </row>
        <row r="13">
          <cell r="E13" t="str">
            <v>06 철 골 공 사</v>
          </cell>
          <cell r="J13">
            <v>0</v>
          </cell>
          <cell r="K13" t="str">
            <v>원</v>
          </cell>
          <cell r="AC13" t="str">
            <v>06 철골공사</v>
          </cell>
          <cell r="AD13">
            <v>85988808</v>
          </cell>
          <cell r="AE13">
            <v>38048970</v>
          </cell>
          <cell r="AF13">
            <v>2650080</v>
          </cell>
          <cell r="AG13">
            <v>126687858</v>
          </cell>
          <cell r="AH13">
            <v>4059510</v>
          </cell>
          <cell r="AI13">
            <v>4681598</v>
          </cell>
          <cell r="AJ13">
            <v>425596</v>
          </cell>
          <cell r="AK13">
            <v>9166704</v>
          </cell>
          <cell r="AP13">
            <v>135854562</v>
          </cell>
          <cell r="AQ13" t="str">
            <v>원</v>
          </cell>
        </row>
        <row r="14">
          <cell r="E14" t="str">
            <v>07 방  수  공  사</v>
          </cell>
          <cell r="J14">
            <v>0</v>
          </cell>
          <cell r="K14" t="str">
            <v>원</v>
          </cell>
          <cell r="AC14" t="str">
            <v>07 조적공사</v>
          </cell>
          <cell r="AD14">
            <v>97761353</v>
          </cell>
          <cell r="AE14">
            <v>128658792</v>
          </cell>
          <cell r="AF14">
            <v>0</v>
          </cell>
          <cell r="AG14">
            <v>226420145</v>
          </cell>
          <cell r="AH14">
            <v>4837032</v>
          </cell>
          <cell r="AI14">
            <v>16251228</v>
          </cell>
          <cell r="AJ14">
            <v>0</v>
          </cell>
          <cell r="AK14">
            <v>21088260</v>
          </cell>
          <cell r="AP14">
            <v>247508405</v>
          </cell>
          <cell r="AQ14" t="str">
            <v>원</v>
          </cell>
        </row>
        <row r="15">
          <cell r="E15" t="str">
            <v>08 타  일  공  사</v>
          </cell>
          <cell r="J15">
            <v>0</v>
          </cell>
          <cell r="K15" t="str">
            <v>원</v>
          </cell>
          <cell r="AC15" t="str">
            <v>08 방수공사</v>
          </cell>
          <cell r="AD15">
            <v>19407277</v>
          </cell>
          <cell r="AE15">
            <v>70581909</v>
          </cell>
          <cell r="AF15">
            <v>0</v>
          </cell>
          <cell r="AG15">
            <v>89989186</v>
          </cell>
          <cell r="AH15">
            <v>7924562</v>
          </cell>
          <cell r="AI15">
            <v>35492672</v>
          </cell>
          <cell r="AJ15">
            <v>0</v>
          </cell>
          <cell r="AK15">
            <v>43417234</v>
          </cell>
          <cell r="AP15">
            <v>133406420</v>
          </cell>
          <cell r="AQ15" t="str">
            <v>원</v>
          </cell>
        </row>
        <row r="16">
          <cell r="E16" t="str">
            <v xml:space="preserve">09 석   공   사 </v>
          </cell>
          <cell r="J16">
            <v>0</v>
          </cell>
          <cell r="K16" t="str">
            <v>원</v>
          </cell>
          <cell r="AC16" t="str">
            <v xml:space="preserve">09 타일공사 </v>
          </cell>
          <cell r="AD16">
            <v>16066959</v>
          </cell>
          <cell r="AE16">
            <v>12595675</v>
          </cell>
          <cell r="AF16">
            <v>0</v>
          </cell>
          <cell r="AG16">
            <v>28662634</v>
          </cell>
          <cell r="AH16">
            <v>10984933</v>
          </cell>
          <cell r="AI16">
            <v>8914421</v>
          </cell>
          <cell r="AJ16">
            <v>0</v>
          </cell>
          <cell r="AK16">
            <v>19899354</v>
          </cell>
          <cell r="AP16">
            <v>48561988</v>
          </cell>
          <cell r="AQ16" t="str">
            <v>원</v>
          </cell>
        </row>
        <row r="17">
          <cell r="E17" t="str">
            <v>10 금  속  공  사</v>
          </cell>
          <cell r="J17">
            <v>0</v>
          </cell>
          <cell r="K17" t="str">
            <v>원</v>
          </cell>
          <cell r="AC17" t="str">
            <v>10 석공사</v>
          </cell>
          <cell r="AD17">
            <v>49053357</v>
          </cell>
          <cell r="AE17">
            <v>50919676</v>
          </cell>
          <cell r="AF17">
            <v>0</v>
          </cell>
          <cell r="AG17">
            <v>99973033</v>
          </cell>
          <cell r="AH17">
            <v>7417414</v>
          </cell>
          <cell r="AI17">
            <v>5123054</v>
          </cell>
          <cell r="AJ17">
            <v>0</v>
          </cell>
          <cell r="AK17">
            <v>12540468</v>
          </cell>
          <cell r="AP17">
            <v>112513501</v>
          </cell>
          <cell r="AQ17" t="str">
            <v>원</v>
          </cell>
        </row>
        <row r="18">
          <cell r="E18" t="str">
            <v xml:space="preserve">11 목   공   사 </v>
          </cell>
          <cell r="J18">
            <v>0</v>
          </cell>
          <cell r="K18" t="str">
            <v>원</v>
          </cell>
          <cell r="AC18" t="str">
            <v>11 목공사</v>
          </cell>
          <cell r="AD18">
            <v>105000687</v>
          </cell>
          <cell r="AE18">
            <v>6474028</v>
          </cell>
          <cell r="AF18">
            <v>0</v>
          </cell>
          <cell r="AG18">
            <v>111474715</v>
          </cell>
          <cell r="AH18">
            <v>3191759</v>
          </cell>
          <cell r="AI18">
            <v>6988896</v>
          </cell>
          <cell r="AJ18">
            <v>0</v>
          </cell>
          <cell r="AK18">
            <v>10180655</v>
          </cell>
          <cell r="AP18">
            <v>121655370</v>
          </cell>
          <cell r="AQ18" t="str">
            <v>원</v>
          </cell>
        </row>
        <row r="19">
          <cell r="E19" t="str">
            <v>12 미  장  공  사</v>
          </cell>
          <cell r="J19">
            <v>0</v>
          </cell>
          <cell r="K19" t="str">
            <v>원</v>
          </cell>
          <cell r="AC19" t="str">
            <v>12 건축음향내장공사</v>
          </cell>
          <cell r="AD19">
            <v>136055675</v>
          </cell>
          <cell r="AE19">
            <v>52735601</v>
          </cell>
          <cell r="AF19">
            <v>0</v>
          </cell>
          <cell r="AG19">
            <v>188791276</v>
          </cell>
          <cell r="AP19">
            <v>188791276</v>
          </cell>
          <cell r="AQ19" t="str">
            <v>원</v>
          </cell>
        </row>
        <row r="20">
          <cell r="E20" t="str">
            <v>13 창  호  공  사</v>
          </cell>
          <cell r="J20">
            <v>0</v>
          </cell>
          <cell r="K20" t="str">
            <v>원</v>
          </cell>
          <cell r="AC20" t="str">
            <v>13 금속공사</v>
          </cell>
          <cell r="AD20">
            <v>455543338</v>
          </cell>
          <cell r="AE20">
            <v>165367718</v>
          </cell>
          <cell r="AF20">
            <v>33723</v>
          </cell>
          <cell r="AG20">
            <v>620944779</v>
          </cell>
          <cell r="AH20">
            <v>24317084</v>
          </cell>
          <cell r="AI20">
            <v>16121617</v>
          </cell>
          <cell r="AJ20">
            <v>12863</v>
          </cell>
          <cell r="AK20">
            <v>40451564</v>
          </cell>
          <cell r="AP20">
            <v>661396343</v>
          </cell>
          <cell r="AQ20" t="str">
            <v>원</v>
          </cell>
        </row>
        <row r="21">
          <cell r="E21" t="str">
            <v>14 유  리   공  사</v>
          </cell>
          <cell r="J21">
            <v>0</v>
          </cell>
          <cell r="K21" t="str">
            <v>원</v>
          </cell>
          <cell r="AC21" t="str">
            <v>14 미장공사</v>
          </cell>
          <cell r="AD21">
            <v>3142023</v>
          </cell>
          <cell r="AE21">
            <v>73205710</v>
          </cell>
          <cell r="AF21">
            <v>295113</v>
          </cell>
          <cell r="AG21">
            <v>76642846</v>
          </cell>
          <cell r="AH21">
            <v>3366649</v>
          </cell>
          <cell r="AI21">
            <v>44505470</v>
          </cell>
          <cell r="AJ21">
            <v>15180</v>
          </cell>
          <cell r="AK21">
            <v>47887299</v>
          </cell>
          <cell r="AP21">
            <v>124530145</v>
          </cell>
          <cell r="AQ21" t="str">
            <v>원</v>
          </cell>
        </row>
        <row r="22">
          <cell r="E22" t="str">
            <v>15 도  장  공  사</v>
          </cell>
          <cell r="J22">
            <v>0</v>
          </cell>
          <cell r="K22" t="str">
            <v>원</v>
          </cell>
          <cell r="AC22" t="str">
            <v>15 창호공사</v>
          </cell>
          <cell r="AD22">
            <v>245767374</v>
          </cell>
          <cell r="AE22">
            <v>357966</v>
          </cell>
          <cell r="AF22">
            <v>0</v>
          </cell>
          <cell r="AG22">
            <v>246125340</v>
          </cell>
          <cell r="AH22">
            <v>49886199</v>
          </cell>
          <cell r="AI22">
            <v>160029</v>
          </cell>
          <cell r="AJ22">
            <v>0</v>
          </cell>
          <cell r="AK22">
            <v>50046228</v>
          </cell>
          <cell r="AP22">
            <v>296171568</v>
          </cell>
          <cell r="AQ22" t="str">
            <v>원</v>
          </cell>
        </row>
        <row r="23">
          <cell r="E23" t="str">
            <v>16 수  장  공  사</v>
          </cell>
          <cell r="J23">
            <v>0</v>
          </cell>
          <cell r="K23" t="str">
            <v>원</v>
          </cell>
          <cell r="AC23" t="str">
            <v>16 유리공사</v>
          </cell>
          <cell r="AD23">
            <v>58095273</v>
          </cell>
          <cell r="AE23">
            <v>30437764</v>
          </cell>
          <cell r="AF23">
            <v>0</v>
          </cell>
          <cell r="AG23">
            <v>88533037</v>
          </cell>
          <cell r="AH23">
            <v>10930609</v>
          </cell>
          <cell r="AI23">
            <v>5272278</v>
          </cell>
          <cell r="AJ23">
            <v>0</v>
          </cell>
          <cell r="AK23">
            <v>16202887</v>
          </cell>
          <cell r="AP23">
            <v>104735924</v>
          </cell>
          <cell r="AQ23" t="str">
            <v>원</v>
          </cell>
        </row>
        <row r="24">
          <cell r="E24" t="str">
            <v>17 지붕 및 홈통공사</v>
          </cell>
          <cell r="J24">
            <v>0</v>
          </cell>
          <cell r="K24" t="str">
            <v>원</v>
          </cell>
          <cell r="AC24" t="str">
            <v>17 도장공사</v>
          </cell>
          <cell r="AD24">
            <v>62737936</v>
          </cell>
          <cell r="AE24">
            <v>56061324</v>
          </cell>
          <cell r="AF24">
            <v>0</v>
          </cell>
          <cell r="AG24">
            <v>118799260</v>
          </cell>
          <cell r="AH24">
            <v>8406686</v>
          </cell>
          <cell r="AI24">
            <v>4376616</v>
          </cell>
          <cell r="AJ24">
            <v>0</v>
          </cell>
          <cell r="AK24">
            <v>12783302</v>
          </cell>
          <cell r="AP24">
            <v>131582562</v>
          </cell>
          <cell r="AQ24" t="str">
            <v>원</v>
          </cell>
        </row>
        <row r="25">
          <cell r="E25" t="str">
            <v xml:space="preserve">18 잡   공   사 </v>
          </cell>
          <cell r="J25">
            <v>0</v>
          </cell>
          <cell r="K25" t="str">
            <v>원</v>
          </cell>
          <cell r="AC25" t="str">
            <v>18 스페이스 후렘공사</v>
          </cell>
          <cell r="AD25">
            <v>38125162</v>
          </cell>
          <cell r="AE25">
            <v>10077600</v>
          </cell>
          <cell r="AF25">
            <v>1000000</v>
          </cell>
          <cell r="AG25">
            <v>49202762</v>
          </cell>
          <cell r="AP25">
            <v>49202762</v>
          </cell>
          <cell r="AQ25" t="str">
            <v>원</v>
          </cell>
        </row>
        <row r="26">
          <cell r="E26" t="str">
            <v>19 정화조설치공사</v>
          </cell>
          <cell r="J26">
            <v>0</v>
          </cell>
          <cell r="K26" t="str">
            <v>원</v>
          </cell>
          <cell r="AC26" t="str">
            <v>19 수장공사</v>
          </cell>
          <cell r="AD26">
            <v>468931584</v>
          </cell>
          <cell r="AE26">
            <v>35634265</v>
          </cell>
          <cell r="AF26">
            <v>34365</v>
          </cell>
          <cell r="AG26">
            <v>504600214</v>
          </cell>
          <cell r="AH26">
            <v>115579610</v>
          </cell>
          <cell r="AI26">
            <v>26787573</v>
          </cell>
          <cell r="AJ26">
            <v>0</v>
          </cell>
          <cell r="AK26">
            <v>142367183</v>
          </cell>
          <cell r="AP26">
            <v>646967397</v>
          </cell>
          <cell r="AQ26" t="str">
            <v>원</v>
          </cell>
        </row>
        <row r="27">
          <cell r="E27" t="str">
            <v>20 철  거  공  사</v>
          </cell>
          <cell r="J27">
            <v>0</v>
          </cell>
          <cell r="K27" t="str">
            <v>원</v>
          </cell>
          <cell r="AC27" t="str">
            <v>20 잡공사</v>
          </cell>
          <cell r="AD27">
            <v>84543386</v>
          </cell>
          <cell r="AE27">
            <v>21886475</v>
          </cell>
          <cell r="AF27">
            <v>0</v>
          </cell>
          <cell r="AG27">
            <v>106429861</v>
          </cell>
          <cell r="AH27">
            <v>32379202</v>
          </cell>
          <cell r="AI27">
            <v>1715030</v>
          </cell>
          <cell r="AJ27">
            <v>0</v>
          </cell>
          <cell r="AK27">
            <v>34094232</v>
          </cell>
          <cell r="AP27">
            <v>140524093</v>
          </cell>
          <cell r="AQ27" t="str">
            <v>원</v>
          </cell>
        </row>
        <row r="28">
          <cell r="E28" t="str">
            <v>21 골  재  비</v>
          </cell>
          <cell r="J28">
            <v>0</v>
          </cell>
          <cell r="K28" t="str">
            <v>원</v>
          </cell>
          <cell r="AC28" t="str">
            <v>21 마감공사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L28">
            <v>31197675</v>
          </cell>
          <cell r="AM28">
            <v>12684885</v>
          </cell>
          <cell r="AN28">
            <v>4278</v>
          </cell>
          <cell r="AO28">
            <v>43886838</v>
          </cell>
          <cell r="AP28">
            <v>43886838</v>
          </cell>
          <cell r="AQ28" t="str">
            <v>원</v>
          </cell>
        </row>
        <row r="29">
          <cell r="E29" t="str">
            <v>22 운  반  비</v>
          </cell>
          <cell r="J29">
            <v>0</v>
          </cell>
          <cell r="K29" t="str">
            <v>원</v>
          </cell>
          <cell r="AC29" t="str">
            <v>22 골재및운반비</v>
          </cell>
          <cell r="AD29">
            <v>9804150</v>
          </cell>
          <cell r="AE29">
            <v>4722045</v>
          </cell>
          <cell r="AF29">
            <v>2221380</v>
          </cell>
          <cell r="AG29">
            <v>16747575</v>
          </cell>
          <cell r="AH29">
            <v>4582934</v>
          </cell>
          <cell r="AI29">
            <v>2237810</v>
          </cell>
          <cell r="AJ29">
            <v>921434</v>
          </cell>
          <cell r="AK29">
            <v>7742178</v>
          </cell>
          <cell r="AL29">
            <v>59680</v>
          </cell>
          <cell r="AM29">
            <v>14642</v>
          </cell>
          <cell r="AN29">
            <v>6888</v>
          </cell>
          <cell r="AO29">
            <v>81210</v>
          </cell>
          <cell r="AP29">
            <v>24570963</v>
          </cell>
          <cell r="AQ29" t="str">
            <v>원</v>
          </cell>
        </row>
        <row r="30">
          <cell r="E30" t="str">
            <v>23 작 업 부 산 물</v>
          </cell>
          <cell r="J30">
            <v>0</v>
          </cell>
          <cell r="K30" t="str">
            <v>원</v>
          </cell>
          <cell r="AC30" t="str">
            <v>23 작업부산물</v>
          </cell>
          <cell r="AD30">
            <v>-2080800</v>
          </cell>
          <cell r="AE30">
            <v>0</v>
          </cell>
          <cell r="AF30">
            <v>0</v>
          </cell>
          <cell r="AG30">
            <v>-2080800</v>
          </cell>
          <cell r="AH30">
            <v>-520200</v>
          </cell>
          <cell r="AI30">
            <v>0</v>
          </cell>
          <cell r="AJ30">
            <v>0</v>
          </cell>
          <cell r="AK30">
            <v>-520200</v>
          </cell>
          <cell r="AL30">
            <v>-86700</v>
          </cell>
          <cell r="AM30">
            <v>0</v>
          </cell>
          <cell r="AN30">
            <v>0</v>
          </cell>
          <cell r="AO30">
            <v>-86700</v>
          </cell>
          <cell r="AP30">
            <v>-2687700</v>
          </cell>
          <cell r="AQ30" t="str">
            <v>원</v>
          </cell>
        </row>
        <row r="31">
          <cell r="AC31" t="str">
            <v>24 관급자재비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Q31" t="str">
            <v>원</v>
          </cell>
        </row>
        <row r="32">
          <cell r="E32" t="str">
            <v>합 계</v>
          </cell>
          <cell r="F32">
            <v>0</v>
          </cell>
          <cell r="G32">
            <v>0</v>
          </cell>
          <cell r="H32">
            <v>0</v>
          </cell>
          <cell r="J32">
            <v>0</v>
          </cell>
          <cell r="K32" t="str">
            <v>원</v>
          </cell>
          <cell r="AC32" t="str">
            <v>합 계</v>
          </cell>
          <cell r="AD32">
            <v>2046415259</v>
          </cell>
          <cell r="AE32">
            <v>1397110893</v>
          </cell>
          <cell r="AF32">
            <v>63209107</v>
          </cell>
          <cell r="AG32">
            <v>3506735259</v>
          </cell>
          <cell r="AH32">
            <v>338451767</v>
          </cell>
          <cell r="AI32">
            <v>419543428</v>
          </cell>
          <cell r="AJ32">
            <v>23055893</v>
          </cell>
          <cell r="AK32">
            <v>781051088</v>
          </cell>
          <cell r="AL32">
            <v>31812961</v>
          </cell>
          <cell r="AM32">
            <v>14898962</v>
          </cell>
          <cell r="AN32">
            <v>191665</v>
          </cell>
          <cell r="AO32">
            <v>46903588</v>
          </cell>
          <cell r="AP32">
            <v>4334689935</v>
          </cell>
          <cell r="AQ32" t="str">
            <v>원</v>
          </cell>
        </row>
        <row r="33">
          <cell r="E33" t="str">
            <v>나.토목공사</v>
          </cell>
          <cell r="AC33" t="str">
            <v>나.토목공사</v>
          </cell>
        </row>
        <row r="35">
          <cell r="E35" t="str">
            <v>01 토공사</v>
          </cell>
          <cell r="J35">
            <v>0</v>
          </cell>
          <cell r="K35" t="str">
            <v>원</v>
          </cell>
          <cell r="AC35" t="str">
            <v>01 토공사</v>
          </cell>
          <cell r="AD35">
            <v>492257</v>
          </cell>
          <cell r="AE35">
            <v>590533</v>
          </cell>
          <cell r="AF35">
            <v>823870</v>
          </cell>
          <cell r="AG35">
            <v>1906660</v>
          </cell>
          <cell r="AP35">
            <v>1906660</v>
          </cell>
          <cell r="AQ35" t="str">
            <v>원</v>
          </cell>
        </row>
        <row r="36">
          <cell r="E36" t="str">
            <v>02 하수도공사</v>
          </cell>
          <cell r="J36">
            <v>0</v>
          </cell>
          <cell r="K36" t="str">
            <v>원</v>
          </cell>
          <cell r="AC36" t="str">
            <v>02 구조물공사</v>
          </cell>
          <cell r="AD36">
            <v>4633590</v>
          </cell>
          <cell r="AE36">
            <v>42718344</v>
          </cell>
          <cell r="AF36">
            <v>131084</v>
          </cell>
          <cell r="AG36">
            <v>47483018</v>
          </cell>
          <cell r="AP36">
            <v>47483018</v>
          </cell>
          <cell r="AQ36" t="str">
            <v>원</v>
          </cell>
        </row>
        <row r="37">
          <cell r="E37" t="str">
            <v>03 포장공사</v>
          </cell>
          <cell r="J37">
            <v>0</v>
          </cell>
          <cell r="K37" t="str">
            <v>원</v>
          </cell>
          <cell r="AC37" t="str">
            <v>03 배수시설공사</v>
          </cell>
          <cell r="AD37">
            <v>13685630</v>
          </cell>
          <cell r="AE37">
            <v>17702877</v>
          </cell>
          <cell r="AF37">
            <v>795421</v>
          </cell>
          <cell r="AG37">
            <v>32183928</v>
          </cell>
          <cell r="AP37">
            <v>32183928</v>
          </cell>
          <cell r="AQ37" t="str">
            <v>원</v>
          </cell>
        </row>
        <row r="38">
          <cell r="E38" t="str">
            <v>04 옹벽공사</v>
          </cell>
          <cell r="J38">
            <v>0</v>
          </cell>
          <cell r="K38" t="str">
            <v>원</v>
          </cell>
          <cell r="AC38" t="str">
            <v>04 포장공사</v>
          </cell>
          <cell r="AD38">
            <v>23098180</v>
          </cell>
          <cell r="AE38">
            <v>39510964</v>
          </cell>
          <cell r="AF38">
            <v>720108</v>
          </cell>
          <cell r="AG38">
            <v>63329252</v>
          </cell>
          <cell r="AP38">
            <v>63329252</v>
          </cell>
          <cell r="AQ38" t="str">
            <v>원</v>
          </cell>
        </row>
        <row r="39">
          <cell r="E39" t="str">
            <v>05 화단박스공사</v>
          </cell>
          <cell r="J39">
            <v>0</v>
          </cell>
          <cell r="K39" t="str">
            <v>원</v>
          </cell>
          <cell r="AC39" t="str">
            <v>05 정문,후문및담장공사</v>
          </cell>
          <cell r="AD39">
            <v>39820550</v>
          </cell>
          <cell r="AE39">
            <v>12877260</v>
          </cell>
          <cell r="AF39">
            <v>684000</v>
          </cell>
          <cell r="AG39">
            <v>53381810</v>
          </cell>
          <cell r="AP39">
            <v>53381810</v>
          </cell>
          <cell r="AQ39" t="str">
            <v>원</v>
          </cell>
        </row>
        <row r="40">
          <cell r="E40" t="str">
            <v>06 구조물공사</v>
          </cell>
          <cell r="J40">
            <v>0</v>
          </cell>
          <cell r="K40" t="str">
            <v>원</v>
          </cell>
          <cell r="AC40" t="str">
            <v>06 체육장마사토포설공사</v>
          </cell>
          <cell r="AD40">
            <v>634900</v>
          </cell>
          <cell r="AE40">
            <v>236100</v>
          </cell>
          <cell r="AF40">
            <v>201635</v>
          </cell>
          <cell r="AG40">
            <v>1072635</v>
          </cell>
          <cell r="AP40">
            <v>1072635</v>
          </cell>
          <cell r="AQ40" t="str">
            <v>원</v>
          </cell>
        </row>
        <row r="41">
          <cell r="E41" t="str">
            <v>07 철거공사</v>
          </cell>
          <cell r="J41">
            <v>0</v>
          </cell>
          <cell r="K41" t="str">
            <v>원</v>
          </cell>
          <cell r="AC41" t="str">
            <v>07 철거및복구공사</v>
          </cell>
          <cell r="AD41">
            <v>148214</v>
          </cell>
          <cell r="AE41">
            <v>381226</v>
          </cell>
          <cell r="AF41">
            <v>149405</v>
          </cell>
          <cell r="AG41">
            <v>678845</v>
          </cell>
          <cell r="AP41">
            <v>678845</v>
          </cell>
          <cell r="AQ41" t="str">
            <v>원</v>
          </cell>
        </row>
        <row r="42">
          <cell r="E42" t="str">
            <v>08 사급자재비공사</v>
          </cell>
          <cell r="J42">
            <v>0</v>
          </cell>
          <cell r="K42" t="str">
            <v>원</v>
          </cell>
          <cell r="AC42" t="str">
            <v>소계</v>
          </cell>
          <cell r="AD42">
            <v>82513321</v>
          </cell>
          <cell r="AE42">
            <v>114017304</v>
          </cell>
          <cell r="AF42">
            <v>3505523</v>
          </cell>
          <cell r="AG42">
            <v>200036148</v>
          </cell>
          <cell r="AP42">
            <v>200036148</v>
          </cell>
          <cell r="AQ42" t="str">
            <v>원</v>
          </cell>
        </row>
        <row r="43">
          <cell r="E43" t="str">
            <v>09 운반비</v>
          </cell>
          <cell r="J43">
            <v>0</v>
          </cell>
          <cell r="K43" t="str">
            <v>원</v>
          </cell>
          <cell r="AC43" t="str">
            <v>08 운반비</v>
          </cell>
          <cell r="AD43">
            <v>0</v>
          </cell>
          <cell r="AE43">
            <v>0</v>
          </cell>
          <cell r="AF43">
            <v>1446095</v>
          </cell>
          <cell r="AG43">
            <v>1446095</v>
          </cell>
          <cell r="AP43">
            <v>1446095</v>
          </cell>
          <cell r="AQ43" t="str">
            <v>원</v>
          </cell>
        </row>
        <row r="44">
          <cell r="E44" t="str">
            <v>10 작업 부산물</v>
          </cell>
          <cell r="J44">
            <v>0</v>
          </cell>
          <cell r="K44" t="str">
            <v>원</v>
          </cell>
          <cell r="AC44" t="str">
            <v>09 작업 부산물</v>
          </cell>
          <cell r="AD44">
            <v>-84150</v>
          </cell>
          <cell r="AE44">
            <v>0</v>
          </cell>
          <cell r="AF44">
            <v>0</v>
          </cell>
          <cell r="AG44">
            <v>-84150</v>
          </cell>
          <cell r="AP44">
            <v>-84150</v>
          </cell>
          <cell r="AQ44" t="str">
            <v>원</v>
          </cell>
        </row>
        <row r="45">
          <cell r="E45" t="str">
            <v xml:space="preserve"> 11 폐기물처리수수료</v>
          </cell>
          <cell r="J45">
            <v>0</v>
          </cell>
          <cell r="K45" t="str">
            <v>원</v>
          </cell>
          <cell r="AC45" t="str">
            <v xml:space="preserve"> 10 관급자재비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P45">
            <v>0</v>
          </cell>
          <cell r="AQ45" t="str">
            <v>원</v>
          </cell>
        </row>
        <row r="46">
          <cell r="E46" t="str">
            <v>합계</v>
          </cell>
          <cell r="F46">
            <v>0</v>
          </cell>
          <cell r="G46">
            <v>0</v>
          </cell>
          <cell r="H46">
            <v>0</v>
          </cell>
          <cell r="J46">
            <v>0</v>
          </cell>
          <cell r="K46" t="str">
            <v>원</v>
          </cell>
          <cell r="AC46" t="str">
            <v>합계</v>
          </cell>
          <cell r="AD46">
            <v>82429171</v>
          </cell>
          <cell r="AE46">
            <v>114017304</v>
          </cell>
          <cell r="AF46">
            <v>3505523</v>
          </cell>
          <cell r="AG46">
            <v>199951998</v>
          </cell>
          <cell r="AP46">
            <v>199951998</v>
          </cell>
          <cell r="AQ46" t="str">
            <v>원</v>
          </cell>
        </row>
        <row r="61">
          <cell r="E61" t="str">
            <v>다.기계설비공사</v>
          </cell>
          <cell r="AC61" t="str">
            <v>다.기계설비공사</v>
          </cell>
          <cell r="AG61" t="str">
            <v>신축동</v>
          </cell>
          <cell r="AH61" t="str">
            <v>본관동</v>
          </cell>
          <cell r="AI61" t="str">
            <v>본관동</v>
          </cell>
          <cell r="AJ61" t="str">
            <v>본관동</v>
          </cell>
          <cell r="AK61" t="str">
            <v>본관동</v>
          </cell>
          <cell r="AL61" t="str">
            <v>본관동증축</v>
          </cell>
          <cell r="AM61" t="str">
            <v>본관동증축</v>
          </cell>
          <cell r="AN61" t="str">
            <v>본관동증축</v>
          </cell>
          <cell r="AO61" t="str">
            <v>본관동증축</v>
          </cell>
        </row>
        <row r="62">
          <cell r="AG62" t="str">
            <v>합계</v>
          </cell>
          <cell r="AH62" t="str">
            <v>재료비</v>
          </cell>
          <cell r="AI62" t="str">
            <v>노무비</v>
          </cell>
          <cell r="AJ62" t="str">
            <v>경비</v>
          </cell>
          <cell r="AK62" t="str">
            <v>합계</v>
          </cell>
          <cell r="AL62" t="str">
            <v>재료비</v>
          </cell>
          <cell r="AM62" t="str">
            <v>노무비</v>
          </cell>
          <cell r="AN62" t="str">
            <v>경비</v>
          </cell>
          <cell r="AO62" t="str">
            <v>합계</v>
          </cell>
        </row>
        <row r="63">
          <cell r="E63" t="str">
            <v>01 옥외배관공사</v>
          </cell>
          <cell r="J63">
            <v>0</v>
          </cell>
          <cell r="K63" t="str">
            <v>원</v>
          </cell>
          <cell r="AC63" t="str">
            <v>01 장비설치공사</v>
          </cell>
          <cell r="AD63">
            <v>37696528</v>
          </cell>
          <cell r="AE63">
            <v>23950965</v>
          </cell>
          <cell r="AF63">
            <v>0</v>
          </cell>
          <cell r="AG63">
            <v>61647493</v>
          </cell>
          <cell r="AH63">
            <v>6782360</v>
          </cell>
          <cell r="AI63">
            <v>2412020</v>
          </cell>
          <cell r="AJ63">
            <v>0</v>
          </cell>
          <cell r="AK63">
            <v>9194380</v>
          </cell>
          <cell r="AP63">
            <v>70841873</v>
          </cell>
          <cell r="AQ63" t="str">
            <v>원</v>
          </cell>
        </row>
        <row r="64">
          <cell r="E64" t="str">
            <v>02 기계실배관공사</v>
          </cell>
          <cell r="J64">
            <v>0</v>
          </cell>
          <cell r="K64" t="str">
            <v>원</v>
          </cell>
          <cell r="AC64" t="str">
            <v>02 기계실배관공사</v>
          </cell>
          <cell r="AD64">
            <v>131491383</v>
          </cell>
          <cell r="AE64">
            <v>49145503</v>
          </cell>
          <cell r="AF64">
            <v>0</v>
          </cell>
          <cell r="AG64">
            <v>180636886</v>
          </cell>
          <cell r="AP64">
            <v>180636886</v>
          </cell>
          <cell r="AQ64" t="str">
            <v>원</v>
          </cell>
        </row>
        <row r="65">
          <cell r="E65" t="str">
            <v>03 난방배관공사</v>
          </cell>
          <cell r="J65">
            <v>0</v>
          </cell>
          <cell r="K65" t="str">
            <v>원</v>
          </cell>
          <cell r="AC65" t="str">
            <v>03 난방배관공사</v>
          </cell>
          <cell r="AH65">
            <v>28380365</v>
          </cell>
          <cell r="AI65">
            <v>47108338</v>
          </cell>
          <cell r="AJ65">
            <v>0</v>
          </cell>
          <cell r="AK65">
            <v>75488703</v>
          </cell>
          <cell r="AP65">
            <v>75488703</v>
          </cell>
          <cell r="AQ65" t="str">
            <v>원</v>
          </cell>
        </row>
        <row r="66">
          <cell r="E66" t="str">
            <v>04 위생배관공사</v>
          </cell>
          <cell r="J66">
            <v>0</v>
          </cell>
          <cell r="K66" t="str">
            <v>원</v>
          </cell>
          <cell r="AC66" t="str">
            <v>04 냉난방배관공사</v>
          </cell>
          <cell r="AD66">
            <v>234172219</v>
          </cell>
          <cell r="AE66">
            <v>153473404</v>
          </cell>
          <cell r="AF66">
            <v>0</v>
          </cell>
          <cell r="AG66">
            <v>387645623</v>
          </cell>
          <cell r="AP66">
            <v>387645623</v>
          </cell>
          <cell r="AQ66" t="str">
            <v>원</v>
          </cell>
        </row>
        <row r="67">
          <cell r="E67" t="str">
            <v>05 배기닥트설치공사</v>
          </cell>
          <cell r="J67">
            <v>0</v>
          </cell>
          <cell r="K67" t="str">
            <v>원</v>
          </cell>
          <cell r="AC67" t="str">
            <v>05 공조닥트설치공사</v>
          </cell>
          <cell r="AD67">
            <v>16918675</v>
          </cell>
          <cell r="AE67">
            <v>38126660</v>
          </cell>
          <cell r="AF67">
            <v>0</v>
          </cell>
          <cell r="AG67">
            <v>55045335</v>
          </cell>
          <cell r="AP67">
            <v>55045335</v>
          </cell>
          <cell r="AQ67" t="str">
            <v>원</v>
          </cell>
        </row>
        <row r="68">
          <cell r="E68" t="str">
            <v>06 가스배관공사</v>
          </cell>
          <cell r="J68">
            <v>0</v>
          </cell>
          <cell r="K68" t="str">
            <v>원</v>
          </cell>
          <cell r="AC68" t="str">
            <v>06 위생기구설치공사</v>
          </cell>
          <cell r="AD68">
            <v>28581934</v>
          </cell>
          <cell r="AE68">
            <v>14731155</v>
          </cell>
          <cell r="AF68">
            <v>0</v>
          </cell>
          <cell r="AG68">
            <v>43313089</v>
          </cell>
          <cell r="AH68">
            <v>2323379</v>
          </cell>
          <cell r="AI68">
            <v>6970913</v>
          </cell>
          <cell r="AJ68">
            <v>0</v>
          </cell>
          <cell r="AK68">
            <v>9294292</v>
          </cell>
          <cell r="AP68">
            <v>52607381</v>
          </cell>
          <cell r="AQ68" t="str">
            <v>원</v>
          </cell>
        </row>
        <row r="69">
          <cell r="AC69" t="str">
            <v>07 위생배관공사</v>
          </cell>
          <cell r="AD69">
            <v>54966551</v>
          </cell>
          <cell r="AE69">
            <v>57083740</v>
          </cell>
          <cell r="AF69">
            <v>0</v>
          </cell>
          <cell r="AG69">
            <v>112050291</v>
          </cell>
          <cell r="AP69">
            <v>112050291</v>
          </cell>
          <cell r="AQ69" t="str">
            <v>원</v>
          </cell>
        </row>
        <row r="70">
          <cell r="E70" t="str">
            <v>07 자동제어공사</v>
          </cell>
          <cell r="J70">
            <v>0</v>
          </cell>
          <cell r="K70" t="str">
            <v>원</v>
          </cell>
          <cell r="AC70" t="str">
            <v>08 도시가스배관공사</v>
          </cell>
          <cell r="AD70">
            <v>22420315</v>
          </cell>
          <cell r="AE70">
            <v>12539215</v>
          </cell>
          <cell r="AF70">
            <v>0</v>
          </cell>
          <cell r="AG70">
            <v>34959530</v>
          </cell>
          <cell r="AP70">
            <v>34959530</v>
          </cell>
          <cell r="AQ70" t="str">
            <v>원</v>
          </cell>
        </row>
        <row r="71">
          <cell r="E71" t="str">
            <v>08 소화배관공사</v>
          </cell>
          <cell r="J71">
            <v>0</v>
          </cell>
          <cell r="K71" t="str">
            <v>원</v>
          </cell>
          <cell r="AC71" t="str">
            <v>09 자동제어서치공사</v>
          </cell>
          <cell r="AD71">
            <v>31132209</v>
          </cell>
          <cell r="AE71">
            <v>4086978</v>
          </cell>
          <cell r="AF71">
            <v>0</v>
          </cell>
          <cell r="AG71">
            <v>35219187</v>
          </cell>
          <cell r="AP71">
            <v>35219187</v>
          </cell>
          <cell r="AQ71" t="str">
            <v>원</v>
          </cell>
        </row>
        <row r="72">
          <cell r="E72" t="str">
            <v>09 위생기구설치공사</v>
          </cell>
          <cell r="J72">
            <v>0</v>
          </cell>
          <cell r="K72" t="str">
            <v>원</v>
          </cell>
          <cell r="AC72" t="str">
            <v>10 연도설치공사</v>
          </cell>
          <cell r="AD72">
            <v>43364264</v>
          </cell>
          <cell r="AE72">
            <v>6692154</v>
          </cell>
          <cell r="AF72">
            <v>0</v>
          </cell>
          <cell r="AG72">
            <v>50056418</v>
          </cell>
          <cell r="AP72">
            <v>50056418</v>
          </cell>
          <cell r="AQ72" t="str">
            <v>원</v>
          </cell>
        </row>
        <row r="73">
          <cell r="E73" t="str">
            <v>10 급수급탕배관공사</v>
          </cell>
          <cell r="J73">
            <v>0</v>
          </cell>
          <cell r="K73" t="str">
            <v>원</v>
          </cell>
          <cell r="AC73" t="str">
            <v>11 방진설치공사</v>
          </cell>
          <cell r="AD73">
            <v>14923805</v>
          </cell>
          <cell r="AE73">
            <v>4324093</v>
          </cell>
          <cell r="AF73">
            <v>0</v>
          </cell>
          <cell r="AG73">
            <v>19247898</v>
          </cell>
          <cell r="AP73">
            <v>19247898</v>
          </cell>
          <cell r="AQ73" t="str">
            <v>원</v>
          </cell>
        </row>
        <row r="74">
          <cell r="E74" t="str">
            <v>11 오배수통기배관공사</v>
          </cell>
          <cell r="J74">
            <v>0</v>
          </cell>
          <cell r="K74" t="str">
            <v>원</v>
          </cell>
          <cell r="AC74" t="str">
            <v>12 환기닥트설치공사</v>
          </cell>
          <cell r="AH74">
            <v>15865991</v>
          </cell>
          <cell r="AI74">
            <v>7499700</v>
          </cell>
          <cell r="AJ74">
            <v>0</v>
          </cell>
          <cell r="AK74">
            <v>23365691</v>
          </cell>
          <cell r="AL74">
            <v>1566495</v>
          </cell>
          <cell r="AM74">
            <v>4088287</v>
          </cell>
          <cell r="AN74">
            <v>0</v>
          </cell>
          <cell r="AO74">
            <v>5654782</v>
          </cell>
          <cell r="AP74">
            <v>29020473</v>
          </cell>
          <cell r="AQ74" t="str">
            <v>원</v>
          </cell>
        </row>
        <row r="75">
          <cell r="E75" t="str">
            <v>합계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원</v>
          </cell>
          <cell r="AC75" t="str">
            <v>13 위생설비공사</v>
          </cell>
          <cell r="AH75">
            <v>27036309</v>
          </cell>
          <cell r="AI75">
            <v>31424526</v>
          </cell>
          <cell r="AJ75">
            <v>0</v>
          </cell>
          <cell r="AK75">
            <v>58460835</v>
          </cell>
          <cell r="AL75">
            <v>682861</v>
          </cell>
          <cell r="AM75">
            <v>1285389</v>
          </cell>
          <cell r="AN75">
            <v>0</v>
          </cell>
          <cell r="AO75">
            <v>1968250</v>
          </cell>
          <cell r="AP75">
            <v>60429085</v>
          </cell>
          <cell r="AQ75" t="str">
            <v>원</v>
          </cell>
        </row>
        <row r="76">
          <cell r="AC76" t="str">
            <v>14 가스설비공사</v>
          </cell>
          <cell r="AL76">
            <v>1286720</v>
          </cell>
          <cell r="AM76">
            <v>1172107</v>
          </cell>
          <cell r="AN76">
            <v>0</v>
          </cell>
          <cell r="AO76">
            <v>2458827</v>
          </cell>
          <cell r="AP76">
            <v>2458827</v>
          </cell>
          <cell r="AQ76" t="str">
            <v>원</v>
          </cell>
        </row>
        <row r="77">
          <cell r="AC77" t="str">
            <v>12 관급장비설치공사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P77">
            <v>0</v>
          </cell>
        </row>
        <row r="78">
          <cell r="AC78" t="str">
            <v>합계</v>
          </cell>
          <cell r="AD78">
            <v>615667883</v>
          </cell>
          <cell r="AE78">
            <v>364153867</v>
          </cell>
          <cell r="AF78">
            <v>0</v>
          </cell>
          <cell r="AG78">
            <v>979821750</v>
          </cell>
          <cell r="AH78">
            <v>80388404</v>
          </cell>
          <cell r="AI78">
            <v>95415497</v>
          </cell>
          <cell r="AJ78">
            <v>0</v>
          </cell>
          <cell r="AK78">
            <v>175803901</v>
          </cell>
          <cell r="AL78">
            <v>3536076</v>
          </cell>
          <cell r="AM78">
            <v>6545783</v>
          </cell>
          <cell r="AN78">
            <v>0</v>
          </cell>
          <cell r="AO78">
            <v>10081859</v>
          </cell>
          <cell r="AP78">
            <v>1165707510</v>
          </cell>
          <cell r="AQ78" t="str">
            <v>원</v>
          </cell>
        </row>
        <row r="90">
          <cell r="D90" t="str">
            <v xml:space="preserve">  2.간접노무비</v>
          </cell>
          <cell r="J90">
            <v>0</v>
          </cell>
          <cell r="K90" t="str">
            <v>원</v>
          </cell>
          <cell r="AB90" t="str">
            <v xml:space="preserve">  2.간접노무비</v>
          </cell>
          <cell r="AI90" t="str">
            <v>원</v>
          </cell>
          <cell r="AP90">
            <v>223949137</v>
          </cell>
          <cell r="AQ90" t="str">
            <v>원</v>
          </cell>
        </row>
        <row r="91">
          <cell r="D91" t="str">
            <v xml:space="preserve">  3.경   비</v>
          </cell>
          <cell r="AB91" t="str">
            <v xml:space="preserve">  3.경   비</v>
          </cell>
          <cell r="AQ91" t="str">
            <v>원</v>
          </cell>
        </row>
        <row r="92">
          <cell r="E92" t="str">
            <v>(1) 산재보험료</v>
          </cell>
          <cell r="J92">
            <v>0</v>
          </cell>
          <cell r="K92" t="str">
            <v>원</v>
          </cell>
          <cell r="AC92" t="str">
            <v>(1) 산재보험료</v>
          </cell>
          <cell r="AI92" t="str">
            <v>원</v>
          </cell>
          <cell r="AP92">
            <v>94882855</v>
          </cell>
          <cell r="AQ92" t="str">
            <v>원</v>
          </cell>
        </row>
        <row r="93">
          <cell r="E93" t="str">
            <v>(2) 안전관리비</v>
          </cell>
          <cell r="J93">
            <v>21630302</v>
          </cell>
          <cell r="K93" t="str">
            <v>원</v>
          </cell>
          <cell r="AC93" t="str">
            <v>(2) 안전관리비</v>
          </cell>
          <cell r="AI93" t="str">
            <v>원</v>
          </cell>
          <cell r="AP93">
            <v>127105582</v>
          </cell>
          <cell r="AQ93" t="str">
            <v>원</v>
          </cell>
        </row>
        <row r="94">
          <cell r="E94" t="str">
            <v>(3) 고용보험료</v>
          </cell>
          <cell r="K94" t="str">
            <v>원</v>
          </cell>
          <cell r="AC94" t="str">
            <v>(3) 고용보험료</v>
          </cell>
          <cell r="AI94" t="str">
            <v>원</v>
          </cell>
          <cell r="AP94">
            <v>12774584</v>
          </cell>
          <cell r="AQ94" t="str">
            <v>원</v>
          </cell>
        </row>
        <row r="95">
          <cell r="E95" t="str">
            <v>(4) 기타경비</v>
          </cell>
          <cell r="J95">
            <v>0</v>
          </cell>
          <cell r="K95" t="str">
            <v>원</v>
          </cell>
          <cell r="AC95" t="str">
            <v>(4) 기타경비</v>
          </cell>
          <cell r="AI95" t="str">
            <v>원</v>
          </cell>
          <cell r="AP95">
            <v>266077649.27272728</v>
          </cell>
          <cell r="AQ95" t="str">
            <v>원</v>
          </cell>
        </row>
        <row r="96">
          <cell r="E96" t="str">
            <v>(5) 퇴직공제부금비</v>
          </cell>
          <cell r="J96">
            <v>0</v>
          </cell>
          <cell r="K96" t="str">
            <v>원</v>
          </cell>
          <cell r="AC96" t="str">
            <v>(5) 퇴직공제부금비</v>
          </cell>
          <cell r="AI96" t="str">
            <v>원</v>
          </cell>
          <cell r="AJ96" t="str">
            <v xml:space="preserve">해  당  없  음 </v>
          </cell>
          <cell r="AQ96" t="str">
            <v>원</v>
          </cell>
          <cell r="AR96" t="str">
            <v xml:space="preserve"> 해당없음</v>
          </cell>
        </row>
        <row r="97">
          <cell r="D97" t="str">
            <v xml:space="preserve">  4.일반관리비</v>
          </cell>
          <cell r="J97">
            <v>0</v>
          </cell>
          <cell r="K97" t="str">
            <v>원</v>
          </cell>
          <cell r="AB97" t="str">
            <v xml:space="preserve">  4.일반관리비</v>
          </cell>
          <cell r="AI97" t="str">
            <v>원</v>
          </cell>
          <cell r="AP97">
            <v>0</v>
          </cell>
          <cell r="AQ97" t="str">
            <v>원</v>
          </cell>
        </row>
        <row r="98">
          <cell r="D98" t="str">
            <v xml:space="preserve">  5.이   윤</v>
          </cell>
          <cell r="J98">
            <v>0</v>
          </cell>
          <cell r="K98" t="str">
            <v>원</v>
          </cell>
          <cell r="AB98" t="str">
            <v xml:space="preserve">  5.이   윤</v>
          </cell>
          <cell r="AI98" t="str">
            <v>원</v>
          </cell>
          <cell r="AP98">
            <v>0</v>
          </cell>
          <cell r="AQ98" t="str">
            <v>원</v>
          </cell>
        </row>
        <row r="99">
          <cell r="D99" t="str">
            <v xml:space="preserve">  6.공사손해보험료</v>
          </cell>
          <cell r="J99">
            <v>0</v>
          </cell>
          <cell r="K99" t="str">
            <v>원</v>
          </cell>
          <cell r="L99" t="str">
            <v xml:space="preserve">해  당  없  음 </v>
          </cell>
          <cell r="AB99" t="str">
            <v xml:space="preserve">  6.공사손해보험료</v>
          </cell>
          <cell r="AI99" t="str">
            <v>원</v>
          </cell>
          <cell r="AJ99" t="str">
            <v xml:space="preserve">해  당  없  음 </v>
          </cell>
          <cell r="AP99">
            <v>0</v>
          </cell>
          <cell r="AQ99" t="str">
            <v>원</v>
          </cell>
          <cell r="AR99" t="str">
            <v xml:space="preserve"> 해당없음</v>
          </cell>
        </row>
        <row r="100">
          <cell r="D100" t="str">
            <v xml:space="preserve">  7.부가가치세</v>
          </cell>
          <cell r="J100">
            <v>2163030</v>
          </cell>
          <cell r="K100" t="str">
            <v>원</v>
          </cell>
          <cell r="AB100" t="str">
            <v xml:space="preserve">  7.부가가치세</v>
          </cell>
          <cell r="AI100" t="str">
            <v>원</v>
          </cell>
          <cell r="AP100">
            <v>642513925</v>
          </cell>
          <cell r="AQ100" t="str">
            <v>원</v>
          </cell>
        </row>
        <row r="102">
          <cell r="D102" t="str">
            <v xml:space="preserve"> 8.총   계</v>
          </cell>
          <cell r="J102">
            <v>23793332</v>
          </cell>
          <cell r="K102" t="str">
            <v>원</v>
          </cell>
          <cell r="AB102" t="str">
            <v xml:space="preserve"> 8.총   계</v>
          </cell>
          <cell r="AI102" t="str">
            <v>원</v>
          </cell>
          <cell r="AP102">
            <v>7067653175.272727</v>
          </cell>
          <cell r="AQ102" t="str">
            <v>원</v>
          </cell>
        </row>
        <row r="105">
          <cell r="AP105">
            <v>0</v>
          </cell>
        </row>
        <row r="107">
          <cell r="AP107">
            <v>0</v>
          </cell>
        </row>
        <row r="118">
          <cell r="AB118" t="str">
            <v xml:space="preserve">  2.간접노무비</v>
          </cell>
          <cell r="AI118" t="str">
            <v>원</v>
          </cell>
          <cell r="AQ118" t="str">
            <v>원</v>
          </cell>
        </row>
        <row r="119">
          <cell r="AB119" t="str">
            <v xml:space="preserve">  3.경   비</v>
          </cell>
          <cell r="AQ119" t="str">
            <v>원</v>
          </cell>
        </row>
        <row r="120">
          <cell r="AC120" t="str">
            <v>(1) 산재보험료</v>
          </cell>
          <cell r="AI120" t="str">
            <v>원</v>
          </cell>
          <cell r="AP120">
            <v>94882855</v>
          </cell>
          <cell r="AQ120" t="str">
            <v>원</v>
          </cell>
        </row>
        <row r="121">
          <cell r="AC121" t="str">
            <v>(2) 안전관리비</v>
          </cell>
          <cell r="AI121" t="str">
            <v>원</v>
          </cell>
          <cell r="AP121">
            <v>127105582</v>
          </cell>
          <cell r="AQ121" t="str">
            <v>원</v>
          </cell>
        </row>
        <row r="122">
          <cell r="AC122" t="str">
            <v>(3) 고용보험료</v>
          </cell>
          <cell r="AI122" t="str">
            <v>원</v>
          </cell>
          <cell r="AP122">
            <v>12774584</v>
          </cell>
          <cell r="AQ122" t="str">
            <v>원</v>
          </cell>
        </row>
        <row r="123">
          <cell r="AC123" t="str">
            <v>(4) 기타경비</v>
          </cell>
          <cell r="AI123" t="str">
            <v>원</v>
          </cell>
          <cell r="AQ123" t="str">
            <v>원</v>
          </cell>
        </row>
        <row r="124">
          <cell r="AC124" t="str">
            <v>(5) 퇴직공제부금비</v>
          </cell>
          <cell r="AI124" t="str">
            <v>원</v>
          </cell>
          <cell r="AJ124" t="str">
            <v xml:space="preserve">해  당  없  음 </v>
          </cell>
          <cell r="AQ124" t="str">
            <v>원</v>
          </cell>
          <cell r="AR124" t="str">
            <v xml:space="preserve"> 해당없음</v>
          </cell>
        </row>
        <row r="125">
          <cell r="AB125" t="str">
            <v xml:space="preserve">  4.일반관리비</v>
          </cell>
          <cell r="AI125" t="str">
            <v>원</v>
          </cell>
          <cell r="AQ125" t="str">
            <v>원</v>
          </cell>
        </row>
        <row r="126">
          <cell r="AB126" t="str">
            <v xml:space="preserve">  5.이   윤</v>
          </cell>
          <cell r="AI126" t="str">
            <v>원</v>
          </cell>
          <cell r="AQ126" t="str">
            <v>원</v>
          </cell>
        </row>
        <row r="127">
          <cell r="AB127" t="str">
            <v xml:space="preserve">  6.공사손해보험료</v>
          </cell>
          <cell r="AI127" t="str">
            <v>원</v>
          </cell>
          <cell r="AJ127" t="str">
            <v xml:space="preserve">해  당  없  음 </v>
          </cell>
          <cell r="AQ127" t="str">
            <v>원</v>
          </cell>
          <cell r="AR127" t="str">
            <v xml:space="preserve"> 해당없음</v>
          </cell>
        </row>
        <row r="128">
          <cell r="AB128" t="str">
            <v xml:space="preserve">  7.부가가치세</v>
          </cell>
          <cell r="AI128" t="str">
            <v>원</v>
          </cell>
          <cell r="AQ128" t="str">
            <v>원</v>
          </cell>
        </row>
        <row r="130">
          <cell r="AB130" t="str">
            <v xml:space="preserve"> 8.총   계</v>
          </cell>
          <cell r="AI130" t="str">
            <v>원</v>
          </cell>
          <cell r="AQ130" t="str">
            <v>원</v>
          </cell>
        </row>
      </sheetData>
      <sheetData sheetId="6"/>
      <sheetData sheetId="7"/>
      <sheetData sheetId="8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</sheetNames>
    <sheetDataSet>
      <sheetData sheetId="0">
        <row r="10">
          <cell r="G10" t="str">
            <v>재료비</v>
          </cell>
          <cell r="H10" t="str">
            <v>노무비</v>
          </cell>
          <cell r="I10" t="str">
            <v>경비</v>
          </cell>
        </row>
        <row r="11">
          <cell r="C11" t="str">
            <v>옥내간선공사</v>
          </cell>
        </row>
        <row r="12">
          <cell r="C12" t="str">
            <v>*  펌프실 급수공사</v>
          </cell>
        </row>
        <row r="13">
          <cell r="A13" t="str">
            <v>0</v>
          </cell>
          <cell r="B13" t="str">
            <v>MGF11251</v>
          </cell>
          <cell r="C13" t="str">
            <v>행가지지봉</v>
          </cell>
          <cell r="D13" t="str">
            <v>9MM(3/8")</v>
          </cell>
          <cell r="E13" t="str">
            <v>M</v>
          </cell>
          <cell r="F13">
            <v>13</v>
          </cell>
          <cell r="G13">
            <v>225</v>
          </cell>
          <cell r="H13">
            <v>0</v>
          </cell>
          <cell r="I13">
            <v>0</v>
          </cell>
        </row>
        <row r="14">
          <cell r="A14" t="str">
            <v>0</v>
          </cell>
          <cell r="B14" t="str">
            <v>MGF11512</v>
          </cell>
          <cell r="C14" t="str">
            <v>U볼 트(D15)</v>
          </cell>
          <cell r="D14" t="str">
            <v>M200</v>
          </cell>
          <cell r="E14" t="str">
            <v>개</v>
          </cell>
          <cell r="F14">
            <v>4</v>
          </cell>
          <cell r="G14">
            <v>531</v>
          </cell>
          <cell r="H14">
            <v>0</v>
          </cell>
          <cell r="I14">
            <v>0</v>
          </cell>
        </row>
        <row r="15">
          <cell r="A15" t="str">
            <v>0</v>
          </cell>
          <cell r="B15" t="str">
            <v>MGF11543</v>
          </cell>
          <cell r="C15" t="str">
            <v>절연U볼트</v>
          </cell>
          <cell r="D15" t="str">
            <v>D 15</v>
          </cell>
          <cell r="E15" t="str">
            <v>개</v>
          </cell>
          <cell r="F15">
            <v>1</v>
          </cell>
          <cell r="G15">
            <v>216</v>
          </cell>
          <cell r="H15">
            <v>0</v>
          </cell>
          <cell r="I15">
            <v>0</v>
          </cell>
        </row>
        <row r="16">
          <cell r="A16" t="str">
            <v>0</v>
          </cell>
          <cell r="B16" t="str">
            <v>MGF11544</v>
          </cell>
          <cell r="C16" t="str">
            <v>절연U볼트</v>
          </cell>
          <cell r="D16" t="str">
            <v>D 20</v>
          </cell>
          <cell r="E16" t="str">
            <v>개</v>
          </cell>
          <cell r="F16">
            <v>2</v>
          </cell>
          <cell r="G16">
            <v>252</v>
          </cell>
          <cell r="H16">
            <v>0</v>
          </cell>
          <cell r="I16">
            <v>0</v>
          </cell>
        </row>
        <row r="17">
          <cell r="A17" t="str">
            <v>0</v>
          </cell>
          <cell r="B17" t="str">
            <v>MGF11549</v>
          </cell>
          <cell r="C17" t="str">
            <v>절연U볼트</v>
          </cell>
          <cell r="D17" t="str">
            <v>D 65</v>
          </cell>
          <cell r="E17" t="str">
            <v>개</v>
          </cell>
          <cell r="F17">
            <v>1</v>
          </cell>
          <cell r="G17">
            <v>504</v>
          </cell>
          <cell r="H17">
            <v>0</v>
          </cell>
          <cell r="I17">
            <v>0</v>
          </cell>
        </row>
        <row r="18">
          <cell r="A18" t="str">
            <v>0</v>
          </cell>
          <cell r="B18" t="str">
            <v>MGF11552</v>
          </cell>
          <cell r="C18" t="str">
            <v>절연U볼트</v>
          </cell>
          <cell r="D18" t="str">
            <v>D125</v>
          </cell>
          <cell r="E18" t="str">
            <v>개</v>
          </cell>
          <cell r="F18">
            <v>18</v>
          </cell>
          <cell r="G18">
            <v>1332</v>
          </cell>
          <cell r="H18">
            <v>0</v>
          </cell>
          <cell r="I18">
            <v>0</v>
          </cell>
        </row>
        <row r="19">
          <cell r="A19" t="str">
            <v>0</v>
          </cell>
          <cell r="B19" t="str">
            <v>MGF11553</v>
          </cell>
          <cell r="C19" t="str">
            <v>절연U볼트</v>
          </cell>
          <cell r="D19" t="str">
            <v>D150</v>
          </cell>
          <cell r="E19" t="str">
            <v>개</v>
          </cell>
          <cell r="F19">
            <v>7</v>
          </cell>
          <cell r="G19">
            <v>1584</v>
          </cell>
          <cell r="H19">
            <v>0</v>
          </cell>
          <cell r="I19">
            <v>0</v>
          </cell>
        </row>
        <row r="20">
          <cell r="A20" t="str">
            <v>0</v>
          </cell>
          <cell r="B20" t="str">
            <v>MGF11554</v>
          </cell>
          <cell r="C20" t="str">
            <v>절연U볼트</v>
          </cell>
          <cell r="D20" t="str">
            <v>D200</v>
          </cell>
          <cell r="E20" t="str">
            <v>개</v>
          </cell>
          <cell r="F20">
            <v>36</v>
          </cell>
          <cell r="G20">
            <v>2052</v>
          </cell>
          <cell r="H20">
            <v>0</v>
          </cell>
          <cell r="I20">
            <v>0</v>
          </cell>
        </row>
        <row r="21">
          <cell r="A21" t="str">
            <v>0</v>
          </cell>
          <cell r="B21" t="str">
            <v>MGF12018</v>
          </cell>
          <cell r="C21" t="str">
            <v>앙카볼트</v>
          </cell>
          <cell r="D21" t="str">
            <v>12X150</v>
          </cell>
          <cell r="E21" t="str">
            <v>개</v>
          </cell>
          <cell r="F21">
            <v>12</v>
          </cell>
          <cell r="G21">
            <v>122</v>
          </cell>
          <cell r="H21">
            <v>0</v>
          </cell>
          <cell r="I21">
            <v>0</v>
          </cell>
        </row>
        <row r="22">
          <cell r="A22" t="str">
            <v>0</v>
          </cell>
          <cell r="B22" t="str">
            <v>MGF30505</v>
          </cell>
          <cell r="C22" t="str">
            <v>인서트</v>
          </cell>
          <cell r="D22" t="str">
            <v>D9</v>
          </cell>
          <cell r="E22" t="str">
            <v>개</v>
          </cell>
          <cell r="F22">
            <v>13</v>
          </cell>
          <cell r="G22">
            <v>26</v>
          </cell>
          <cell r="H22">
            <v>0</v>
          </cell>
          <cell r="I22">
            <v>0</v>
          </cell>
        </row>
        <row r="23">
          <cell r="A23" t="str">
            <v>0</v>
          </cell>
          <cell r="B23" t="str">
            <v>MMA50422</v>
          </cell>
          <cell r="C23" t="str">
            <v>수도용 닥타일 주철직관(KP식 2종)</v>
          </cell>
          <cell r="D23" t="str">
            <v>D200X6,000 (시멘트 라이닝)공장도</v>
          </cell>
          <cell r="E23" t="str">
            <v>본</v>
          </cell>
          <cell r="F23">
            <v>2</v>
          </cell>
          <cell r="G23">
            <v>105349</v>
          </cell>
          <cell r="H23">
            <v>0</v>
          </cell>
          <cell r="I23">
            <v>0</v>
          </cell>
        </row>
        <row r="24">
          <cell r="A24" t="str">
            <v>0</v>
          </cell>
          <cell r="B24" t="str">
            <v>MMB26622</v>
          </cell>
          <cell r="C24" t="str">
            <v>막힘후렌지 (10KG/CM2)</v>
          </cell>
          <cell r="D24" t="str">
            <v>D200 MM</v>
          </cell>
          <cell r="E24" t="str">
            <v>개</v>
          </cell>
          <cell r="F24">
            <v>2</v>
          </cell>
          <cell r="G24">
            <v>11671</v>
          </cell>
          <cell r="H24">
            <v>0</v>
          </cell>
          <cell r="I24">
            <v>0</v>
          </cell>
        </row>
        <row r="25">
          <cell r="A25" t="str">
            <v>0</v>
          </cell>
          <cell r="B25" t="str">
            <v>MMB40105</v>
          </cell>
          <cell r="C25" t="str">
            <v>동 엘보</v>
          </cell>
          <cell r="D25" t="str">
            <v>D15 MM</v>
          </cell>
          <cell r="E25" t="str">
            <v>개</v>
          </cell>
          <cell r="F25">
            <v>9</v>
          </cell>
          <cell r="G25">
            <v>112</v>
          </cell>
          <cell r="H25">
            <v>0</v>
          </cell>
          <cell r="I25">
            <v>0</v>
          </cell>
        </row>
        <row r="26">
          <cell r="A26" t="str">
            <v>0</v>
          </cell>
          <cell r="B26" t="str">
            <v>MMB40107</v>
          </cell>
          <cell r="C26" t="str">
            <v>동 엘보</v>
          </cell>
          <cell r="D26" t="str">
            <v>D20 MM</v>
          </cell>
          <cell r="E26" t="str">
            <v>개</v>
          </cell>
          <cell r="F26">
            <v>8</v>
          </cell>
          <cell r="G26">
            <v>228</v>
          </cell>
          <cell r="H26">
            <v>0</v>
          </cell>
          <cell r="I26">
            <v>0</v>
          </cell>
        </row>
        <row r="27">
          <cell r="A27" t="str">
            <v>0</v>
          </cell>
          <cell r="B27" t="str">
            <v>MMB40113</v>
          </cell>
          <cell r="C27" t="str">
            <v>동 엘보</v>
          </cell>
          <cell r="D27" t="str">
            <v>D50 MM</v>
          </cell>
          <cell r="E27" t="str">
            <v>개</v>
          </cell>
          <cell r="F27">
            <v>4</v>
          </cell>
          <cell r="G27">
            <v>2056</v>
          </cell>
          <cell r="H27">
            <v>0</v>
          </cell>
          <cell r="I27">
            <v>0</v>
          </cell>
        </row>
        <row r="28">
          <cell r="A28" t="str">
            <v>0</v>
          </cell>
          <cell r="B28" t="str">
            <v>MMB40120</v>
          </cell>
          <cell r="C28" t="str">
            <v>동 엘보</v>
          </cell>
          <cell r="D28" t="str">
            <v>D125 MM</v>
          </cell>
          <cell r="E28" t="str">
            <v>개</v>
          </cell>
          <cell r="F28">
            <v>37</v>
          </cell>
          <cell r="G28">
            <v>29096</v>
          </cell>
          <cell r="H28">
            <v>0</v>
          </cell>
          <cell r="I28">
            <v>0</v>
          </cell>
        </row>
        <row r="29">
          <cell r="A29" t="str">
            <v>0</v>
          </cell>
          <cell r="B29" t="str">
            <v>MMB40121</v>
          </cell>
          <cell r="C29" t="str">
            <v>동 엘보</v>
          </cell>
          <cell r="D29" t="str">
            <v>D150 MM</v>
          </cell>
          <cell r="E29" t="str">
            <v>개</v>
          </cell>
          <cell r="F29">
            <v>14</v>
          </cell>
          <cell r="G29">
            <v>43398</v>
          </cell>
          <cell r="H29">
            <v>0</v>
          </cell>
          <cell r="I29">
            <v>0</v>
          </cell>
        </row>
        <row r="30">
          <cell r="A30" t="str">
            <v>0</v>
          </cell>
          <cell r="B30" t="str">
            <v>MMB40122</v>
          </cell>
          <cell r="C30" t="str">
            <v>동 엘보</v>
          </cell>
          <cell r="D30" t="str">
            <v>D200 MM</v>
          </cell>
          <cell r="E30" t="str">
            <v>개</v>
          </cell>
          <cell r="F30">
            <v>11</v>
          </cell>
          <cell r="G30">
            <v>82099</v>
          </cell>
          <cell r="H30">
            <v>0</v>
          </cell>
          <cell r="I30">
            <v>0</v>
          </cell>
        </row>
        <row r="31">
          <cell r="A31" t="str">
            <v>0</v>
          </cell>
          <cell r="B31" t="str">
            <v>MMB40205</v>
          </cell>
          <cell r="C31" t="str">
            <v>동 티</v>
          </cell>
          <cell r="D31" t="str">
            <v>D15 MM</v>
          </cell>
          <cell r="E31" t="str">
            <v>개</v>
          </cell>
          <cell r="F31">
            <v>2</v>
          </cell>
          <cell r="G31">
            <v>243</v>
          </cell>
          <cell r="H31">
            <v>0</v>
          </cell>
          <cell r="I31">
            <v>0</v>
          </cell>
        </row>
        <row r="32">
          <cell r="A32" t="str">
            <v>0</v>
          </cell>
          <cell r="B32" t="str">
            <v>MMB40220</v>
          </cell>
          <cell r="C32" t="str">
            <v>동 티</v>
          </cell>
          <cell r="D32" t="str">
            <v>D125 MM</v>
          </cell>
          <cell r="E32" t="str">
            <v>개</v>
          </cell>
          <cell r="F32">
            <v>12</v>
          </cell>
          <cell r="G32">
            <v>44388</v>
          </cell>
          <cell r="H32">
            <v>0</v>
          </cell>
          <cell r="I32">
            <v>0</v>
          </cell>
        </row>
        <row r="33">
          <cell r="A33" t="str">
            <v>0</v>
          </cell>
          <cell r="B33" t="str">
            <v>MMB40221</v>
          </cell>
          <cell r="C33" t="str">
            <v>동 티</v>
          </cell>
          <cell r="D33" t="str">
            <v>D150 MM</v>
          </cell>
          <cell r="E33" t="str">
            <v>개</v>
          </cell>
          <cell r="F33">
            <v>6</v>
          </cell>
          <cell r="G33">
            <v>61962</v>
          </cell>
          <cell r="H33">
            <v>0</v>
          </cell>
          <cell r="I33">
            <v>0</v>
          </cell>
        </row>
        <row r="34">
          <cell r="A34" t="str">
            <v>0</v>
          </cell>
          <cell r="B34" t="str">
            <v>MMB40222</v>
          </cell>
          <cell r="C34" t="str">
            <v>동 티</v>
          </cell>
          <cell r="D34" t="str">
            <v>D200 MM</v>
          </cell>
          <cell r="E34" t="str">
            <v>개</v>
          </cell>
          <cell r="F34">
            <v>11</v>
          </cell>
          <cell r="G34">
            <v>98400</v>
          </cell>
          <cell r="H34">
            <v>0</v>
          </cell>
          <cell r="I34">
            <v>0</v>
          </cell>
        </row>
        <row r="35">
          <cell r="A35" t="str">
            <v>0</v>
          </cell>
          <cell r="B35" t="str">
            <v>MMB40308</v>
          </cell>
          <cell r="C35" t="str">
            <v>동 레듀샤</v>
          </cell>
          <cell r="D35" t="str">
            <v>D25 MM</v>
          </cell>
          <cell r="E35" t="str">
            <v>개</v>
          </cell>
          <cell r="F35">
            <v>8</v>
          </cell>
          <cell r="G35">
            <v>212</v>
          </cell>
          <cell r="H35">
            <v>0</v>
          </cell>
          <cell r="I35">
            <v>0</v>
          </cell>
        </row>
        <row r="36">
          <cell r="A36" t="str">
            <v>0</v>
          </cell>
          <cell r="B36" t="str">
            <v>MMB40315</v>
          </cell>
          <cell r="C36" t="str">
            <v>동 레듀샤</v>
          </cell>
          <cell r="D36" t="str">
            <v>D65 MM</v>
          </cell>
          <cell r="E36" t="str">
            <v>개</v>
          </cell>
          <cell r="F36">
            <v>6</v>
          </cell>
          <cell r="G36">
            <v>1626</v>
          </cell>
          <cell r="H36">
            <v>0</v>
          </cell>
          <cell r="I36">
            <v>0</v>
          </cell>
        </row>
        <row r="37">
          <cell r="A37" t="str">
            <v>0</v>
          </cell>
          <cell r="B37" t="str">
            <v>MMB40320</v>
          </cell>
          <cell r="C37" t="str">
            <v>동 레듀샤</v>
          </cell>
          <cell r="D37" t="str">
            <v>D125 MM</v>
          </cell>
          <cell r="E37" t="str">
            <v>개</v>
          </cell>
          <cell r="F37">
            <v>9</v>
          </cell>
          <cell r="G37">
            <v>18896</v>
          </cell>
          <cell r="H37">
            <v>0</v>
          </cell>
          <cell r="I37">
            <v>0</v>
          </cell>
        </row>
        <row r="38">
          <cell r="A38" t="str">
            <v>0</v>
          </cell>
          <cell r="B38" t="str">
            <v>MMB40322</v>
          </cell>
          <cell r="C38" t="str">
            <v>동 레듀샤</v>
          </cell>
          <cell r="D38" t="str">
            <v>D200 MM</v>
          </cell>
          <cell r="E38" t="str">
            <v>개</v>
          </cell>
          <cell r="F38">
            <v>8</v>
          </cell>
          <cell r="G38">
            <v>42747</v>
          </cell>
          <cell r="H38">
            <v>0</v>
          </cell>
          <cell r="I38">
            <v>0</v>
          </cell>
        </row>
        <row r="39">
          <cell r="A39" t="str">
            <v>0</v>
          </cell>
          <cell r="B39" t="str">
            <v>MMB40408</v>
          </cell>
          <cell r="C39" t="str">
            <v>동 소켓</v>
          </cell>
          <cell r="D39" t="str">
            <v>D25 MM</v>
          </cell>
          <cell r="E39" t="str">
            <v>개</v>
          </cell>
          <cell r="F39">
            <v>8</v>
          </cell>
          <cell r="G39">
            <v>166</v>
          </cell>
          <cell r="H39">
            <v>0</v>
          </cell>
          <cell r="I39">
            <v>0</v>
          </cell>
        </row>
        <row r="40">
          <cell r="A40" t="str">
            <v>0</v>
          </cell>
          <cell r="B40" t="str">
            <v>MMB40413</v>
          </cell>
          <cell r="C40" t="str">
            <v>동 소켓</v>
          </cell>
          <cell r="D40" t="str">
            <v>D50 MM</v>
          </cell>
          <cell r="E40" t="str">
            <v>개</v>
          </cell>
          <cell r="F40">
            <v>6</v>
          </cell>
          <cell r="G40">
            <v>544</v>
          </cell>
          <cell r="H40">
            <v>0</v>
          </cell>
          <cell r="I40">
            <v>0</v>
          </cell>
        </row>
        <row r="41">
          <cell r="A41" t="str">
            <v>0</v>
          </cell>
          <cell r="B41" t="str">
            <v>MMB40421</v>
          </cell>
          <cell r="C41" t="str">
            <v>동 소켓</v>
          </cell>
          <cell r="D41" t="str">
            <v>D150 MM</v>
          </cell>
          <cell r="E41" t="str">
            <v>개</v>
          </cell>
          <cell r="F41">
            <v>2</v>
          </cell>
          <cell r="G41">
            <v>12388</v>
          </cell>
          <cell r="H41">
            <v>0</v>
          </cell>
          <cell r="I41">
            <v>0</v>
          </cell>
        </row>
        <row r="42">
          <cell r="A42" t="str">
            <v>0</v>
          </cell>
          <cell r="B42" t="str">
            <v>MMB40422</v>
          </cell>
          <cell r="C42" t="str">
            <v>동 소켓</v>
          </cell>
          <cell r="D42" t="str">
            <v>D200 MM</v>
          </cell>
          <cell r="E42" t="str">
            <v>개</v>
          </cell>
          <cell r="F42">
            <v>16</v>
          </cell>
          <cell r="G42">
            <v>24981</v>
          </cell>
          <cell r="H42">
            <v>0</v>
          </cell>
          <cell r="I42">
            <v>0</v>
          </cell>
        </row>
        <row r="43">
          <cell r="A43" t="str">
            <v>0</v>
          </cell>
          <cell r="B43" t="str">
            <v>MMB41315</v>
          </cell>
          <cell r="C43" t="str">
            <v>절연후렌지</v>
          </cell>
          <cell r="D43" t="str">
            <v>D65 MM(10K)</v>
          </cell>
          <cell r="E43" t="str">
            <v>개</v>
          </cell>
          <cell r="F43">
            <v>6</v>
          </cell>
          <cell r="G43">
            <v>7017</v>
          </cell>
          <cell r="H43">
            <v>0</v>
          </cell>
          <cell r="I43">
            <v>0</v>
          </cell>
        </row>
        <row r="44">
          <cell r="A44" t="str">
            <v>0</v>
          </cell>
          <cell r="B44" t="str">
            <v>MMB41319</v>
          </cell>
          <cell r="C44" t="str">
            <v>절연후렌지</v>
          </cell>
          <cell r="D44" t="str">
            <v>D100 MM(10K)</v>
          </cell>
          <cell r="E44" t="str">
            <v>개</v>
          </cell>
          <cell r="F44">
            <v>8</v>
          </cell>
          <cell r="G44">
            <v>11696</v>
          </cell>
          <cell r="H44">
            <v>0</v>
          </cell>
          <cell r="I44">
            <v>0</v>
          </cell>
        </row>
        <row r="45">
          <cell r="A45" t="str">
            <v>0</v>
          </cell>
          <cell r="B45" t="str">
            <v>MMB41320</v>
          </cell>
          <cell r="C45" t="str">
            <v>절연후렌지</v>
          </cell>
          <cell r="D45" t="str">
            <v>D125 MM(10K)</v>
          </cell>
          <cell r="E45" t="str">
            <v>개</v>
          </cell>
          <cell r="F45">
            <v>38</v>
          </cell>
          <cell r="G45">
            <v>14623</v>
          </cell>
          <cell r="H45">
            <v>0</v>
          </cell>
          <cell r="I45">
            <v>0</v>
          </cell>
        </row>
        <row r="46">
          <cell r="A46" t="str">
            <v>0</v>
          </cell>
          <cell r="B46" t="str">
            <v>MMB41321</v>
          </cell>
          <cell r="C46" t="str">
            <v>절연후렌지</v>
          </cell>
          <cell r="D46" t="str">
            <v>D150 MM(10K)</v>
          </cell>
          <cell r="E46" t="str">
            <v>개</v>
          </cell>
          <cell r="F46">
            <v>26</v>
          </cell>
          <cell r="G46">
            <v>19750</v>
          </cell>
          <cell r="H46">
            <v>0</v>
          </cell>
          <cell r="I46">
            <v>0</v>
          </cell>
        </row>
        <row r="47">
          <cell r="A47" t="str">
            <v>0</v>
          </cell>
          <cell r="B47" t="str">
            <v>MMB41322</v>
          </cell>
          <cell r="C47" t="str">
            <v>절연후렌지</v>
          </cell>
          <cell r="D47" t="str">
            <v>D200 MM(10K)</v>
          </cell>
          <cell r="E47" t="str">
            <v>개</v>
          </cell>
          <cell r="F47">
            <v>28</v>
          </cell>
          <cell r="G47">
            <v>30987</v>
          </cell>
          <cell r="H47">
            <v>0</v>
          </cell>
          <cell r="I47">
            <v>0</v>
          </cell>
        </row>
        <row r="48">
          <cell r="A48" t="str">
            <v>0</v>
          </cell>
          <cell r="B48" t="str">
            <v>MMB41415</v>
          </cell>
          <cell r="C48" t="str">
            <v>절연후렌지</v>
          </cell>
          <cell r="D48" t="str">
            <v>D65 MM(20K)</v>
          </cell>
          <cell r="E48" t="str">
            <v>개</v>
          </cell>
          <cell r="F48">
            <v>2</v>
          </cell>
          <cell r="G48">
            <v>9824</v>
          </cell>
          <cell r="H48">
            <v>0</v>
          </cell>
          <cell r="I48">
            <v>0</v>
          </cell>
        </row>
        <row r="49">
          <cell r="A49" t="str">
            <v>0</v>
          </cell>
          <cell r="B49" t="str">
            <v>MMB41420</v>
          </cell>
          <cell r="C49" t="str">
            <v>절연후렌지</v>
          </cell>
          <cell r="D49" t="str">
            <v>D125 MM(20K)</v>
          </cell>
          <cell r="E49" t="str">
            <v>개</v>
          </cell>
          <cell r="F49">
            <v>18</v>
          </cell>
          <cell r="G49">
            <v>20473</v>
          </cell>
          <cell r="H49">
            <v>0</v>
          </cell>
          <cell r="I49">
            <v>0</v>
          </cell>
        </row>
        <row r="50">
          <cell r="A50" t="str">
            <v>0</v>
          </cell>
          <cell r="B50" t="str">
            <v>MMB41421</v>
          </cell>
          <cell r="C50" t="str">
            <v>절연후렌지</v>
          </cell>
          <cell r="D50" t="str">
            <v>D150 MM(20K)</v>
          </cell>
          <cell r="E50" t="str">
            <v>개</v>
          </cell>
          <cell r="F50">
            <v>4</v>
          </cell>
          <cell r="G50">
            <v>28658</v>
          </cell>
          <cell r="H50">
            <v>0</v>
          </cell>
          <cell r="I50">
            <v>0</v>
          </cell>
        </row>
        <row r="51">
          <cell r="A51" t="str">
            <v>0</v>
          </cell>
          <cell r="B51" t="str">
            <v>MMB50105</v>
          </cell>
          <cell r="C51" t="str">
            <v>CM아답타</v>
          </cell>
          <cell r="D51" t="str">
            <v>D15 MM</v>
          </cell>
          <cell r="E51" t="str">
            <v>개</v>
          </cell>
          <cell r="F51">
            <v>10</v>
          </cell>
          <cell r="G51">
            <v>176</v>
          </cell>
          <cell r="H51">
            <v>0</v>
          </cell>
          <cell r="I51">
            <v>0</v>
          </cell>
        </row>
        <row r="52">
          <cell r="A52" t="str">
            <v>0</v>
          </cell>
          <cell r="B52" t="str">
            <v>MMB50107</v>
          </cell>
          <cell r="C52" t="str">
            <v>CM아답타</v>
          </cell>
          <cell r="D52" t="str">
            <v>D20 MM</v>
          </cell>
          <cell r="E52" t="str">
            <v>개</v>
          </cell>
          <cell r="F52">
            <v>20</v>
          </cell>
          <cell r="G52">
            <v>351</v>
          </cell>
          <cell r="H52">
            <v>0</v>
          </cell>
          <cell r="I52">
            <v>0</v>
          </cell>
        </row>
        <row r="53">
          <cell r="A53" t="str">
            <v>0</v>
          </cell>
          <cell r="B53" t="str">
            <v>MMB50113</v>
          </cell>
          <cell r="C53" t="str">
            <v>CM아답타</v>
          </cell>
          <cell r="D53" t="str">
            <v>D50 MM</v>
          </cell>
          <cell r="E53" t="str">
            <v>개</v>
          </cell>
          <cell r="F53">
            <v>10</v>
          </cell>
          <cell r="G53">
            <v>2321</v>
          </cell>
          <cell r="H53">
            <v>0</v>
          </cell>
          <cell r="I53">
            <v>0</v>
          </cell>
        </row>
        <row r="54">
          <cell r="A54" t="str">
            <v>0</v>
          </cell>
          <cell r="B54" t="str">
            <v>MMB50205</v>
          </cell>
          <cell r="C54" t="str">
            <v>CF아답타</v>
          </cell>
          <cell r="D54" t="str">
            <v>D15 MM</v>
          </cell>
          <cell r="E54" t="str">
            <v>개</v>
          </cell>
          <cell r="F54">
            <v>4</v>
          </cell>
          <cell r="G54">
            <v>246</v>
          </cell>
          <cell r="H54">
            <v>0</v>
          </cell>
          <cell r="I54">
            <v>0</v>
          </cell>
        </row>
        <row r="55">
          <cell r="A55" t="str">
            <v>0</v>
          </cell>
          <cell r="B55" t="str">
            <v>MMB50208</v>
          </cell>
          <cell r="C55" t="str">
            <v>CF아답타</v>
          </cell>
          <cell r="D55" t="str">
            <v>D25 MM</v>
          </cell>
          <cell r="E55" t="str">
            <v>개</v>
          </cell>
          <cell r="F55">
            <v>1</v>
          </cell>
          <cell r="G55">
            <v>1105</v>
          </cell>
          <cell r="H55">
            <v>0</v>
          </cell>
          <cell r="I55">
            <v>0</v>
          </cell>
        </row>
        <row r="56">
          <cell r="A56" t="str">
            <v>0</v>
          </cell>
          <cell r="B56" t="str">
            <v>MMB50505</v>
          </cell>
          <cell r="C56" t="str">
            <v>CM유니온</v>
          </cell>
          <cell r="D56" t="str">
            <v>D15 MM</v>
          </cell>
          <cell r="E56" t="str">
            <v>개</v>
          </cell>
          <cell r="F56">
            <v>4</v>
          </cell>
          <cell r="G56">
            <v>712</v>
          </cell>
          <cell r="H56">
            <v>0</v>
          </cell>
          <cell r="I56">
            <v>0</v>
          </cell>
        </row>
        <row r="57">
          <cell r="A57" t="str">
            <v>0</v>
          </cell>
          <cell r="B57" t="str">
            <v>MMB50513</v>
          </cell>
          <cell r="C57" t="str">
            <v>CM유니온</v>
          </cell>
          <cell r="D57" t="str">
            <v>D50 MM</v>
          </cell>
          <cell r="E57" t="str">
            <v>개</v>
          </cell>
          <cell r="F57">
            <v>2</v>
          </cell>
          <cell r="G57">
            <v>6460</v>
          </cell>
          <cell r="H57">
            <v>0</v>
          </cell>
          <cell r="I57">
            <v>0</v>
          </cell>
        </row>
        <row r="58">
          <cell r="A58" t="str">
            <v>0</v>
          </cell>
          <cell r="B58" t="str">
            <v>MMB51613</v>
          </cell>
          <cell r="C58" t="str">
            <v>황동 닛플(PT닛플)</v>
          </cell>
          <cell r="D58" t="str">
            <v>D50 MM</v>
          </cell>
          <cell r="E58" t="str">
            <v>개</v>
          </cell>
          <cell r="F58">
            <v>4</v>
          </cell>
          <cell r="G58">
            <v>2480</v>
          </cell>
          <cell r="H58">
            <v>0</v>
          </cell>
          <cell r="I58">
            <v>0</v>
          </cell>
        </row>
        <row r="59">
          <cell r="A59" t="str">
            <v>0</v>
          </cell>
          <cell r="B59" t="str">
            <v>MMC11122</v>
          </cell>
          <cell r="C59" t="str">
            <v>플랜지소켓관(KP식)</v>
          </cell>
          <cell r="D59" t="str">
            <v>D200 MM</v>
          </cell>
          <cell r="E59" t="str">
            <v>개</v>
          </cell>
          <cell r="F59">
            <v>2</v>
          </cell>
          <cell r="G59">
            <v>20412</v>
          </cell>
          <cell r="H59">
            <v>0</v>
          </cell>
          <cell r="I59">
            <v>0</v>
          </cell>
        </row>
        <row r="60">
          <cell r="A60" t="str">
            <v>0</v>
          </cell>
          <cell r="B60" t="str">
            <v>MMF10528</v>
          </cell>
          <cell r="C60" t="str">
            <v>가압급수펌프설치(3대1조)(설치도)</v>
          </cell>
          <cell r="D60" t="str">
            <v>250LPM이하 X 71~  80M</v>
          </cell>
          <cell r="E60" t="str">
            <v>조</v>
          </cell>
          <cell r="F60">
            <v>1</v>
          </cell>
          <cell r="G60">
            <v>9331920</v>
          </cell>
          <cell r="H60">
            <v>0</v>
          </cell>
          <cell r="I60">
            <v>0</v>
          </cell>
        </row>
        <row r="61">
          <cell r="A61" t="str">
            <v>0</v>
          </cell>
          <cell r="B61" t="str">
            <v>MMF10529</v>
          </cell>
          <cell r="C61" t="str">
            <v>가압급수펌프설치(3대1조)(설치도)</v>
          </cell>
          <cell r="D61" t="str">
            <v>250LPM이하 X 81~  90M</v>
          </cell>
          <cell r="E61" t="str">
            <v>조</v>
          </cell>
          <cell r="F61">
            <v>1</v>
          </cell>
          <cell r="G61">
            <v>9830160</v>
          </cell>
          <cell r="H61">
            <v>0</v>
          </cell>
          <cell r="I61">
            <v>0</v>
          </cell>
        </row>
        <row r="62">
          <cell r="A62" t="str">
            <v>0</v>
          </cell>
          <cell r="B62" t="str">
            <v>MMF10537</v>
          </cell>
          <cell r="C62" t="str">
            <v>가압급수펌프설치(3대1조)(설치도)</v>
          </cell>
          <cell r="D62" t="str">
            <v>300LPM이하 X 61~  70M</v>
          </cell>
          <cell r="E62" t="str">
            <v>조</v>
          </cell>
          <cell r="F62">
            <v>1</v>
          </cell>
          <cell r="G62">
            <v>8989920</v>
          </cell>
          <cell r="H62">
            <v>0</v>
          </cell>
          <cell r="I62">
            <v>0</v>
          </cell>
        </row>
        <row r="63">
          <cell r="A63" t="str">
            <v>0</v>
          </cell>
          <cell r="B63" t="str">
            <v>MMF10546</v>
          </cell>
          <cell r="C63" t="str">
            <v>가압급수펌프설치(3대1조)(설치도)</v>
          </cell>
          <cell r="D63" t="str">
            <v>450LPM이하 X 51~  60M</v>
          </cell>
          <cell r="E63" t="str">
            <v>조</v>
          </cell>
          <cell r="F63">
            <v>1</v>
          </cell>
          <cell r="G63">
            <v>9575280</v>
          </cell>
          <cell r="H63">
            <v>0</v>
          </cell>
          <cell r="I63">
            <v>0</v>
          </cell>
        </row>
        <row r="64">
          <cell r="A64" t="str">
            <v>0</v>
          </cell>
          <cell r="B64" t="str">
            <v>MMO10113</v>
          </cell>
          <cell r="C64" t="str">
            <v>파이프 행가</v>
          </cell>
          <cell r="D64" t="str">
            <v>D50 MM</v>
          </cell>
          <cell r="E64" t="str">
            <v>개</v>
          </cell>
          <cell r="F64">
            <v>2</v>
          </cell>
          <cell r="G64">
            <v>288</v>
          </cell>
          <cell r="H64">
            <v>0</v>
          </cell>
          <cell r="I64">
            <v>0</v>
          </cell>
        </row>
        <row r="65">
          <cell r="A65" t="str">
            <v>0</v>
          </cell>
          <cell r="B65" t="str">
            <v>MMO10505</v>
          </cell>
          <cell r="C65" t="str">
            <v>절연 행가</v>
          </cell>
          <cell r="D65" t="str">
            <v>D15 MM</v>
          </cell>
          <cell r="E65" t="str">
            <v>개</v>
          </cell>
          <cell r="F65">
            <v>9</v>
          </cell>
          <cell r="G65">
            <v>360</v>
          </cell>
          <cell r="H65">
            <v>0</v>
          </cell>
          <cell r="I65">
            <v>0</v>
          </cell>
        </row>
        <row r="66">
          <cell r="A66" t="str">
            <v>0</v>
          </cell>
          <cell r="B66" t="str">
            <v>MMO10507</v>
          </cell>
          <cell r="C66" t="str">
            <v>절연 행가</v>
          </cell>
          <cell r="D66" t="str">
            <v>D20 MM</v>
          </cell>
          <cell r="E66" t="str">
            <v>개</v>
          </cell>
          <cell r="F66">
            <v>2</v>
          </cell>
          <cell r="G66">
            <v>396</v>
          </cell>
          <cell r="H66">
            <v>0</v>
          </cell>
          <cell r="I66">
            <v>0</v>
          </cell>
        </row>
        <row r="67">
          <cell r="A67" t="str">
            <v>0</v>
          </cell>
          <cell r="B67" t="str">
            <v>MMZ20121</v>
          </cell>
          <cell r="C67" t="str">
            <v>알루미늄 사다리</v>
          </cell>
          <cell r="D67" t="str">
            <v>3,000H</v>
          </cell>
          <cell r="E67" t="str">
            <v>대</v>
          </cell>
          <cell r="F67">
            <v>2</v>
          </cell>
          <cell r="G67">
            <v>51840</v>
          </cell>
          <cell r="H67">
            <v>0</v>
          </cell>
          <cell r="I67">
            <v>0</v>
          </cell>
        </row>
        <row r="68">
          <cell r="A68" t="str">
            <v>0</v>
          </cell>
          <cell r="B68" t="str">
            <v>MMZ52110</v>
          </cell>
          <cell r="C68" t="str">
            <v>화살표식(PE필름)</v>
          </cell>
          <cell r="D68" t="str">
            <v>50X110</v>
          </cell>
          <cell r="E68" t="str">
            <v>개</v>
          </cell>
          <cell r="F68">
            <v>11</v>
          </cell>
          <cell r="G68">
            <v>720</v>
          </cell>
          <cell r="H68">
            <v>0</v>
          </cell>
          <cell r="I68">
            <v>0</v>
          </cell>
        </row>
        <row r="69">
          <cell r="A69" t="str">
            <v>0</v>
          </cell>
          <cell r="B69" t="str">
            <v>MMZ52112</v>
          </cell>
          <cell r="C69" t="str">
            <v>밸브인식표</v>
          </cell>
          <cell r="D69" t="str">
            <v>60X100X3T</v>
          </cell>
          <cell r="E69" t="str">
            <v>개</v>
          </cell>
          <cell r="F69">
            <v>66</v>
          </cell>
          <cell r="G69">
            <v>1080</v>
          </cell>
          <cell r="H69">
            <v>0</v>
          </cell>
          <cell r="I69">
            <v>0</v>
          </cell>
        </row>
        <row r="70">
          <cell r="A70" t="str">
            <v>0</v>
          </cell>
          <cell r="B70" t="str">
            <v>MMZ52114</v>
          </cell>
          <cell r="C70" t="str">
            <v>장비표식</v>
          </cell>
          <cell r="D70" t="str">
            <v>120X200X3T</v>
          </cell>
          <cell r="E70" t="str">
            <v>개</v>
          </cell>
          <cell r="F70">
            <v>19</v>
          </cell>
          <cell r="G70">
            <v>1800</v>
          </cell>
          <cell r="H70">
            <v>0</v>
          </cell>
          <cell r="I70">
            <v>0</v>
          </cell>
        </row>
        <row r="71">
          <cell r="A71" t="str">
            <v>0</v>
          </cell>
          <cell r="B71" t="str">
            <v>UAA20710</v>
          </cell>
          <cell r="C71" t="str">
            <v>이동식 강관조립 말비계</v>
          </cell>
          <cell r="D71" t="str">
            <v>(6개월 H=2M 1단)</v>
          </cell>
          <cell r="E71" t="str">
            <v>대</v>
          </cell>
          <cell r="F71">
            <v>2</v>
          </cell>
          <cell r="G71">
            <v>11776</v>
          </cell>
          <cell r="H71">
            <v>26988</v>
          </cell>
          <cell r="I71">
            <v>0</v>
          </cell>
        </row>
        <row r="72">
          <cell r="A72" t="str">
            <v>0</v>
          </cell>
          <cell r="B72" t="str">
            <v>UMA54405</v>
          </cell>
          <cell r="C72" t="str">
            <v>동관 기계실 배관</v>
          </cell>
          <cell r="D72" t="str">
            <v>D15 MM, (L TYPE)</v>
          </cell>
          <cell r="E72" t="str">
            <v>M</v>
          </cell>
          <cell r="F72">
            <v>24.66</v>
          </cell>
          <cell r="G72">
            <v>1100</v>
          </cell>
          <cell r="H72">
            <v>1900</v>
          </cell>
          <cell r="I72">
            <v>0</v>
          </cell>
        </row>
        <row r="73">
          <cell r="A73" t="str">
            <v>0</v>
          </cell>
          <cell r="B73" t="str">
            <v>UMA54407</v>
          </cell>
          <cell r="C73" t="str">
            <v>동관 기계실 배관</v>
          </cell>
          <cell r="D73" t="str">
            <v>D20 MM, (L TYPE)</v>
          </cell>
          <cell r="E73" t="str">
            <v>M</v>
          </cell>
          <cell r="F73">
            <v>11.3</v>
          </cell>
          <cell r="G73">
            <v>1700</v>
          </cell>
          <cell r="H73">
            <v>2200</v>
          </cell>
          <cell r="I73">
            <v>0</v>
          </cell>
        </row>
        <row r="74">
          <cell r="A74" t="str">
            <v>0</v>
          </cell>
          <cell r="B74" t="str">
            <v>UMA54408</v>
          </cell>
          <cell r="C74" t="str">
            <v>동관 기계실 배관</v>
          </cell>
          <cell r="D74" t="str">
            <v>D25 MM, (L TYPE)</v>
          </cell>
          <cell r="E74" t="str">
            <v>M</v>
          </cell>
          <cell r="F74">
            <v>2</v>
          </cell>
          <cell r="G74">
            <v>2442</v>
          </cell>
          <cell r="H74">
            <v>2632</v>
          </cell>
          <cell r="I74">
            <v>53</v>
          </cell>
        </row>
        <row r="75">
          <cell r="A75" t="str">
            <v>0</v>
          </cell>
          <cell r="B75" t="str">
            <v>UMA54413</v>
          </cell>
          <cell r="C75" t="str">
            <v>동관 기계실 배관</v>
          </cell>
          <cell r="D75" t="str">
            <v>D50 MM, (L TYPE)</v>
          </cell>
          <cell r="E75" t="str">
            <v>M</v>
          </cell>
          <cell r="F75">
            <v>4.0199999999999996</v>
          </cell>
          <cell r="G75">
            <v>6500</v>
          </cell>
          <cell r="H75">
            <v>4500</v>
          </cell>
          <cell r="I75">
            <v>100</v>
          </cell>
        </row>
        <row r="76">
          <cell r="A76" t="str">
            <v>0</v>
          </cell>
          <cell r="B76" t="str">
            <v>UMA54415</v>
          </cell>
          <cell r="C76" t="str">
            <v>동관 기계실 배관</v>
          </cell>
          <cell r="D76" t="str">
            <v>D65 MM, (L TYPE)</v>
          </cell>
          <cell r="E76" t="str">
            <v>M</v>
          </cell>
          <cell r="F76">
            <v>3</v>
          </cell>
          <cell r="G76">
            <v>9273</v>
          </cell>
          <cell r="H76">
            <v>5802</v>
          </cell>
          <cell r="I76">
            <v>116</v>
          </cell>
        </row>
        <row r="77">
          <cell r="A77" t="str">
            <v>0</v>
          </cell>
          <cell r="B77" t="str">
            <v>UMA54420</v>
          </cell>
          <cell r="C77" t="str">
            <v>동관 기계실 배관</v>
          </cell>
          <cell r="D77" t="str">
            <v>D125 MM, (L TYPE)</v>
          </cell>
          <cell r="E77" t="str">
            <v>M</v>
          </cell>
          <cell r="F77">
            <v>60.04</v>
          </cell>
          <cell r="G77">
            <v>28800</v>
          </cell>
          <cell r="H77">
            <v>14700</v>
          </cell>
          <cell r="I77">
            <v>300</v>
          </cell>
        </row>
        <row r="78">
          <cell r="A78" t="str">
            <v>0</v>
          </cell>
          <cell r="B78" t="str">
            <v>UMA54421</v>
          </cell>
          <cell r="C78" t="str">
            <v>동관 기계실 배관</v>
          </cell>
          <cell r="D78" t="str">
            <v>D150 MM, (L TYPE)</v>
          </cell>
          <cell r="E78" t="str">
            <v>M</v>
          </cell>
          <cell r="F78">
            <v>22.94</v>
          </cell>
          <cell r="G78">
            <v>39400</v>
          </cell>
          <cell r="H78">
            <v>17500</v>
          </cell>
          <cell r="I78">
            <v>300</v>
          </cell>
        </row>
        <row r="79">
          <cell r="A79" t="str">
            <v>0</v>
          </cell>
          <cell r="B79" t="str">
            <v>UMA54422</v>
          </cell>
          <cell r="C79" t="str">
            <v>동관 기계실 배관</v>
          </cell>
          <cell r="D79" t="str">
            <v>D200 MM, (L TYPE)</v>
          </cell>
          <cell r="E79" t="str">
            <v>M</v>
          </cell>
          <cell r="F79">
            <v>78.05</v>
          </cell>
          <cell r="G79">
            <v>79000</v>
          </cell>
          <cell r="H79">
            <v>24400</v>
          </cell>
          <cell r="I79">
            <v>500</v>
          </cell>
        </row>
        <row r="80">
          <cell r="A80" t="str">
            <v>0</v>
          </cell>
          <cell r="B80" t="str">
            <v>UMB10108</v>
          </cell>
          <cell r="C80" t="str">
            <v>주철관KP접합 및 부설</v>
          </cell>
          <cell r="D80" t="str">
            <v>D200</v>
          </cell>
          <cell r="E80" t="str">
            <v>개소</v>
          </cell>
          <cell r="F80">
            <v>2</v>
          </cell>
          <cell r="G80">
            <v>9413</v>
          </cell>
          <cell r="H80">
            <v>30633</v>
          </cell>
          <cell r="I80">
            <v>612</v>
          </cell>
        </row>
        <row r="81">
          <cell r="A81" t="str">
            <v>0</v>
          </cell>
          <cell r="B81" t="str">
            <v>UMC15106</v>
          </cell>
          <cell r="C81" t="str">
            <v>강판 절단 (가스)(수동식)</v>
          </cell>
          <cell r="D81" t="str">
            <v>T= 6MM</v>
          </cell>
          <cell r="E81" t="str">
            <v>M</v>
          </cell>
          <cell r="F81">
            <v>8.44</v>
          </cell>
          <cell r="G81">
            <v>200</v>
          </cell>
          <cell r="H81">
            <v>300</v>
          </cell>
          <cell r="I81">
            <v>0</v>
          </cell>
        </row>
        <row r="82">
          <cell r="A82" t="str">
            <v>0</v>
          </cell>
          <cell r="B82" t="str">
            <v>UMC24108</v>
          </cell>
          <cell r="C82" t="str">
            <v>동관용접 (BRAZING)</v>
          </cell>
          <cell r="D82" t="str">
            <v>D25 MM</v>
          </cell>
          <cell r="E82" t="str">
            <v>개소</v>
          </cell>
          <cell r="F82">
            <v>25</v>
          </cell>
          <cell r="G82">
            <v>174</v>
          </cell>
          <cell r="H82">
            <v>1455</v>
          </cell>
          <cell r="I82">
            <v>29</v>
          </cell>
        </row>
        <row r="83">
          <cell r="A83" t="str">
            <v>0</v>
          </cell>
          <cell r="B83" t="str">
            <v>UMC24113</v>
          </cell>
          <cell r="C83" t="str">
            <v>동관용접 (BRAZING)</v>
          </cell>
          <cell r="D83" t="str">
            <v>D50 MM</v>
          </cell>
          <cell r="E83" t="str">
            <v>개소</v>
          </cell>
          <cell r="F83">
            <v>36</v>
          </cell>
          <cell r="G83">
            <v>444</v>
          </cell>
          <cell r="H83">
            <v>2462</v>
          </cell>
          <cell r="I83">
            <v>49</v>
          </cell>
        </row>
        <row r="84">
          <cell r="A84" t="str">
            <v>0</v>
          </cell>
          <cell r="B84" t="str">
            <v>UMC24115</v>
          </cell>
          <cell r="C84" t="str">
            <v>동관용접 (BRAZING)</v>
          </cell>
          <cell r="D84" t="str">
            <v>D65 MM</v>
          </cell>
          <cell r="E84" t="str">
            <v>개소</v>
          </cell>
          <cell r="F84">
            <v>18</v>
          </cell>
          <cell r="G84">
            <v>579</v>
          </cell>
          <cell r="H84">
            <v>3164</v>
          </cell>
          <cell r="I84">
            <v>63</v>
          </cell>
        </row>
        <row r="85">
          <cell r="A85" t="str">
            <v>0</v>
          </cell>
          <cell r="B85" t="str">
            <v>UMC24119</v>
          </cell>
          <cell r="C85" t="str">
            <v>동관용접 (BRAZING)</v>
          </cell>
          <cell r="D85" t="str">
            <v>D100 MM</v>
          </cell>
          <cell r="E85" t="str">
            <v>개소</v>
          </cell>
          <cell r="F85">
            <v>16</v>
          </cell>
          <cell r="G85">
            <v>1315</v>
          </cell>
          <cell r="H85">
            <v>5174</v>
          </cell>
          <cell r="I85">
            <v>103</v>
          </cell>
        </row>
        <row r="86">
          <cell r="A86" t="str">
            <v>0</v>
          </cell>
          <cell r="B86" t="str">
            <v>UMC24120</v>
          </cell>
          <cell r="C86" t="str">
            <v>동관용접 (BRAZING)</v>
          </cell>
          <cell r="D86" t="str">
            <v>D125 MM</v>
          </cell>
          <cell r="E86" t="str">
            <v>개소</v>
          </cell>
          <cell r="F86">
            <v>176</v>
          </cell>
          <cell r="G86">
            <v>1795</v>
          </cell>
          <cell r="H86">
            <v>6430</v>
          </cell>
          <cell r="I86">
            <v>128</v>
          </cell>
        </row>
        <row r="87">
          <cell r="A87" t="str">
            <v>0</v>
          </cell>
          <cell r="B87" t="str">
            <v>UMC24121</v>
          </cell>
          <cell r="C87" t="str">
            <v>동관용접 (BRAZING)</v>
          </cell>
          <cell r="D87" t="str">
            <v>D150 MM</v>
          </cell>
          <cell r="E87" t="str">
            <v>개소</v>
          </cell>
          <cell r="F87">
            <v>85</v>
          </cell>
          <cell r="G87">
            <v>2706</v>
          </cell>
          <cell r="H87">
            <v>9091</v>
          </cell>
          <cell r="I87">
            <v>181</v>
          </cell>
        </row>
        <row r="88">
          <cell r="A88" t="str">
            <v>0</v>
          </cell>
          <cell r="B88" t="str">
            <v>UMC24122</v>
          </cell>
          <cell r="C88" t="str">
            <v>동관용접 (BRAZING)</v>
          </cell>
          <cell r="D88" t="str">
            <v>D200 MM</v>
          </cell>
          <cell r="E88" t="str">
            <v>개소</v>
          </cell>
          <cell r="F88">
            <v>116</v>
          </cell>
          <cell r="G88">
            <v>6268</v>
          </cell>
          <cell r="H88">
            <v>15222</v>
          </cell>
          <cell r="I88">
            <v>304</v>
          </cell>
        </row>
        <row r="89">
          <cell r="A89" t="str">
            <v>0</v>
          </cell>
          <cell r="B89" t="str">
            <v>UMC24305</v>
          </cell>
          <cell r="C89" t="str">
            <v>동관용접 (SOLDERING)</v>
          </cell>
          <cell r="D89" t="str">
            <v>D15 MM</v>
          </cell>
          <cell r="E89" t="str">
            <v>개소</v>
          </cell>
          <cell r="F89">
            <v>50</v>
          </cell>
          <cell r="G89">
            <v>30</v>
          </cell>
          <cell r="H89">
            <v>960</v>
          </cell>
          <cell r="I89">
            <v>19</v>
          </cell>
        </row>
        <row r="90">
          <cell r="A90" t="str">
            <v>0</v>
          </cell>
          <cell r="B90" t="str">
            <v>UMC24307</v>
          </cell>
          <cell r="C90" t="str">
            <v>동관용접 (SOLDERING)</v>
          </cell>
          <cell r="D90" t="str">
            <v>D20 MM</v>
          </cell>
          <cell r="E90" t="str">
            <v>개소</v>
          </cell>
          <cell r="F90">
            <v>36</v>
          </cell>
          <cell r="G90">
            <v>47</v>
          </cell>
          <cell r="H90">
            <v>1108</v>
          </cell>
          <cell r="I90">
            <v>22</v>
          </cell>
        </row>
        <row r="91">
          <cell r="A91" t="str">
            <v>0</v>
          </cell>
          <cell r="B91" t="str">
            <v>UMC28106</v>
          </cell>
          <cell r="C91" t="str">
            <v>강판 전기아크용접(V형)(하향)(수동)</v>
          </cell>
          <cell r="D91" t="str">
            <v>T= 6 MM</v>
          </cell>
          <cell r="E91" t="str">
            <v>M</v>
          </cell>
          <cell r="F91">
            <v>25.42</v>
          </cell>
          <cell r="G91">
            <v>400</v>
          </cell>
          <cell r="H91">
            <v>7400</v>
          </cell>
          <cell r="I91">
            <v>100</v>
          </cell>
        </row>
        <row r="92">
          <cell r="A92" t="str">
            <v>0</v>
          </cell>
          <cell r="B92" t="str">
            <v>UMC38615</v>
          </cell>
          <cell r="C92" t="str">
            <v>절연플랜지접합 부자재</v>
          </cell>
          <cell r="D92" t="str">
            <v>D65 MM</v>
          </cell>
          <cell r="E92" t="str">
            <v>개소</v>
          </cell>
          <cell r="F92">
            <v>8</v>
          </cell>
          <cell r="G92">
            <v>3578</v>
          </cell>
          <cell r="H92">
            <v>0</v>
          </cell>
          <cell r="I92">
            <v>0</v>
          </cell>
        </row>
        <row r="93">
          <cell r="A93" t="str">
            <v>0</v>
          </cell>
          <cell r="B93" t="str">
            <v>UMC38619</v>
          </cell>
          <cell r="C93" t="str">
            <v>절연플랜지접합 부자재</v>
          </cell>
          <cell r="D93" t="str">
            <v>D100 MM</v>
          </cell>
          <cell r="E93" t="str">
            <v>개소</v>
          </cell>
          <cell r="F93">
            <v>8</v>
          </cell>
          <cell r="G93">
            <v>6516</v>
          </cell>
          <cell r="H93">
            <v>0</v>
          </cell>
          <cell r="I93">
            <v>0</v>
          </cell>
        </row>
        <row r="94">
          <cell r="A94" t="str">
            <v>0</v>
          </cell>
          <cell r="B94" t="str">
            <v>UMC38620</v>
          </cell>
          <cell r="C94" t="str">
            <v>절연플랜지접합 부자재</v>
          </cell>
          <cell r="D94" t="str">
            <v>D125 MM</v>
          </cell>
          <cell r="E94" t="str">
            <v>개소</v>
          </cell>
          <cell r="F94">
            <v>56</v>
          </cell>
          <cell r="G94">
            <v>9719</v>
          </cell>
          <cell r="H94">
            <v>0</v>
          </cell>
          <cell r="I94">
            <v>0</v>
          </cell>
        </row>
        <row r="95">
          <cell r="A95" t="str">
            <v>0</v>
          </cell>
          <cell r="B95" t="str">
            <v>UMC38621</v>
          </cell>
          <cell r="C95" t="str">
            <v>절연플랜지접합 부자재</v>
          </cell>
          <cell r="D95" t="str">
            <v>D150 MM</v>
          </cell>
          <cell r="E95" t="str">
            <v>개소</v>
          </cell>
          <cell r="F95">
            <v>30</v>
          </cell>
          <cell r="G95">
            <v>11007</v>
          </cell>
          <cell r="H95">
            <v>0</v>
          </cell>
          <cell r="I95">
            <v>0</v>
          </cell>
        </row>
        <row r="96">
          <cell r="A96" t="str">
            <v>0</v>
          </cell>
          <cell r="B96" t="str">
            <v>UMC38622</v>
          </cell>
          <cell r="C96" t="str">
            <v>절연플랜지접합 부자재</v>
          </cell>
          <cell r="D96" t="str">
            <v>D200 MM</v>
          </cell>
          <cell r="E96" t="str">
            <v>개소</v>
          </cell>
          <cell r="F96">
            <v>28</v>
          </cell>
          <cell r="G96">
            <v>16512</v>
          </cell>
          <cell r="H96">
            <v>0</v>
          </cell>
          <cell r="I96">
            <v>0</v>
          </cell>
        </row>
        <row r="97">
          <cell r="A97" t="str">
            <v>0</v>
          </cell>
          <cell r="B97" t="str">
            <v>UMC90307</v>
          </cell>
          <cell r="C97" t="str">
            <v>동관티뽑기</v>
          </cell>
          <cell r="D97" t="str">
            <v>D20 MM 이하</v>
          </cell>
          <cell r="E97" t="str">
            <v>개소</v>
          </cell>
          <cell r="F97">
            <v>11</v>
          </cell>
          <cell r="G97">
            <v>30</v>
          </cell>
          <cell r="H97">
            <v>1513</v>
          </cell>
          <cell r="I97">
            <v>49</v>
          </cell>
        </row>
        <row r="98">
          <cell r="A98" t="str">
            <v>0</v>
          </cell>
          <cell r="B98" t="str">
            <v>UMD10205</v>
          </cell>
          <cell r="C98" t="str">
            <v>게이트밸브 설치(청동제)</v>
          </cell>
          <cell r="D98" t="str">
            <v>D15 MM, (10KG/CM2)</v>
          </cell>
          <cell r="E98" t="str">
            <v>개소</v>
          </cell>
          <cell r="F98">
            <v>2</v>
          </cell>
          <cell r="G98">
            <v>2642</v>
          </cell>
          <cell r="H98">
            <v>2119</v>
          </cell>
          <cell r="I98">
            <v>42</v>
          </cell>
        </row>
        <row r="99">
          <cell r="A99" t="str">
            <v>0</v>
          </cell>
          <cell r="B99" t="str">
            <v>UMD10213</v>
          </cell>
          <cell r="C99" t="str">
            <v>게이트밸브 설치(청동제)</v>
          </cell>
          <cell r="D99" t="str">
            <v>D50 MM, (10KG/CM2)</v>
          </cell>
          <cell r="E99" t="str">
            <v>개소</v>
          </cell>
          <cell r="F99">
            <v>4</v>
          </cell>
          <cell r="G99">
            <v>17042</v>
          </cell>
          <cell r="H99">
            <v>2119</v>
          </cell>
          <cell r="I99">
            <v>42</v>
          </cell>
        </row>
        <row r="100">
          <cell r="A100" t="str">
            <v>0</v>
          </cell>
          <cell r="B100" t="str">
            <v>UMD10815</v>
          </cell>
          <cell r="C100" t="str">
            <v>에폭시도장게이트밸브 설치(주철)</v>
          </cell>
          <cell r="D100" t="str">
            <v>D65 MM, (10KG/CM2)</v>
          </cell>
          <cell r="E100" t="str">
            <v>개소</v>
          </cell>
          <cell r="F100">
            <v>2</v>
          </cell>
          <cell r="G100">
            <v>40622</v>
          </cell>
          <cell r="H100">
            <v>8808</v>
          </cell>
          <cell r="I100">
            <v>176</v>
          </cell>
        </row>
        <row r="101">
          <cell r="A101" t="str">
            <v>0</v>
          </cell>
          <cell r="B101" t="str">
            <v>UMD10820</v>
          </cell>
          <cell r="C101" t="str">
            <v>에폭시도장게이트밸브 설치(주철)</v>
          </cell>
          <cell r="D101" t="str">
            <v>D125 MM, (10KG/CM2)</v>
          </cell>
          <cell r="E101" t="str">
            <v>개소</v>
          </cell>
          <cell r="F101">
            <v>6</v>
          </cell>
          <cell r="G101">
            <v>91728</v>
          </cell>
          <cell r="H101">
            <v>22329</v>
          </cell>
          <cell r="I101">
            <v>446</v>
          </cell>
        </row>
        <row r="102">
          <cell r="A102" t="str">
            <v>0</v>
          </cell>
          <cell r="B102" t="str">
            <v>UMD10821</v>
          </cell>
          <cell r="C102" t="str">
            <v>에폭시도장게이트밸브 설치(주철)</v>
          </cell>
          <cell r="D102" t="str">
            <v>D150 MM, (10KG/CM2)</v>
          </cell>
          <cell r="E102" t="str">
            <v>개소</v>
          </cell>
          <cell r="F102">
            <v>5</v>
          </cell>
          <cell r="G102">
            <v>131040</v>
          </cell>
          <cell r="H102">
            <v>22329</v>
          </cell>
          <cell r="I102">
            <v>446</v>
          </cell>
        </row>
        <row r="103">
          <cell r="A103" t="str">
            <v>0</v>
          </cell>
          <cell r="B103" t="str">
            <v>UMD10822</v>
          </cell>
          <cell r="C103" t="str">
            <v>에폭시도장게이트밸브 설치(주철)</v>
          </cell>
          <cell r="D103" t="str">
            <v>D200 MM, (10KG/CM2)</v>
          </cell>
          <cell r="E103" t="str">
            <v>개소</v>
          </cell>
          <cell r="F103">
            <v>2</v>
          </cell>
          <cell r="G103">
            <v>216216</v>
          </cell>
          <cell r="H103">
            <v>45012</v>
          </cell>
          <cell r="I103">
            <v>900</v>
          </cell>
        </row>
        <row r="104">
          <cell r="A104" t="str">
            <v>0</v>
          </cell>
          <cell r="B104" t="str">
            <v>UMD10920</v>
          </cell>
          <cell r="C104" t="str">
            <v>에폭시도장게이트밸브 설치(주강)</v>
          </cell>
          <cell r="D104" t="str">
            <v>D125 MM, (20KG/CM2)</v>
          </cell>
          <cell r="E104" t="str">
            <v>개소</v>
          </cell>
          <cell r="F104">
            <v>2</v>
          </cell>
          <cell r="G104">
            <v>365012</v>
          </cell>
          <cell r="H104">
            <v>22329</v>
          </cell>
          <cell r="I104">
            <v>446</v>
          </cell>
        </row>
        <row r="105">
          <cell r="A105" t="str">
            <v>0</v>
          </cell>
          <cell r="B105" t="str">
            <v>UMD13519</v>
          </cell>
          <cell r="C105" t="str">
            <v>에폭시도장바깥나사게이트밸브 설치</v>
          </cell>
          <cell r="D105" t="str">
            <v>D125 MM, (10KG/CM2)</v>
          </cell>
          <cell r="E105" t="str">
            <v>개소</v>
          </cell>
          <cell r="F105">
            <v>3</v>
          </cell>
          <cell r="G105">
            <v>104832</v>
          </cell>
          <cell r="H105">
            <v>22329</v>
          </cell>
          <cell r="I105">
            <v>446</v>
          </cell>
        </row>
        <row r="106">
          <cell r="A106" t="str">
            <v>0</v>
          </cell>
          <cell r="B106" t="str">
            <v>UMD13521</v>
          </cell>
          <cell r="C106" t="str">
            <v>에폭시도장바깥나사게이트밸브 설치</v>
          </cell>
          <cell r="D106" t="str">
            <v>D150 MM, (10KG/CM2)</v>
          </cell>
          <cell r="E106" t="str">
            <v>개소</v>
          </cell>
          <cell r="F106">
            <v>1</v>
          </cell>
          <cell r="G106">
            <v>144144</v>
          </cell>
          <cell r="H106">
            <v>22329</v>
          </cell>
          <cell r="I106">
            <v>446</v>
          </cell>
        </row>
        <row r="107">
          <cell r="A107" t="str">
            <v>0</v>
          </cell>
          <cell r="B107" t="str">
            <v>UMD13557</v>
          </cell>
          <cell r="C107" t="str">
            <v>에폭시도장바깥나사게이트밸브 설치</v>
          </cell>
          <cell r="D107" t="str">
            <v>D125 MM, (20KG/CM2)</v>
          </cell>
          <cell r="E107" t="str">
            <v>개소</v>
          </cell>
          <cell r="F107">
            <v>2</v>
          </cell>
          <cell r="G107">
            <v>365011</v>
          </cell>
          <cell r="H107">
            <v>22329</v>
          </cell>
          <cell r="I107">
            <v>446</v>
          </cell>
        </row>
        <row r="108">
          <cell r="A108" t="str">
            <v>0</v>
          </cell>
          <cell r="B108" t="str">
            <v>UMD16721</v>
          </cell>
          <cell r="C108" t="str">
            <v>에폭시도장글로브밸브 설치(주철제)</v>
          </cell>
          <cell r="D108" t="str">
            <v>D150 MM, (10KG/CM2)</v>
          </cell>
          <cell r="E108" t="str">
            <v>개소</v>
          </cell>
          <cell r="F108">
            <v>2</v>
          </cell>
          <cell r="G108">
            <v>216216</v>
          </cell>
          <cell r="H108">
            <v>22329</v>
          </cell>
          <cell r="I108">
            <v>446</v>
          </cell>
        </row>
        <row r="109">
          <cell r="A109" t="str">
            <v>0</v>
          </cell>
          <cell r="B109" t="str">
            <v>UMD19122</v>
          </cell>
          <cell r="C109" t="str">
            <v>버터플라이밸브 설치(주철제)</v>
          </cell>
          <cell r="D109" t="str">
            <v>D200 MM, (10KG/CM2)</v>
          </cell>
          <cell r="E109" t="str">
            <v>개소</v>
          </cell>
          <cell r="F109">
            <v>8</v>
          </cell>
          <cell r="G109">
            <v>167184</v>
          </cell>
          <cell r="H109">
            <v>45012</v>
          </cell>
          <cell r="I109">
            <v>900</v>
          </cell>
        </row>
        <row r="110">
          <cell r="A110" t="str">
            <v>0</v>
          </cell>
          <cell r="B110" t="str">
            <v>UMD22400</v>
          </cell>
          <cell r="C110" t="str">
            <v>듀얼플레이트첵크밸브설치(충완,엑폭시)</v>
          </cell>
          <cell r="D110" t="str">
            <v>D125 MM, (20KG/CM2)</v>
          </cell>
          <cell r="E110" t="str">
            <v>개소</v>
          </cell>
          <cell r="F110">
            <v>1</v>
          </cell>
          <cell r="G110">
            <v>245808</v>
          </cell>
          <cell r="H110">
            <v>22329</v>
          </cell>
          <cell r="I110">
            <v>446</v>
          </cell>
        </row>
        <row r="111">
          <cell r="A111" t="str">
            <v>0</v>
          </cell>
          <cell r="B111" t="str">
            <v>UMD22401</v>
          </cell>
          <cell r="C111" t="str">
            <v>듀얼플레이트첵크밸브설치(충완,엑폭시)</v>
          </cell>
          <cell r="D111" t="str">
            <v>D150 MM, (20KG/CM2)</v>
          </cell>
          <cell r="E111" t="str">
            <v>개소</v>
          </cell>
          <cell r="F111">
            <v>1</v>
          </cell>
          <cell r="G111">
            <v>357264</v>
          </cell>
          <cell r="H111">
            <v>22329</v>
          </cell>
          <cell r="I111">
            <v>446</v>
          </cell>
        </row>
        <row r="112">
          <cell r="A112" t="str">
            <v>0</v>
          </cell>
          <cell r="B112" t="str">
            <v>UMD25622</v>
          </cell>
          <cell r="C112" t="str">
            <v>에폭시도장스트레이나 설치(주철제)</v>
          </cell>
          <cell r="D112" t="str">
            <v>D200,(10KG/CM2)</v>
          </cell>
          <cell r="E112" t="str">
            <v>개소</v>
          </cell>
          <cell r="F112">
            <v>2</v>
          </cell>
          <cell r="G112">
            <v>179712</v>
          </cell>
          <cell r="H112">
            <v>45012</v>
          </cell>
          <cell r="I112">
            <v>900</v>
          </cell>
        </row>
        <row r="113">
          <cell r="A113" t="str">
            <v>0</v>
          </cell>
          <cell r="B113" t="str">
            <v>UMD25815</v>
          </cell>
          <cell r="C113" t="str">
            <v>에폭시도장스트레이나일체형밸브(주철)</v>
          </cell>
          <cell r="D113" t="str">
            <v>D65,(10KG/CM2)</v>
          </cell>
          <cell r="E113" t="str">
            <v>개소</v>
          </cell>
          <cell r="F113">
            <v>2</v>
          </cell>
          <cell r="G113">
            <v>87797</v>
          </cell>
          <cell r="H113">
            <v>8808</v>
          </cell>
          <cell r="I113">
            <v>176</v>
          </cell>
        </row>
        <row r="114">
          <cell r="A114" t="str">
            <v>0</v>
          </cell>
          <cell r="B114" t="str">
            <v>UMD25820</v>
          </cell>
          <cell r="C114" t="str">
            <v>에폭시도장스트레이나일체형밸브(주철)</v>
          </cell>
          <cell r="D114" t="str">
            <v>D125,(10KG/CM2)</v>
          </cell>
          <cell r="E114" t="str">
            <v>개소</v>
          </cell>
          <cell r="F114">
            <v>5</v>
          </cell>
          <cell r="G114">
            <v>215561</v>
          </cell>
          <cell r="H114">
            <v>22329</v>
          </cell>
          <cell r="I114">
            <v>446</v>
          </cell>
        </row>
        <row r="115">
          <cell r="A115" t="str">
            <v>0</v>
          </cell>
          <cell r="B115" t="str">
            <v>UMD25821</v>
          </cell>
          <cell r="C115" t="str">
            <v>에폭시도장스트레이나일체형밸브(주철)</v>
          </cell>
          <cell r="D115" t="str">
            <v>D150,(10KG/CM2)</v>
          </cell>
          <cell r="E115" t="str">
            <v>개소</v>
          </cell>
          <cell r="F115">
            <v>1</v>
          </cell>
          <cell r="G115">
            <v>304013</v>
          </cell>
          <cell r="H115">
            <v>22329</v>
          </cell>
          <cell r="I115">
            <v>446</v>
          </cell>
        </row>
        <row r="116">
          <cell r="A116" t="str">
            <v>0</v>
          </cell>
          <cell r="B116" t="str">
            <v>UMD25920</v>
          </cell>
          <cell r="C116" t="str">
            <v>에폭시도장스트레이나일체형밸브(주강)</v>
          </cell>
          <cell r="D116" t="str">
            <v>D125,(20KG/CM2)</v>
          </cell>
          <cell r="E116" t="str">
            <v>개소</v>
          </cell>
          <cell r="F116">
            <v>2</v>
          </cell>
          <cell r="G116">
            <v>794102</v>
          </cell>
          <cell r="H116">
            <v>22329</v>
          </cell>
          <cell r="I116">
            <v>446</v>
          </cell>
        </row>
        <row r="117">
          <cell r="A117" t="str">
            <v>0</v>
          </cell>
          <cell r="B117" t="str">
            <v>UMD28705</v>
          </cell>
          <cell r="C117" t="str">
            <v>볼탑설치(청동제)(나사형)</v>
          </cell>
          <cell r="D117" t="str">
            <v>D15 MM</v>
          </cell>
          <cell r="E117" t="str">
            <v>개소</v>
          </cell>
          <cell r="F117">
            <v>4</v>
          </cell>
          <cell r="G117">
            <v>1224</v>
          </cell>
          <cell r="H117">
            <v>2119</v>
          </cell>
          <cell r="I117">
            <v>42</v>
          </cell>
        </row>
        <row r="118">
          <cell r="A118" t="str">
            <v>0</v>
          </cell>
          <cell r="B118" t="str">
            <v>UMD40113</v>
          </cell>
          <cell r="C118" t="str">
            <v>감압밸브 설치</v>
          </cell>
          <cell r="D118" t="str">
            <v>D50 MM, (10KG/CM2)</v>
          </cell>
          <cell r="E118" t="str">
            <v>개소</v>
          </cell>
          <cell r="F118">
            <v>2</v>
          </cell>
          <cell r="G118">
            <v>201600</v>
          </cell>
          <cell r="H118">
            <v>2119</v>
          </cell>
          <cell r="I118">
            <v>42</v>
          </cell>
        </row>
        <row r="119">
          <cell r="A119" t="str">
            <v>0</v>
          </cell>
          <cell r="B119" t="str">
            <v>UMD40119</v>
          </cell>
          <cell r="C119" t="str">
            <v>감압밸브 설치</v>
          </cell>
          <cell r="D119" t="str">
            <v>D100 MM, (10KG/CM2)</v>
          </cell>
          <cell r="E119" t="str">
            <v>개소</v>
          </cell>
          <cell r="F119">
            <v>4</v>
          </cell>
          <cell r="G119">
            <v>648000</v>
          </cell>
          <cell r="H119">
            <v>8808</v>
          </cell>
          <cell r="I119">
            <v>176</v>
          </cell>
        </row>
        <row r="120">
          <cell r="A120" t="str">
            <v>0</v>
          </cell>
          <cell r="B120" t="str">
            <v>UMD43208</v>
          </cell>
          <cell r="C120" t="str">
            <v>안전밸브 설치(주철제)</v>
          </cell>
          <cell r="D120" t="str">
            <v>D25 MM, (10KG/CM2)</v>
          </cell>
          <cell r="E120" t="str">
            <v>개소</v>
          </cell>
          <cell r="F120">
            <v>2</v>
          </cell>
          <cell r="G120">
            <v>36000</v>
          </cell>
          <cell r="H120">
            <v>2119</v>
          </cell>
          <cell r="I120">
            <v>42</v>
          </cell>
        </row>
        <row r="121">
          <cell r="A121" t="str">
            <v>0</v>
          </cell>
          <cell r="B121" t="str">
            <v>UMD46205</v>
          </cell>
          <cell r="C121" t="str">
            <v>황동볼밸브 설치</v>
          </cell>
          <cell r="D121" t="str">
            <v>D15 MM, (10KG/CM2)</v>
          </cell>
          <cell r="E121" t="str">
            <v>개소</v>
          </cell>
          <cell r="F121">
            <v>5</v>
          </cell>
          <cell r="G121">
            <v>1166</v>
          </cell>
          <cell r="H121">
            <v>2119</v>
          </cell>
          <cell r="I121">
            <v>42</v>
          </cell>
        </row>
        <row r="122">
          <cell r="A122" t="str">
            <v>0</v>
          </cell>
          <cell r="B122" t="str">
            <v>UMD46207</v>
          </cell>
          <cell r="C122" t="str">
            <v>황동볼밸브 설치</v>
          </cell>
          <cell r="D122" t="str">
            <v>D20 MM, (10KG/CM2)</v>
          </cell>
          <cell r="E122" t="str">
            <v>개소</v>
          </cell>
          <cell r="F122">
            <v>10</v>
          </cell>
          <cell r="G122">
            <v>1512</v>
          </cell>
          <cell r="H122">
            <v>2119</v>
          </cell>
          <cell r="I122">
            <v>42</v>
          </cell>
        </row>
        <row r="123">
          <cell r="A123" t="str">
            <v>0</v>
          </cell>
          <cell r="B123" t="str">
            <v>UME24205</v>
          </cell>
          <cell r="C123" t="str">
            <v>동관보온(아스팔트휄트,매직T/P)</v>
          </cell>
          <cell r="D123" t="str">
            <v>D=15MM, T=25MM</v>
          </cell>
          <cell r="E123" t="str">
            <v>M</v>
          </cell>
          <cell r="F123">
            <v>18.66</v>
          </cell>
          <cell r="G123">
            <v>900</v>
          </cell>
          <cell r="H123">
            <v>1400</v>
          </cell>
          <cell r="I123">
            <v>0</v>
          </cell>
        </row>
        <row r="124">
          <cell r="A124" t="str">
            <v>0</v>
          </cell>
          <cell r="B124" t="str">
            <v>UME24207</v>
          </cell>
          <cell r="C124" t="str">
            <v>동관보온(아스팔트휄트,매직T/P)</v>
          </cell>
          <cell r="D124" t="str">
            <v>D=20MM, T=25MM</v>
          </cell>
          <cell r="E124" t="str">
            <v>M</v>
          </cell>
          <cell r="F124">
            <v>4.9000000000000004</v>
          </cell>
          <cell r="G124">
            <v>1000</v>
          </cell>
          <cell r="H124">
            <v>1700</v>
          </cell>
          <cell r="I124">
            <v>0</v>
          </cell>
        </row>
        <row r="125">
          <cell r="A125" t="str">
            <v>0</v>
          </cell>
          <cell r="B125" t="str">
            <v>UME24208</v>
          </cell>
          <cell r="C125" t="str">
            <v>동관보온(아스팔트휄트,매직T/P)</v>
          </cell>
          <cell r="D125" t="str">
            <v>D=25MM, T=25MM</v>
          </cell>
          <cell r="E125" t="str">
            <v>M</v>
          </cell>
          <cell r="F125">
            <v>1.6</v>
          </cell>
          <cell r="G125">
            <v>1100</v>
          </cell>
          <cell r="H125">
            <v>2100</v>
          </cell>
          <cell r="I125">
            <v>0</v>
          </cell>
        </row>
        <row r="126">
          <cell r="A126" t="str">
            <v>0</v>
          </cell>
          <cell r="B126" t="str">
            <v>UME24213</v>
          </cell>
          <cell r="C126" t="str">
            <v>동관보온(아스팔트휄트,매직T/P)</v>
          </cell>
          <cell r="D126" t="str">
            <v>D=50MM, T=25MM</v>
          </cell>
          <cell r="E126" t="str">
            <v>M</v>
          </cell>
          <cell r="F126">
            <v>2.92</v>
          </cell>
          <cell r="G126">
            <v>1500</v>
          </cell>
          <cell r="H126">
            <v>2400</v>
          </cell>
          <cell r="I126">
            <v>0</v>
          </cell>
        </row>
        <row r="127">
          <cell r="A127" t="str">
            <v>0</v>
          </cell>
          <cell r="B127" t="str">
            <v>UME24415</v>
          </cell>
          <cell r="C127" t="str">
            <v>동관보온(아스팔트휄트,매직T/P)</v>
          </cell>
          <cell r="D127" t="str">
            <v>D=65MM, T=40MM</v>
          </cell>
          <cell r="E127" t="str">
            <v>M</v>
          </cell>
          <cell r="F127">
            <v>3</v>
          </cell>
          <cell r="G127">
            <v>2676</v>
          </cell>
          <cell r="H127">
            <v>3126</v>
          </cell>
          <cell r="I127">
            <v>62</v>
          </cell>
        </row>
        <row r="128">
          <cell r="A128" t="str">
            <v>0</v>
          </cell>
          <cell r="B128" t="str">
            <v>UME24420</v>
          </cell>
          <cell r="C128" t="str">
            <v>동관보온(아스팔트휄트,매직T/P)</v>
          </cell>
          <cell r="D128" t="str">
            <v>D=125MM, T=40MM</v>
          </cell>
          <cell r="E128" t="str">
            <v>M</v>
          </cell>
          <cell r="F128">
            <v>60.04</v>
          </cell>
          <cell r="G128">
            <v>4024</v>
          </cell>
          <cell r="H128">
            <v>7931</v>
          </cell>
          <cell r="I128">
            <v>158</v>
          </cell>
        </row>
        <row r="129">
          <cell r="A129" t="str">
            <v>0</v>
          </cell>
          <cell r="B129" t="str">
            <v>UME24421</v>
          </cell>
          <cell r="C129" t="str">
            <v>동관보온(아스팔트휄트,매직T/P)</v>
          </cell>
          <cell r="D129" t="str">
            <v>D=150MM, T=40MM</v>
          </cell>
          <cell r="E129" t="str">
            <v>M</v>
          </cell>
          <cell r="F129">
            <v>20.94</v>
          </cell>
          <cell r="G129">
            <v>4900</v>
          </cell>
          <cell r="H129">
            <v>8300</v>
          </cell>
          <cell r="I129">
            <v>200</v>
          </cell>
        </row>
        <row r="130">
          <cell r="A130" t="str">
            <v>0</v>
          </cell>
          <cell r="B130" t="str">
            <v>UME24422</v>
          </cell>
          <cell r="C130" t="str">
            <v>동관보온(아스팔트휄트,매직T/P)</v>
          </cell>
          <cell r="D130" t="str">
            <v>D=200MM, T=40MM</v>
          </cell>
          <cell r="E130" t="str">
            <v>M</v>
          </cell>
          <cell r="F130">
            <v>23.98</v>
          </cell>
          <cell r="G130">
            <v>6100</v>
          </cell>
          <cell r="H130">
            <v>9700</v>
          </cell>
          <cell r="I130">
            <v>200</v>
          </cell>
        </row>
        <row r="131">
          <cell r="A131" t="str">
            <v>0</v>
          </cell>
          <cell r="B131" t="str">
            <v>UME40213</v>
          </cell>
          <cell r="C131" t="str">
            <v>밸브 보온</v>
          </cell>
          <cell r="D131" t="str">
            <v>D=50MM, T=25MM</v>
          </cell>
          <cell r="E131" t="str">
            <v>개소</v>
          </cell>
          <cell r="F131">
            <v>8</v>
          </cell>
          <cell r="G131">
            <v>1447</v>
          </cell>
          <cell r="H131">
            <v>6937</v>
          </cell>
          <cell r="I131">
            <v>0</v>
          </cell>
        </row>
        <row r="132">
          <cell r="A132" t="str">
            <v>0</v>
          </cell>
          <cell r="B132" t="str">
            <v>UME43315</v>
          </cell>
          <cell r="C132" t="str">
            <v>밸브 함석보온(칼라함석)</v>
          </cell>
          <cell r="D132" t="str">
            <v>D65X30T이하</v>
          </cell>
          <cell r="E132" t="str">
            <v>개소</v>
          </cell>
          <cell r="F132">
            <v>4</v>
          </cell>
          <cell r="G132">
            <v>3473</v>
          </cell>
          <cell r="H132">
            <v>41657</v>
          </cell>
          <cell r="I132">
            <v>833</v>
          </cell>
        </row>
        <row r="133">
          <cell r="A133" t="str">
            <v>0</v>
          </cell>
          <cell r="B133" t="str">
            <v>UME43319</v>
          </cell>
          <cell r="C133" t="str">
            <v>밸브 함석보온(칼라함석)</v>
          </cell>
          <cell r="D133" t="str">
            <v>D100X30T이하</v>
          </cell>
          <cell r="E133" t="str">
            <v>개소</v>
          </cell>
          <cell r="F133">
            <v>4</v>
          </cell>
          <cell r="G133">
            <v>4558</v>
          </cell>
          <cell r="H133">
            <v>52762</v>
          </cell>
          <cell r="I133">
            <v>1055</v>
          </cell>
        </row>
        <row r="134">
          <cell r="A134" t="str">
            <v>0</v>
          </cell>
          <cell r="B134" t="str">
            <v>UME43420</v>
          </cell>
          <cell r="C134" t="str">
            <v>밸브 함석보온(칼라함석)</v>
          </cell>
          <cell r="D134" t="str">
            <v>D125X40T이하</v>
          </cell>
          <cell r="E134" t="str">
            <v>개소</v>
          </cell>
          <cell r="F134">
            <v>19</v>
          </cell>
          <cell r="G134">
            <v>5993</v>
          </cell>
          <cell r="H134">
            <v>58393</v>
          </cell>
          <cell r="I134">
            <v>1168</v>
          </cell>
        </row>
        <row r="135">
          <cell r="A135" t="str">
            <v>0</v>
          </cell>
          <cell r="B135" t="str">
            <v>UME43421</v>
          </cell>
          <cell r="C135" t="str">
            <v>밸브 함석보온(칼라함석)</v>
          </cell>
          <cell r="D135" t="str">
            <v>D150X40T이하</v>
          </cell>
          <cell r="E135" t="str">
            <v>개소</v>
          </cell>
          <cell r="F135">
            <v>11</v>
          </cell>
          <cell r="G135">
            <v>6934</v>
          </cell>
          <cell r="H135">
            <v>63637</v>
          </cell>
          <cell r="I135">
            <v>1272</v>
          </cell>
        </row>
        <row r="136">
          <cell r="A136" t="str">
            <v>0</v>
          </cell>
          <cell r="B136" t="str">
            <v>UME43422</v>
          </cell>
          <cell r="C136" t="str">
            <v>밸브 함석보온(칼라함석)</v>
          </cell>
          <cell r="D136" t="str">
            <v>D200X40T이하</v>
          </cell>
          <cell r="E136" t="str">
            <v>개소</v>
          </cell>
          <cell r="F136">
            <v>12</v>
          </cell>
          <cell r="G136">
            <v>9257</v>
          </cell>
          <cell r="H136">
            <v>73629</v>
          </cell>
          <cell r="I136">
            <v>1472</v>
          </cell>
        </row>
        <row r="137">
          <cell r="A137" t="str">
            <v>0</v>
          </cell>
          <cell r="B137" t="str">
            <v>UMF22016</v>
          </cell>
          <cell r="C137" t="str">
            <v>배수용수중펌프설치(배관,충격완화C.V포함)</v>
          </cell>
          <cell r="D137" t="str">
            <v>2HP-2대,D50,탈착장치有</v>
          </cell>
          <cell r="E137" t="str">
            <v>조</v>
          </cell>
          <cell r="F137">
            <v>4</v>
          </cell>
          <cell r="G137">
            <v>1110511</v>
          </cell>
          <cell r="H137">
            <v>217910</v>
          </cell>
          <cell r="I137">
            <v>4355</v>
          </cell>
        </row>
        <row r="138">
          <cell r="A138" t="str">
            <v>0</v>
          </cell>
          <cell r="B138" t="str">
            <v>UMJ30302</v>
          </cell>
          <cell r="C138" t="str">
            <v>배기휀설치(벽식)</v>
          </cell>
          <cell r="D138" t="str">
            <v>1/8HP,93W이하</v>
          </cell>
          <cell r="E138" t="str">
            <v>대</v>
          </cell>
          <cell r="F138">
            <v>2</v>
          </cell>
          <cell r="G138">
            <v>102334</v>
          </cell>
          <cell r="H138">
            <v>23376</v>
          </cell>
          <cell r="I138">
            <v>467</v>
          </cell>
        </row>
        <row r="139">
          <cell r="A139" t="str">
            <v>0</v>
          </cell>
          <cell r="B139" t="str">
            <v>UMJ30803</v>
          </cell>
          <cell r="C139" t="str">
            <v>배기휀설치(펌프실)</v>
          </cell>
          <cell r="D139" t="str">
            <v>1/8HP이하</v>
          </cell>
          <cell r="E139" t="str">
            <v>대</v>
          </cell>
          <cell r="F139">
            <v>2</v>
          </cell>
          <cell r="G139">
            <v>186029</v>
          </cell>
          <cell r="H139">
            <v>20496</v>
          </cell>
          <cell r="I139">
            <v>408</v>
          </cell>
        </row>
        <row r="140">
          <cell r="A140" t="str">
            <v>0</v>
          </cell>
          <cell r="B140" t="str">
            <v>UMN34520</v>
          </cell>
          <cell r="C140" t="str">
            <v>후렉시블죠인트 설치</v>
          </cell>
          <cell r="D140" t="str">
            <v>D125MM, (10KG/CM2)</v>
          </cell>
          <cell r="E140" t="str">
            <v>개소</v>
          </cell>
          <cell r="F140">
            <v>3</v>
          </cell>
          <cell r="G140">
            <v>26244</v>
          </cell>
          <cell r="H140">
            <v>112571</v>
          </cell>
          <cell r="I140">
            <v>2251</v>
          </cell>
        </row>
        <row r="141">
          <cell r="A141" t="str">
            <v>0</v>
          </cell>
          <cell r="B141" t="str">
            <v>UMN34521</v>
          </cell>
          <cell r="C141" t="str">
            <v>후렉시블죠인트 설치</v>
          </cell>
          <cell r="D141" t="str">
            <v>D150MM, (10KG/CM2)</v>
          </cell>
          <cell r="E141" t="str">
            <v>개소</v>
          </cell>
          <cell r="F141">
            <v>1</v>
          </cell>
          <cell r="G141">
            <v>34344</v>
          </cell>
          <cell r="H141">
            <v>154487</v>
          </cell>
          <cell r="I141">
            <v>3090</v>
          </cell>
        </row>
        <row r="142">
          <cell r="A142" t="str">
            <v>0</v>
          </cell>
          <cell r="B142" t="str">
            <v>UMN34620</v>
          </cell>
          <cell r="C142" t="str">
            <v>후렉시블죠인트 설치</v>
          </cell>
          <cell r="D142" t="str">
            <v>D125MM, (20KG/CM2)</v>
          </cell>
          <cell r="E142" t="str">
            <v>개소</v>
          </cell>
          <cell r="F142">
            <v>3</v>
          </cell>
          <cell r="G142">
            <v>44280</v>
          </cell>
          <cell r="H142">
            <v>112571</v>
          </cell>
          <cell r="I142">
            <v>2251</v>
          </cell>
        </row>
        <row r="143">
          <cell r="A143" t="str">
            <v>0</v>
          </cell>
          <cell r="B143" t="str">
            <v>UMN34621</v>
          </cell>
          <cell r="C143" t="str">
            <v>후렉시블죠인트 설치</v>
          </cell>
          <cell r="D143" t="str">
            <v>D150MM, (20KG/CM2)</v>
          </cell>
          <cell r="E143" t="str">
            <v>개소</v>
          </cell>
          <cell r="F143">
            <v>1</v>
          </cell>
          <cell r="G143">
            <v>56880</v>
          </cell>
          <cell r="H143">
            <v>154487</v>
          </cell>
          <cell r="I143">
            <v>3090</v>
          </cell>
        </row>
        <row r="144">
          <cell r="A144" t="str">
            <v>0</v>
          </cell>
          <cell r="B144" t="str">
            <v>UMO21015</v>
          </cell>
          <cell r="C144" t="str">
            <v>앵글가대제작(광명단2회)</v>
          </cell>
          <cell r="D144" t="str">
            <v>75X75X6T</v>
          </cell>
          <cell r="E144" t="str">
            <v>M</v>
          </cell>
          <cell r="F144">
            <v>7.74</v>
          </cell>
          <cell r="G144">
            <v>1900</v>
          </cell>
          <cell r="H144">
            <v>7900</v>
          </cell>
          <cell r="I144">
            <v>200</v>
          </cell>
        </row>
        <row r="145">
          <cell r="A145" t="str">
            <v>0</v>
          </cell>
          <cell r="B145" t="str">
            <v>UMO21020</v>
          </cell>
          <cell r="C145" t="str">
            <v>찬넬가대제작(광명단1,유성2회)</v>
          </cell>
          <cell r="D145" t="str">
            <v>100X50X5T</v>
          </cell>
          <cell r="E145" t="str">
            <v>M</v>
          </cell>
          <cell r="F145">
            <v>39.72</v>
          </cell>
          <cell r="G145">
            <v>3100</v>
          </cell>
          <cell r="H145">
            <v>11400</v>
          </cell>
          <cell r="I145">
            <v>200</v>
          </cell>
        </row>
        <row r="146">
          <cell r="A146" t="str">
            <v>0</v>
          </cell>
          <cell r="B146" t="str">
            <v>UMO21051</v>
          </cell>
          <cell r="C146" t="str">
            <v>감압변지지가대설치</v>
          </cell>
          <cell r="D146" t="str">
            <v>50x50x6T</v>
          </cell>
          <cell r="E146" t="str">
            <v>개소</v>
          </cell>
          <cell r="F146">
            <v>1</v>
          </cell>
          <cell r="G146">
            <v>8883</v>
          </cell>
          <cell r="H146">
            <v>51224</v>
          </cell>
          <cell r="I146">
            <v>1020</v>
          </cell>
        </row>
        <row r="147">
          <cell r="A147" t="str">
            <v>0</v>
          </cell>
          <cell r="B147" t="str">
            <v>UMO21099</v>
          </cell>
          <cell r="C147" t="str">
            <v>배수발브가대설치</v>
          </cell>
          <cell r="D147" t="str">
            <v>D15X1선</v>
          </cell>
          <cell r="E147" t="str">
            <v>개소</v>
          </cell>
          <cell r="F147">
            <v>1</v>
          </cell>
          <cell r="G147">
            <v>523</v>
          </cell>
          <cell r="H147">
            <v>2209</v>
          </cell>
          <cell r="I147">
            <v>44</v>
          </cell>
        </row>
        <row r="148">
          <cell r="A148" t="str">
            <v>0</v>
          </cell>
          <cell r="B148" t="str">
            <v>UMO21110</v>
          </cell>
          <cell r="C148" t="str">
            <v>배수발브가대설치</v>
          </cell>
          <cell r="D148" t="str">
            <v>D20X1선</v>
          </cell>
          <cell r="E148" t="str">
            <v>개소</v>
          </cell>
          <cell r="F148">
            <v>2</v>
          </cell>
          <cell r="G148">
            <v>991</v>
          </cell>
          <cell r="H148">
            <v>3432</v>
          </cell>
          <cell r="I148">
            <v>68</v>
          </cell>
        </row>
        <row r="149">
          <cell r="A149" t="str">
            <v>0</v>
          </cell>
          <cell r="B149" t="str">
            <v>UMO21202</v>
          </cell>
          <cell r="C149" t="str">
            <v>파이프가대 설치(STS)</v>
          </cell>
          <cell r="D149" t="str">
            <v>400Lx500H</v>
          </cell>
          <cell r="E149" t="str">
            <v>개소</v>
          </cell>
          <cell r="F149">
            <v>18</v>
          </cell>
          <cell r="G149">
            <v>8448</v>
          </cell>
          <cell r="H149">
            <v>7358</v>
          </cell>
          <cell r="I149">
            <v>228</v>
          </cell>
        </row>
        <row r="150">
          <cell r="A150" t="str">
            <v>0</v>
          </cell>
          <cell r="B150" t="str">
            <v>UMO21410</v>
          </cell>
          <cell r="C150" t="str">
            <v>플랫폼 제작설치</v>
          </cell>
          <cell r="D150" t="str">
            <v>(펌프실용)</v>
          </cell>
          <cell r="E150" t="str">
            <v>개</v>
          </cell>
          <cell r="F150">
            <v>2</v>
          </cell>
          <cell r="G150">
            <v>225368</v>
          </cell>
          <cell r="H150">
            <v>859470</v>
          </cell>
          <cell r="I150">
            <v>17156</v>
          </cell>
        </row>
        <row r="151">
          <cell r="A151" t="str">
            <v>0</v>
          </cell>
          <cell r="B151" t="str">
            <v>UMO28295</v>
          </cell>
          <cell r="C151" t="str">
            <v>배관받침대</v>
          </cell>
          <cell r="D151" t="str">
            <v>H=300 MM</v>
          </cell>
          <cell r="E151" t="str">
            <v>개소</v>
          </cell>
          <cell r="F151">
            <v>2</v>
          </cell>
          <cell r="G151">
            <v>985</v>
          </cell>
          <cell r="H151">
            <v>7404</v>
          </cell>
          <cell r="I151">
            <v>148</v>
          </cell>
        </row>
        <row r="152">
          <cell r="A152" t="str">
            <v>0</v>
          </cell>
          <cell r="B152" t="str">
            <v>UMO28300</v>
          </cell>
          <cell r="C152" t="str">
            <v>배관받침대</v>
          </cell>
          <cell r="D152" t="str">
            <v>H=500 MM</v>
          </cell>
          <cell r="E152" t="str">
            <v>개소</v>
          </cell>
          <cell r="F152">
            <v>6</v>
          </cell>
          <cell r="G152">
            <v>1167</v>
          </cell>
          <cell r="H152">
            <v>7484</v>
          </cell>
          <cell r="I152">
            <v>149</v>
          </cell>
        </row>
        <row r="153">
          <cell r="A153" t="str">
            <v>0</v>
          </cell>
          <cell r="B153" t="str">
            <v>UMO28305</v>
          </cell>
          <cell r="C153" t="str">
            <v>배관받침대</v>
          </cell>
          <cell r="D153" t="str">
            <v>H=1,000 MM</v>
          </cell>
          <cell r="E153" t="str">
            <v>개소</v>
          </cell>
          <cell r="F153">
            <v>4</v>
          </cell>
          <cell r="G153">
            <v>1848</v>
          </cell>
          <cell r="H153">
            <v>7687</v>
          </cell>
          <cell r="I153">
            <v>153</v>
          </cell>
        </row>
        <row r="154">
          <cell r="A154" t="str">
            <v>0</v>
          </cell>
          <cell r="B154" t="str">
            <v>UMO28503</v>
          </cell>
          <cell r="C154" t="str">
            <v>인서트플레이트(ST)</v>
          </cell>
          <cell r="D154" t="str">
            <v>200X200X9T</v>
          </cell>
          <cell r="E154" t="str">
            <v>개</v>
          </cell>
          <cell r="F154">
            <v>46</v>
          </cell>
          <cell r="G154">
            <v>2256</v>
          </cell>
          <cell r="H154">
            <v>1315</v>
          </cell>
          <cell r="I154">
            <v>26</v>
          </cell>
        </row>
        <row r="155">
          <cell r="A155" t="str">
            <v>0</v>
          </cell>
          <cell r="B155" t="str">
            <v>UMO28506</v>
          </cell>
          <cell r="C155" t="str">
            <v>인서트플레이트(STS)</v>
          </cell>
          <cell r="D155" t="str">
            <v>200X200X9T</v>
          </cell>
          <cell r="E155" t="str">
            <v>개</v>
          </cell>
          <cell r="F155">
            <v>36</v>
          </cell>
          <cell r="G155">
            <v>11160</v>
          </cell>
          <cell r="H155">
            <v>956</v>
          </cell>
          <cell r="I155">
            <v>19</v>
          </cell>
        </row>
        <row r="156">
          <cell r="A156" t="str">
            <v>0</v>
          </cell>
          <cell r="B156" t="str">
            <v>UMO31705</v>
          </cell>
          <cell r="C156" t="str">
            <v>지수판스리브강관제작</v>
          </cell>
          <cell r="D156" t="str">
            <v>D65 M/M</v>
          </cell>
          <cell r="E156" t="str">
            <v>개소</v>
          </cell>
          <cell r="F156">
            <v>4</v>
          </cell>
          <cell r="G156">
            <v>1351</v>
          </cell>
          <cell r="H156">
            <v>7499</v>
          </cell>
          <cell r="I156">
            <v>148</v>
          </cell>
        </row>
        <row r="157">
          <cell r="A157" t="str">
            <v>0</v>
          </cell>
          <cell r="B157" t="str">
            <v>UMO31711</v>
          </cell>
          <cell r="C157" t="str">
            <v>지수판스리브강관제작</v>
          </cell>
          <cell r="D157" t="str">
            <v>D250 M/M</v>
          </cell>
          <cell r="E157" t="str">
            <v>개소</v>
          </cell>
          <cell r="F157">
            <v>2</v>
          </cell>
          <cell r="G157">
            <v>6985</v>
          </cell>
          <cell r="H157">
            <v>23666</v>
          </cell>
          <cell r="I157">
            <v>471</v>
          </cell>
        </row>
        <row r="158">
          <cell r="A158" t="str">
            <v>0</v>
          </cell>
          <cell r="B158" t="str">
            <v>UMO33697</v>
          </cell>
          <cell r="C158" t="str">
            <v>동지수판설치</v>
          </cell>
          <cell r="D158" t="str">
            <v>D25 M/M</v>
          </cell>
          <cell r="E158" t="str">
            <v>개소</v>
          </cell>
          <cell r="F158">
            <v>4</v>
          </cell>
          <cell r="G158">
            <v>21564</v>
          </cell>
          <cell r="H158">
            <v>2030</v>
          </cell>
          <cell r="I158">
            <v>40</v>
          </cell>
        </row>
        <row r="159">
          <cell r="A159" t="str">
            <v>0</v>
          </cell>
          <cell r="B159" t="str">
            <v>UMO33701</v>
          </cell>
          <cell r="C159" t="str">
            <v>동지수판설치</v>
          </cell>
          <cell r="D159" t="str">
            <v>D50 M/M</v>
          </cell>
          <cell r="E159" t="str">
            <v>개소</v>
          </cell>
          <cell r="F159">
            <v>4</v>
          </cell>
          <cell r="G159">
            <v>24463</v>
          </cell>
          <cell r="H159">
            <v>3047</v>
          </cell>
          <cell r="I159">
            <v>60</v>
          </cell>
        </row>
        <row r="160">
          <cell r="A160" t="str">
            <v>0</v>
          </cell>
          <cell r="B160" t="str">
            <v>UMO33706</v>
          </cell>
          <cell r="C160" t="str">
            <v>동지수판설치</v>
          </cell>
          <cell r="D160" t="str">
            <v>D150 M/M</v>
          </cell>
          <cell r="E160" t="str">
            <v>개소</v>
          </cell>
          <cell r="F160">
            <v>2</v>
          </cell>
          <cell r="G160">
            <v>48051</v>
          </cell>
          <cell r="H160">
            <v>9767</v>
          </cell>
          <cell r="I160">
            <v>194</v>
          </cell>
        </row>
        <row r="161">
          <cell r="A161" t="str">
            <v>0</v>
          </cell>
          <cell r="B161" t="str">
            <v>UMO33707</v>
          </cell>
          <cell r="C161" t="str">
            <v>동지수판설치</v>
          </cell>
          <cell r="D161" t="str">
            <v>D200 M/M</v>
          </cell>
          <cell r="E161" t="str">
            <v>개소</v>
          </cell>
          <cell r="F161">
            <v>6</v>
          </cell>
          <cell r="G161">
            <v>77233</v>
          </cell>
          <cell r="H161">
            <v>15942</v>
          </cell>
          <cell r="I161">
            <v>317</v>
          </cell>
        </row>
        <row r="162">
          <cell r="A162" t="str">
            <v>0</v>
          </cell>
          <cell r="B162" t="str">
            <v>UMO60501</v>
          </cell>
          <cell r="C162" t="str">
            <v>MCC 설치기초(기계실 펌프실)</v>
          </cell>
          <cell r="E162" t="str">
            <v>개소</v>
          </cell>
          <cell r="F162">
            <v>2</v>
          </cell>
          <cell r="G162">
            <v>9557</v>
          </cell>
          <cell r="H162">
            <v>27977</v>
          </cell>
          <cell r="I162">
            <v>0</v>
          </cell>
        </row>
        <row r="163">
          <cell r="A163" t="str">
            <v>0</v>
          </cell>
          <cell r="B163" t="str">
            <v>UMP25400</v>
          </cell>
          <cell r="C163" t="str">
            <v>압력계 설치(동관용)</v>
          </cell>
          <cell r="D163" t="str">
            <v>2-35 KG/CM2 이상, D100 M/M</v>
          </cell>
          <cell r="E163" t="str">
            <v>개</v>
          </cell>
          <cell r="F163">
            <v>10</v>
          </cell>
          <cell r="G163">
            <v>3464</v>
          </cell>
          <cell r="H163">
            <v>3079</v>
          </cell>
          <cell r="I163">
            <v>80</v>
          </cell>
        </row>
        <row r="164">
          <cell r="A164" t="str">
            <v>0</v>
          </cell>
          <cell r="B164" t="str">
            <v>UMZ50225</v>
          </cell>
          <cell r="C164" t="str">
            <v>집수정덮개(스틸그레이팅)설치</v>
          </cell>
          <cell r="D164" t="str">
            <v>1,100 X 1,100</v>
          </cell>
          <cell r="E164" t="str">
            <v>개소</v>
          </cell>
          <cell r="F164">
            <v>4</v>
          </cell>
          <cell r="G164">
            <v>36794</v>
          </cell>
          <cell r="H164">
            <v>1831</v>
          </cell>
          <cell r="I164">
            <v>62</v>
          </cell>
        </row>
        <row r="165">
          <cell r="A165" t="str">
            <v>0</v>
          </cell>
          <cell r="B165" t="str">
            <v>UMZ50401</v>
          </cell>
          <cell r="C165" t="str">
            <v>장비반입구뚜껑</v>
          </cell>
          <cell r="D165" t="str">
            <v>1200X1200</v>
          </cell>
          <cell r="E165" t="str">
            <v>개</v>
          </cell>
          <cell r="F165">
            <v>2</v>
          </cell>
          <cell r="G165">
            <v>43423</v>
          </cell>
          <cell r="H165">
            <v>234987</v>
          </cell>
          <cell r="I165">
            <v>4693</v>
          </cell>
        </row>
        <row r="166">
          <cell r="C166" t="str">
            <v>소  계</v>
          </cell>
        </row>
        <row r="168">
          <cell r="C168" t="str">
            <v>*  공동구 급수공사</v>
          </cell>
        </row>
        <row r="169">
          <cell r="A169" t="str">
            <v>0</v>
          </cell>
          <cell r="B169" t="str">
            <v>MMB22111</v>
          </cell>
          <cell r="C169" t="str">
            <v>단열이중엘보(동관용)</v>
          </cell>
          <cell r="D169" t="str">
            <v>D15 x 90</v>
          </cell>
          <cell r="E169" t="str">
            <v>개</v>
          </cell>
          <cell r="F169">
            <v>12</v>
          </cell>
          <cell r="G169">
            <v>28800</v>
          </cell>
          <cell r="H169">
            <v>0</v>
          </cell>
          <cell r="I169">
            <v>0</v>
          </cell>
        </row>
        <row r="170">
          <cell r="A170" t="str">
            <v>0</v>
          </cell>
          <cell r="B170" t="str">
            <v>MMB40105</v>
          </cell>
          <cell r="C170" t="str">
            <v>동 엘보</v>
          </cell>
          <cell r="D170" t="str">
            <v>D15 MM</v>
          </cell>
          <cell r="E170" t="str">
            <v>개</v>
          </cell>
          <cell r="F170">
            <v>47</v>
          </cell>
          <cell r="G170">
            <v>112</v>
          </cell>
          <cell r="H170">
            <v>0</v>
          </cell>
          <cell r="I170">
            <v>0</v>
          </cell>
        </row>
        <row r="171">
          <cell r="A171" t="str">
            <v>0</v>
          </cell>
          <cell r="B171" t="str">
            <v>MMB40112</v>
          </cell>
          <cell r="C171" t="str">
            <v>동 엘보</v>
          </cell>
          <cell r="D171" t="str">
            <v>D40 MM</v>
          </cell>
          <cell r="E171" t="str">
            <v>개</v>
          </cell>
          <cell r="F171">
            <v>3</v>
          </cell>
          <cell r="G171">
            <v>919</v>
          </cell>
          <cell r="H171">
            <v>0</v>
          </cell>
          <cell r="I171">
            <v>0</v>
          </cell>
        </row>
        <row r="172">
          <cell r="A172" t="str">
            <v>0</v>
          </cell>
          <cell r="B172" t="str">
            <v>MMB40115</v>
          </cell>
          <cell r="C172" t="str">
            <v>동 엘보</v>
          </cell>
          <cell r="D172" t="str">
            <v>D65 MM</v>
          </cell>
          <cell r="E172" t="str">
            <v>개</v>
          </cell>
          <cell r="F172">
            <v>75</v>
          </cell>
          <cell r="G172">
            <v>3702</v>
          </cell>
          <cell r="H172">
            <v>0</v>
          </cell>
          <cell r="I172">
            <v>0</v>
          </cell>
        </row>
        <row r="173">
          <cell r="A173" t="str">
            <v>0</v>
          </cell>
          <cell r="B173" t="str">
            <v>MMB40117</v>
          </cell>
          <cell r="C173" t="str">
            <v>동 엘보</v>
          </cell>
          <cell r="D173" t="str">
            <v>D80 MM</v>
          </cell>
          <cell r="E173" t="str">
            <v>개</v>
          </cell>
          <cell r="F173">
            <v>33</v>
          </cell>
          <cell r="G173">
            <v>5903</v>
          </cell>
          <cell r="H173">
            <v>0</v>
          </cell>
          <cell r="I173">
            <v>0</v>
          </cell>
        </row>
        <row r="174">
          <cell r="A174" t="str">
            <v>0</v>
          </cell>
          <cell r="B174" t="str">
            <v>MMB40119</v>
          </cell>
          <cell r="C174" t="str">
            <v>동 엘보</v>
          </cell>
          <cell r="D174" t="str">
            <v>D100 MM</v>
          </cell>
          <cell r="E174" t="str">
            <v>개</v>
          </cell>
          <cell r="F174">
            <v>30</v>
          </cell>
          <cell r="G174">
            <v>13223</v>
          </cell>
          <cell r="H174">
            <v>0</v>
          </cell>
          <cell r="I174">
            <v>0</v>
          </cell>
        </row>
        <row r="175">
          <cell r="A175" t="str">
            <v>0</v>
          </cell>
          <cell r="B175" t="str">
            <v>MMB40120</v>
          </cell>
          <cell r="C175" t="str">
            <v>동 엘보</v>
          </cell>
          <cell r="D175" t="str">
            <v>D125 MM</v>
          </cell>
          <cell r="E175" t="str">
            <v>개</v>
          </cell>
          <cell r="F175">
            <v>20</v>
          </cell>
          <cell r="G175">
            <v>29096</v>
          </cell>
          <cell r="H175">
            <v>0</v>
          </cell>
          <cell r="I175">
            <v>0</v>
          </cell>
        </row>
        <row r="176">
          <cell r="A176" t="str">
            <v>0</v>
          </cell>
          <cell r="B176" t="str">
            <v>MMB40121</v>
          </cell>
          <cell r="C176" t="str">
            <v>동 엘보</v>
          </cell>
          <cell r="D176" t="str">
            <v>D150 MM</v>
          </cell>
          <cell r="E176" t="str">
            <v>개</v>
          </cell>
          <cell r="F176">
            <v>3</v>
          </cell>
          <cell r="G176">
            <v>43398</v>
          </cell>
          <cell r="H176">
            <v>0</v>
          </cell>
          <cell r="I176">
            <v>0</v>
          </cell>
        </row>
        <row r="177">
          <cell r="A177" t="str">
            <v>0</v>
          </cell>
          <cell r="B177" t="str">
            <v>MMB40215</v>
          </cell>
          <cell r="C177" t="str">
            <v>동 티</v>
          </cell>
          <cell r="D177" t="str">
            <v>D65 MM</v>
          </cell>
          <cell r="E177" t="str">
            <v>개</v>
          </cell>
          <cell r="F177">
            <v>5</v>
          </cell>
          <cell r="G177">
            <v>4175</v>
          </cell>
          <cell r="H177">
            <v>0</v>
          </cell>
          <cell r="I177">
            <v>0</v>
          </cell>
        </row>
        <row r="178">
          <cell r="A178" t="str">
            <v>0</v>
          </cell>
          <cell r="B178" t="str">
            <v>MMB40217</v>
          </cell>
          <cell r="C178" t="str">
            <v>동 티</v>
          </cell>
          <cell r="D178" t="str">
            <v>D80 MM</v>
          </cell>
          <cell r="E178" t="str">
            <v>개</v>
          </cell>
          <cell r="F178">
            <v>5</v>
          </cell>
          <cell r="G178">
            <v>8001</v>
          </cell>
          <cell r="H178">
            <v>0</v>
          </cell>
          <cell r="I178">
            <v>0</v>
          </cell>
        </row>
        <row r="179">
          <cell r="A179" t="str">
            <v>0</v>
          </cell>
          <cell r="B179" t="str">
            <v>MMB40219</v>
          </cell>
          <cell r="C179" t="str">
            <v>동 티</v>
          </cell>
          <cell r="D179" t="str">
            <v>D100 MM</v>
          </cell>
          <cell r="E179" t="str">
            <v>개</v>
          </cell>
          <cell r="F179">
            <v>5</v>
          </cell>
          <cell r="G179">
            <v>14578</v>
          </cell>
          <cell r="H179">
            <v>0</v>
          </cell>
          <cell r="I179">
            <v>0</v>
          </cell>
        </row>
        <row r="180">
          <cell r="A180" t="str">
            <v>0</v>
          </cell>
          <cell r="B180" t="str">
            <v>MMB40220</v>
          </cell>
          <cell r="C180" t="str">
            <v>동 티</v>
          </cell>
          <cell r="D180" t="str">
            <v>D125 MM</v>
          </cell>
          <cell r="E180" t="str">
            <v>개</v>
          </cell>
          <cell r="F180">
            <v>5</v>
          </cell>
          <cell r="G180">
            <v>44388</v>
          </cell>
          <cell r="H180">
            <v>0</v>
          </cell>
          <cell r="I180">
            <v>0</v>
          </cell>
        </row>
        <row r="181">
          <cell r="A181" t="str">
            <v>0</v>
          </cell>
          <cell r="B181" t="str">
            <v>MMB40221</v>
          </cell>
          <cell r="C181" t="str">
            <v>동 티</v>
          </cell>
          <cell r="D181" t="str">
            <v>D150 MM</v>
          </cell>
          <cell r="E181" t="str">
            <v>개</v>
          </cell>
          <cell r="F181">
            <v>1</v>
          </cell>
          <cell r="G181">
            <v>61962</v>
          </cell>
          <cell r="H181">
            <v>0</v>
          </cell>
          <cell r="I181">
            <v>0</v>
          </cell>
        </row>
        <row r="182">
          <cell r="A182" t="str">
            <v>0</v>
          </cell>
          <cell r="B182" t="str">
            <v>MMB40317</v>
          </cell>
          <cell r="C182" t="str">
            <v>동 레듀샤</v>
          </cell>
          <cell r="D182" t="str">
            <v>D80 MM</v>
          </cell>
          <cell r="E182" t="str">
            <v>개</v>
          </cell>
          <cell r="F182">
            <v>3</v>
          </cell>
          <cell r="G182">
            <v>2295</v>
          </cell>
          <cell r="H182">
            <v>0</v>
          </cell>
          <cell r="I182">
            <v>0</v>
          </cell>
        </row>
        <row r="183">
          <cell r="A183" t="str">
            <v>0</v>
          </cell>
          <cell r="B183" t="str">
            <v>MMB40319</v>
          </cell>
          <cell r="C183" t="str">
            <v>동 레듀샤</v>
          </cell>
          <cell r="D183" t="str">
            <v>D100 MM</v>
          </cell>
          <cell r="E183" t="str">
            <v>개</v>
          </cell>
          <cell r="F183">
            <v>3</v>
          </cell>
          <cell r="G183">
            <v>5213</v>
          </cell>
          <cell r="H183">
            <v>0</v>
          </cell>
          <cell r="I183">
            <v>0</v>
          </cell>
        </row>
        <row r="184">
          <cell r="A184" t="str">
            <v>0</v>
          </cell>
          <cell r="B184" t="str">
            <v>MMB40320</v>
          </cell>
          <cell r="C184" t="str">
            <v>동 레듀샤</v>
          </cell>
          <cell r="D184" t="str">
            <v>D125 MM</v>
          </cell>
          <cell r="E184" t="str">
            <v>개</v>
          </cell>
          <cell r="F184">
            <v>5</v>
          </cell>
          <cell r="G184">
            <v>18896</v>
          </cell>
          <cell r="H184">
            <v>0</v>
          </cell>
          <cell r="I184">
            <v>0</v>
          </cell>
        </row>
        <row r="185">
          <cell r="A185" t="str">
            <v>0</v>
          </cell>
          <cell r="B185" t="str">
            <v>MMB40321</v>
          </cell>
          <cell r="C185" t="str">
            <v>동 레듀샤</v>
          </cell>
          <cell r="D185" t="str">
            <v>D150 MM</v>
          </cell>
          <cell r="E185" t="str">
            <v>개</v>
          </cell>
          <cell r="F185">
            <v>1</v>
          </cell>
          <cell r="G185">
            <v>24487</v>
          </cell>
          <cell r="H185">
            <v>0</v>
          </cell>
          <cell r="I185">
            <v>0</v>
          </cell>
        </row>
        <row r="186">
          <cell r="A186" t="str">
            <v>0</v>
          </cell>
          <cell r="B186" t="str">
            <v>MMB40405</v>
          </cell>
          <cell r="C186" t="str">
            <v>동 소켓</v>
          </cell>
          <cell r="D186" t="str">
            <v>D15 MM</v>
          </cell>
          <cell r="E186" t="str">
            <v>개</v>
          </cell>
          <cell r="F186">
            <v>6</v>
          </cell>
          <cell r="G186">
            <v>73</v>
          </cell>
          <cell r="H186">
            <v>0</v>
          </cell>
          <cell r="I186">
            <v>0</v>
          </cell>
        </row>
        <row r="187">
          <cell r="A187" t="str">
            <v>0</v>
          </cell>
          <cell r="B187" t="str">
            <v>MMB40412</v>
          </cell>
          <cell r="C187" t="str">
            <v>동 소켓</v>
          </cell>
          <cell r="D187" t="str">
            <v>D40 MM</v>
          </cell>
          <cell r="E187" t="str">
            <v>개</v>
          </cell>
          <cell r="F187">
            <v>2</v>
          </cell>
          <cell r="G187">
            <v>304</v>
          </cell>
          <cell r="H187">
            <v>0</v>
          </cell>
          <cell r="I187">
            <v>0</v>
          </cell>
        </row>
        <row r="188">
          <cell r="A188" t="str">
            <v>0</v>
          </cell>
          <cell r="B188" t="str">
            <v>MMB40415</v>
          </cell>
          <cell r="C188" t="str">
            <v>동 소켓</v>
          </cell>
          <cell r="D188" t="str">
            <v>D65 MM</v>
          </cell>
          <cell r="E188" t="str">
            <v>개</v>
          </cell>
          <cell r="F188">
            <v>39</v>
          </cell>
          <cell r="G188">
            <v>1092</v>
          </cell>
          <cell r="H188">
            <v>0</v>
          </cell>
          <cell r="I188">
            <v>0</v>
          </cell>
        </row>
        <row r="189">
          <cell r="A189" t="str">
            <v>0</v>
          </cell>
          <cell r="B189" t="str">
            <v>MMB40417</v>
          </cell>
          <cell r="C189" t="str">
            <v>동 소켓</v>
          </cell>
          <cell r="D189" t="str">
            <v>D80 MM</v>
          </cell>
          <cell r="E189" t="str">
            <v>개</v>
          </cell>
          <cell r="F189">
            <v>59</v>
          </cell>
          <cell r="G189">
            <v>1783</v>
          </cell>
          <cell r="H189">
            <v>0</v>
          </cell>
          <cell r="I189">
            <v>0</v>
          </cell>
        </row>
        <row r="190">
          <cell r="A190" t="str">
            <v>0</v>
          </cell>
          <cell r="B190" t="str">
            <v>MMB40419</v>
          </cell>
          <cell r="C190" t="str">
            <v>동 소켓</v>
          </cell>
          <cell r="D190" t="str">
            <v>D100 MM</v>
          </cell>
          <cell r="E190" t="str">
            <v>개</v>
          </cell>
          <cell r="F190">
            <v>25</v>
          </cell>
          <cell r="G190">
            <v>4120</v>
          </cell>
          <cell r="H190">
            <v>0</v>
          </cell>
          <cell r="I190">
            <v>0</v>
          </cell>
        </row>
        <row r="191">
          <cell r="A191" t="str">
            <v>0</v>
          </cell>
          <cell r="B191" t="str">
            <v>MMB40420</v>
          </cell>
          <cell r="C191" t="str">
            <v>동 소켓</v>
          </cell>
          <cell r="D191" t="str">
            <v>D125 MM</v>
          </cell>
          <cell r="E191" t="str">
            <v>개</v>
          </cell>
          <cell r="F191">
            <v>29</v>
          </cell>
          <cell r="G191">
            <v>9937</v>
          </cell>
          <cell r="H191">
            <v>0</v>
          </cell>
          <cell r="I191">
            <v>0</v>
          </cell>
        </row>
        <row r="192">
          <cell r="A192" t="str">
            <v>0</v>
          </cell>
          <cell r="B192" t="str">
            <v>MMB40421</v>
          </cell>
          <cell r="C192" t="str">
            <v>동 소켓</v>
          </cell>
          <cell r="D192" t="str">
            <v>D150 MM</v>
          </cell>
          <cell r="E192" t="str">
            <v>개</v>
          </cell>
          <cell r="F192">
            <v>3</v>
          </cell>
          <cell r="G192">
            <v>12388</v>
          </cell>
          <cell r="H192">
            <v>0</v>
          </cell>
          <cell r="I192">
            <v>0</v>
          </cell>
        </row>
        <row r="193">
          <cell r="A193" t="str">
            <v>0</v>
          </cell>
          <cell r="B193" t="str">
            <v>MMB41317</v>
          </cell>
          <cell r="C193" t="str">
            <v>절연후렌지</v>
          </cell>
          <cell r="D193" t="str">
            <v>D80 MM(10K)</v>
          </cell>
          <cell r="E193" t="str">
            <v>개</v>
          </cell>
          <cell r="F193">
            <v>1</v>
          </cell>
          <cell r="G193">
            <v>7999</v>
          </cell>
          <cell r="H193">
            <v>0</v>
          </cell>
          <cell r="I193">
            <v>0</v>
          </cell>
        </row>
        <row r="194">
          <cell r="A194" t="str">
            <v>0</v>
          </cell>
          <cell r="B194" t="str">
            <v>MMB50105</v>
          </cell>
          <cell r="C194" t="str">
            <v>CM아답타</v>
          </cell>
          <cell r="D194" t="str">
            <v>D15 MM</v>
          </cell>
          <cell r="E194" t="str">
            <v>개</v>
          </cell>
          <cell r="F194">
            <v>32</v>
          </cell>
          <cell r="G194">
            <v>176</v>
          </cell>
          <cell r="H194">
            <v>0</v>
          </cell>
          <cell r="I194">
            <v>0</v>
          </cell>
        </row>
        <row r="195">
          <cell r="A195" t="str">
            <v>0</v>
          </cell>
          <cell r="B195" t="str">
            <v>UMA54105</v>
          </cell>
          <cell r="C195" t="str">
            <v>동관 공동구 배관</v>
          </cell>
          <cell r="D195" t="str">
            <v>D15 MM, (L TYPE)</v>
          </cell>
          <cell r="E195" t="str">
            <v>M</v>
          </cell>
          <cell r="F195">
            <v>88</v>
          </cell>
          <cell r="G195">
            <v>1089</v>
          </cell>
          <cell r="H195">
            <v>1284</v>
          </cell>
          <cell r="I195">
            <v>25</v>
          </cell>
        </row>
        <row r="196">
          <cell r="A196" t="str">
            <v>0</v>
          </cell>
          <cell r="B196" t="str">
            <v>UMA54112</v>
          </cell>
          <cell r="C196" t="str">
            <v>동관 공동구 배관</v>
          </cell>
          <cell r="D196" t="str">
            <v>D40 MM, (L TYPE)</v>
          </cell>
          <cell r="E196" t="str">
            <v>M</v>
          </cell>
          <cell r="F196">
            <v>16</v>
          </cell>
          <cell r="G196">
            <v>4231</v>
          </cell>
          <cell r="H196">
            <v>2524</v>
          </cell>
          <cell r="I196">
            <v>50</v>
          </cell>
        </row>
        <row r="197">
          <cell r="A197" t="str">
            <v>0</v>
          </cell>
          <cell r="B197" t="str">
            <v>UMA54115</v>
          </cell>
          <cell r="C197" t="str">
            <v>동관 공동구 배관</v>
          </cell>
          <cell r="D197" t="str">
            <v>D65 MM, (L TYPE)</v>
          </cell>
          <cell r="E197" t="str">
            <v>M</v>
          </cell>
          <cell r="F197">
            <v>338</v>
          </cell>
          <cell r="G197">
            <v>9273</v>
          </cell>
          <cell r="H197">
            <v>4019</v>
          </cell>
          <cell r="I197">
            <v>80</v>
          </cell>
        </row>
        <row r="198">
          <cell r="A198" t="str">
            <v>0</v>
          </cell>
          <cell r="B198" t="str">
            <v>UMA54117</v>
          </cell>
          <cell r="C198" t="str">
            <v>동관 공동구 배관</v>
          </cell>
          <cell r="D198" t="str">
            <v>D80 MM, (L TYPE)</v>
          </cell>
          <cell r="E198" t="str">
            <v>M</v>
          </cell>
          <cell r="F198">
            <v>368.5</v>
          </cell>
          <cell r="G198">
            <v>12600</v>
          </cell>
          <cell r="H198">
            <v>4700</v>
          </cell>
          <cell r="I198">
            <v>100</v>
          </cell>
        </row>
        <row r="199">
          <cell r="A199" t="str">
            <v>0</v>
          </cell>
          <cell r="B199" t="str">
            <v>UMA54119</v>
          </cell>
          <cell r="C199" t="str">
            <v>동관 공동구 배관</v>
          </cell>
          <cell r="D199" t="str">
            <v>D100 MM, (L TYPE)</v>
          </cell>
          <cell r="E199" t="str">
            <v>M</v>
          </cell>
          <cell r="F199">
            <v>163.5</v>
          </cell>
          <cell r="G199">
            <v>20400</v>
          </cell>
          <cell r="H199">
            <v>6900</v>
          </cell>
          <cell r="I199">
            <v>100</v>
          </cell>
        </row>
        <row r="200">
          <cell r="A200" t="str">
            <v>0</v>
          </cell>
          <cell r="B200" t="str">
            <v>UMA54120</v>
          </cell>
          <cell r="C200" t="str">
            <v>동관 공동구 배관</v>
          </cell>
          <cell r="D200" t="str">
            <v>D125 MM, (L TYPE)</v>
          </cell>
          <cell r="E200" t="str">
            <v>M</v>
          </cell>
          <cell r="F200">
            <v>232</v>
          </cell>
          <cell r="G200">
            <v>28833</v>
          </cell>
          <cell r="H200">
            <v>10182</v>
          </cell>
          <cell r="I200">
            <v>203</v>
          </cell>
        </row>
        <row r="201">
          <cell r="A201" t="str">
            <v>0</v>
          </cell>
          <cell r="B201" t="str">
            <v>UMA54121</v>
          </cell>
          <cell r="C201" t="str">
            <v>동관 공동구 배관</v>
          </cell>
          <cell r="D201" t="str">
            <v>D150 MM, (L TYPE)</v>
          </cell>
          <cell r="E201" t="str">
            <v>M</v>
          </cell>
          <cell r="F201">
            <v>22.5</v>
          </cell>
          <cell r="G201">
            <v>39400</v>
          </cell>
          <cell r="H201">
            <v>12100</v>
          </cell>
          <cell r="I201">
            <v>200</v>
          </cell>
        </row>
        <row r="202">
          <cell r="A202" t="str">
            <v>0</v>
          </cell>
          <cell r="B202" t="str">
            <v>UMC24112</v>
          </cell>
          <cell r="C202" t="str">
            <v>동관용접 (BRAZING)</v>
          </cell>
          <cell r="D202" t="str">
            <v>D40 MM</v>
          </cell>
          <cell r="E202" t="str">
            <v>개소</v>
          </cell>
          <cell r="F202">
            <v>13</v>
          </cell>
          <cell r="G202">
            <v>314</v>
          </cell>
          <cell r="H202">
            <v>1958</v>
          </cell>
          <cell r="I202">
            <v>39</v>
          </cell>
        </row>
        <row r="203">
          <cell r="A203" t="str">
            <v>0</v>
          </cell>
          <cell r="B203" t="str">
            <v>UMC24115</v>
          </cell>
          <cell r="C203" t="str">
            <v>동관용접 (BRAZING)</v>
          </cell>
          <cell r="D203" t="str">
            <v>D65 MM</v>
          </cell>
          <cell r="E203" t="str">
            <v>개소</v>
          </cell>
          <cell r="F203">
            <v>245</v>
          </cell>
          <cell r="G203">
            <v>579</v>
          </cell>
          <cell r="H203">
            <v>3164</v>
          </cell>
          <cell r="I203">
            <v>63</v>
          </cell>
        </row>
        <row r="204">
          <cell r="A204" t="str">
            <v>0</v>
          </cell>
          <cell r="B204" t="str">
            <v>UMC24117</v>
          </cell>
          <cell r="C204" t="str">
            <v>동관용접 (BRAZING)</v>
          </cell>
          <cell r="D204" t="str">
            <v>D80 MM</v>
          </cell>
          <cell r="E204" t="str">
            <v>개소</v>
          </cell>
          <cell r="F204">
            <v>208</v>
          </cell>
          <cell r="G204">
            <v>800</v>
          </cell>
          <cell r="H204">
            <v>3668</v>
          </cell>
          <cell r="I204">
            <v>73</v>
          </cell>
        </row>
        <row r="205">
          <cell r="A205" t="str">
            <v>0</v>
          </cell>
          <cell r="B205" t="str">
            <v>UMC24119</v>
          </cell>
          <cell r="C205" t="str">
            <v>동관용접 (BRAZING)</v>
          </cell>
          <cell r="D205" t="str">
            <v>D100 MM</v>
          </cell>
          <cell r="E205" t="str">
            <v>개소</v>
          </cell>
          <cell r="F205">
            <v>131</v>
          </cell>
          <cell r="G205">
            <v>1315</v>
          </cell>
          <cell r="H205">
            <v>5174</v>
          </cell>
          <cell r="I205">
            <v>103</v>
          </cell>
        </row>
        <row r="206">
          <cell r="A206" t="str">
            <v>0</v>
          </cell>
          <cell r="B206" t="str">
            <v>UMC24120</v>
          </cell>
          <cell r="C206" t="str">
            <v>동관용접 (BRAZING)</v>
          </cell>
          <cell r="D206" t="str">
            <v>D125 MM</v>
          </cell>
          <cell r="E206" t="str">
            <v>개소</v>
          </cell>
          <cell r="F206">
            <v>114</v>
          </cell>
          <cell r="G206">
            <v>1795</v>
          </cell>
          <cell r="H206">
            <v>6430</v>
          </cell>
          <cell r="I206">
            <v>128</v>
          </cell>
        </row>
        <row r="207">
          <cell r="A207" t="str">
            <v>0</v>
          </cell>
          <cell r="B207" t="str">
            <v>UMC24121</v>
          </cell>
          <cell r="C207" t="str">
            <v>동관용접 (BRAZING)</v>
          </cell>
          <cell r="D207" t="str">
            <v>D150 MM</v>
          </cell>
          <cell r="E207" t="str">
            <v>개소</v>
          </cell>
          <cell r="F207">
            <v>15</v>
          </cell>
          <cell r="G207">
            <v>2706</v>
          </cell>
          <cell r="H207">
            <v>9091</v>
          </cell>
          <cell r="I207">
            <v>181</v>
          </cell>
        </row>
        <row r="208">
          <cell r="A208" t="str">
            <v>0</v>
          </cell>
          <cell r="B208" t="str">
            <v>UMC24305</v>
          </cell>
          <cell r="C208" t="str">
            <v>동관용접 (SOLDERING)</v>
          </cell>
          <cell r="D208" t="str">
            <v>D15 MM</v>
          </cell>
          <cell r="E208" t="str">
            <v>개소</v>
          </cell>
          <cell r="F208">
            <v>143</v>
          </cell>
          <cell r="G208">
            <v>30</v>
          </cell>
          <cell r="H208">
            <v>960</v>
          </cell>
          <cell r="I208">
            <v>19</v>
          </cell>
        </row>
        <row r="209">
          <cell r="A209" t="str">
            <v>0</v>
          </cell>
          <cell r="B209" t="str">
            <v>UMC40235</v>
          </cell>
          <cell r="C209" t="str">
            <v>동관이중보온관 부설(관포함)</v>
          </cell>
          <cell r="D209" t="str">
            <v>D15(L)(기계부설)</v>
          </cell>
          <cell r="E209" t="str">
            <v>M</v>
          </cell>
          <cell r="F209">
            <v>124.5</v>
          </cell>
          <cell r="G209">
            <v>9200</v>
          </cell>
          <cell r="H209">
            <v>8000</v>
          </cell>
          <cell r="I209">
            <v>200</v>
          </cell>
        </row>
        <row r="210">
          <cell r="A210" t="str">
            <v>0</v>
          </cell>
          <cell r="B210" t="str">
            <v>UMC90307</v>
          </cell>
          <cell r="C210" t="str">
            <v>동관티뽑기</v>
          </cell>
          <cell r="D210" t="str">
            <v>D20 MM 이하</v>
          </cell>
          <cell r="E210" t="str">
            <v>개소</v>
          </cell>
          <cell r="F210">
            <v>11</v>
          </cell>
          <cell r="G210">
            <v>30</v>
          </cell>
          <cell r="H210">
            <v>1513</v>
          </cell>
          <cell r="I210">
            <v>49</v>
          </cell>
        </row>
        <row r="211">
          <cell r="A211" t="str">
            <v>0</v>
          </cell>
          <cell r="B211" t="str">
            <v>UMD46205</v>
          </cell>
          <cell r="C211" t="str">
            <v>황동볼밸브 설치</v>
          </cell>
          <cell r="D211" t="str">
            <v>D15 MM, (10KG/CM2)</v>
          </cell>
          <cell r="E211" t="str">
            <v>개소</v>
          </cell>
          <cell r="F211">
            <v>16</v>
          </cell>
          <cell r="G211">
            <v>1166</v>
          </cell>
          <cell r="H211">
            <v>2119</v>
          </cell>
          <cell r="I211">
            <v>42</v>
          </cell>
        </row>
        <row r="212">
          <cell r="A212" t="str">
            <v>0</v>
          </cell>
          <cell r="B212" t="str">
            <v>UME24205</v>
          </cell>
          <cell r="C212" t="str">
            <v>동관보온(아스팔트휄트,매직T/P)</v>
          </cell>
          <cell r="D212" t="str">
            <v>D=15MM, T=25MM</v>
          </cell>
          <cell r="E212" t="str">
            <v>M</v>
          </cell>
          <cell r="F212">
            <v>68.8</v>
          </cell>
          <cell r="G212">
            <v>900</v>
          </cell>
          <cell r="H212">
            <v>1400</v>
          </cell>
          <cell r="I212">
            <v>0</v>
          </cell>
        </row>
        <row r="213">
          <cell r="A213" t="str">
            <v>0</v>
          </cell>
          <cell r="B213" t="str">
            <v>UME24212</v>
          </cell>
          <cell r="C213" t="str">
            <v>동관보온(아스팔트휄트,매직T/P)</v>
          </cell>
          <cell r="D213" t="str">
            <v>D=40MM, T=25MM</v>
          </cell>
          <cell r="E213" t="str">
            <v>M</v>
          </cell>
          <cell r="F213">
            <v>16</v>
          </cell>
          <cell r="G213">
            <v>1300</v>
          </cell>
          <cell r="H213">
            <v>2440</v>
          </cell>
          <cell r="I213">
            <v>48</v>
          </cell>
        </row>
        <row r="214">
          <cell r="A214" t="str">
            <v>0</v>
          </cell>
          <cell r="B214" t="str">
            <v>UME24215</v>
          </cell>
          <cell r="C214" t="str">
            <v>동관보온(아스팔트휄트,매직T/P)</v>
          </cell>
          <cell r="D214" t="str">
            <v>D=65MM, T=25MM</v>
          </cell>
          <cell r="E214" t="str">
            <v>M</v>
          </cell>
          <cell r="F214">
            <v>338</v>
          </cell>
          <cell r="G214">
            <v>1679</v>
          </cell>
          <cell r="H214">
            <v>3126</v>
          </cell>
          <cell r="I214">
            <v>62</v>
          </cell>
        </row>
        <row r="215">
          <cell r="A215" t="str">
            <v>0</v>
          </cell>
          <cell r="B215" t="str">
            <v>UME24217</v>
          </cell>
          <cell r="C215" t="str">
            <v>동관보온(아스팔트휄트,매직T/P)</v>
          </cell>
          <cell r="D215" t="str">
            <v>D=80MM, T=25MM</v>
          </cell>
          <cell r="E215" t="str">
            <v>M</v>
          </cell>
          <cell r="F215">
            <v>368.5</v>
          </cell>
          <cell r="G215">
            <v>1900</v>
          </cell>
          <cell r="H215">
            <v>3500</v>
          </cell>
          <cell r="I215">
            <v>100</v>
          </cell>
        </row>
        <row r="216">
          <cell r="A216" t="str">
            <v>0</v>
          </cell>
          <cell r="B216" t="str">
            <v>UME24219</v>
          </cell>
          <cell r="C216" t="str">
            <v>동관보온(아스팔트휄트,매직T/P)</v>
          </cell>
          <cell r="D216" t="str">
            <v>D=100MM, T=25MM</v>
          </cell>
          <cell r="E216" t="str">
            <v>M</v>
          </cell>
          <cell r="F216">
            <v>163.5</v>
          </cell>
          <cell r="G216">
            <v>2200</v>
          </cell>
          <cell r="H216">
            <v>4500</v>
          </cell>
          <cell r="I216">
            <v>100</v>
          </cell>
        </row>
        <row r="217">
          <cell r="A217" t="str">
            <v>0</v>
          </cell>
          <cell r="B217" t="str">
            <v>UME24220</v>
          </cell>
          <cell r="C217" t="str">
            <v>동관보온(아스팔트휄트,매직T/P)</v>
          </cell>
          <cell r="D217" t="str">
            <v>D=125MM, T=25MM</v>
          </cell>
          <cell r="E217" t="str">
            <v>M</v>
          </cell>
          <cell r="F217">
            <v>23</v>
          </cell>
          <cell r="G217">
            <v>2619</v>
          </cell>
          <cell r="H217">
            <v>6520</v>
          </cell>
          <cell r="I217">
            <v>130</v>
          </cell>
        </row>
        <row r="218">
          <cell r="A218" t="str">
            <v>0</v>
          </cell>
          <cell r="B218" t="str">
            <v>UME24221</v>
          </cell>
          <cell r="C218" t="str">
            <v>동관보온(아스팔트휄트,매직T/P)</v>
          </cell>
          <cell r="D218" t="str">
            <v>D=150MM, T=25MM</v>
          </cell>
          <cell r="E218" t="str">
            <v>M</v>
          </cell>
          <cell r="F218">
            <v>22.5</v>
          </cell>
          <cell r="G218">
            <v>3000</v>
          </cell>
          <cell r="H218">
            <v>6900</v>
          </cell>
          <cell r="I218">
            <v>100</v>
          </cell>
        </row>
        <row r="219">
          <cell r="A219" t="str">
            <v>0</v>
          </cell>
          <cell r="B219" t="str">
            <v>UME24420</v>
          </cell>
          <cell r="C219" t="str">
            <v>동관보온(아스팔트휄트,매직T/P)</v>
          </cell>
          <cell r="D219" t="str">
            <v>D=125MM, T=40MM</v>
          </cell>
          <cell r="E219" t="str">
            <v>M</v>
          </cell>
          <cell r="F219">
            <v>209</v>
          </cell>
          <cell r="G219">
            <v>4024</v>
          </cell>
          <cell r="H219">
            <v>7931</v>
          </cell>
          <cell r="I219">
            <v>158</v>
          </cell>
        </row>
        <row r="220">
          <cell r="C220" t="str">
            <v>소  계</v>
          </cell>
        </row>
        <row r="222">
          <cell r="C222" t="str">
            <v>* 공동구 지지금구류공사</v>
          </cell>
        </row>
        <row r="223">
          <cell r="A223" t="str">
            <v>0</v>
          </cell>
          <cell r="B223" t="str">
            <v>MGF11251</v>
          </cell>
          <cell r="C223" t="str">
            <v>행가지지봉</v>
          </cell>
          <cell r="D223" t="str">
            <v>9MM(3/8")</v>
          </cell>
          <cell r="E223" t="str">
            <v>M</v>
          </cell>
          <cell r="F223">
            <v>20</v>
          </cell>
          <cell r="G223">
            <v>225</v>
          </cell>
          <cell r="H223">
            <v>0</v>
          </cell>
          <cell r="I223">
            <v>0</v>
          </cell>
        </row>
        <row r="224">
          <cell r="A224" t="str">
            <v>0</v>
          </cell>
          <cell r="B224" t="str">
            <v>MGF11501</v>
          </cell>
          <cell r="C224" t="str">
            <v>U볼 트(D9)</v>
          </cell>
          <cell r="D224" t="str">
            <v>M 15</v>
          </cell>
          <cell r="E224" t="str">
            <v>개</v>
          </cell>
          <cell r="F224">
            <v>8</v>
          </cell>
          <cell r="G224">
            <v>54</v>
          </cell>
          <cell r="H224">
            <v>0</v>
          </cell>
          <cell r="I224">
            <v>0</v>
          </cell>
        </row>
        <row r="225">
          <cell r="A225" t="str">
            <v>0</v>
          </cell>
          <cell r="B225" t="str">
            <v>MGF11508</v>
          </cell>
          <cell r="C225" t="str">
            <v>U볼 트(D9)</v>
          </cell>
          <cell r="D225" t="str">
            <v>M 80</v>
          </cell>
          <cell r="E225" t="str">
            <v>개</v>
          </cell>
          <cell r="F225">
            <v>84</v>
          </cell>
          <cell r="G225">
            <v>96</v>
          </cell>
          <cell r="H225">
            <v>0</v>
          </cell>
          <cell r="I225">
            <v>0</v>
          </cell>
        </row>
        <row r="226">
          <cell r="A226" t="str">
            <v>0</v>
          </cell>
          <cell r="B226" t="str">
            <v>MGF11543</v>
          </cell>
          <cell r="C226" t="str">
            <v>절연U볼트</v>
          </cell>
          <cell r="D226" t="str">
            <v>D 15</v>
          </cell>
          <cell r="E226" t="str">
            <v>개</v>
          </cell>
          <cell r="F226">
            <v>16</v>
          </cell>
          <cell r="G226">
            <v>216</v>
          </cell>
          <cell r="H226">
            <v>0</v>
          </cell>
          <cell r="I226">
            <v>0</v>
          </cell>
        </row>
        <row r="227">
          <cell r="A227" t="str">
            <v>0</v>
          </cell>
          <cell r="B227" t="str">
            <v>MGF11547</v>
          </cell>
          <cell r="C227" t="str">
            <v>절연U볼트</v>
          </cell>
          <cell r="D227" t="str">
            <v>D 40</v>
          </cell>
          <cell r="E227" t="str">
            <v>개</v>
          </cell>
          <cell r="F227">
            <v>4</v>
          </cell>
          <cell r="G227">
            <v>324</v>
          </cell>
          <cell r="H227">
            <v>0</v>
          </cell>
          <cell r="I227">
            <v>0</v>
          </cell>
        </row>
        <row r="228">
          <cell r="A228" t="str">
            <v>0</v>
          </cell>
          <cell r="B228" t="str">
            <v>MGF11549</v>
          </cell>
          <cell r="C228" t="str">
            <v>절연U볼트</v>
          </cell>
          <cell r="D228" t="str">
            <v>D 65</v>
          </cell>
          <cell r="E228" t="str">
            <v>개</v>
          </cell>
          <cell r="F228">
            <v>107</v>
          </cell>
          <cell r="G228">
            <v>504</v>
          </cell>
          <cell r="H228">
            <v>0</v>
          </cell>
          <cell r="I228">
            <v>0</v>
          </cell>
        </row>
        <row r="229">
          <cell r="A229" t="str">
            <v>0</v>
          </cell>
          <cell r="B229" t="str">
            <v>MGF11550</v>
          </cell>
          <cell r="C229" t="str">
            <v>절연U볼트</v>
          </cell>
          <cell r="D229" t="str">
            <v>D 80</v>
          </cell>
          <cell r="E229" t="str">
            <v>개</v>
          </cell>
          <cell r="F229">
            <v>121</v>
          </cell>
          <cell r="G229">
            <v>554</v>
          </cell>
          <cell r="H229">
            <v>0</v>
          </cell>
          <cell r="I229">
            <v>0</v>
          </cell>
        </row>
        <row r="230">
          <cell r="A230" t="str">
            <v>0</v>
          </cell>
          <cell r="B230" t="str">
            <v>MGF11551</v>
          </cell>
          <cell r="C230" t="str">
            <v>절연U볼트</v>
          </cell>
          <cell r="D230" t="str">
            <v>D100</v>
          </cell>
          <cell r="E230" t="str">
            <v>개</v>
          </cell>
          <cell r="F230">
            <v>53</v>
          </cell>
          <cell r="G230">
            <v>648</v>
          </cell>
          <cell r="H230">
            <v>0</v>
          </cell>
          <cell r="I230">
            <v>0</v>
          </cell>
        </row>
        <row r="231">
          <cell r="A231" t="str">
            <v>0</v>
          </cell>
          <cell r="B231" t="str">
            <v>MGF11552</v>
          </cell>
          <cell r="C231" t="str">
            <v>절연U볼트</v>
          </cell>
          <cell r="D231" t="str">
            <v>D125</v>
          </cell>
          <cell r="E231" t="str">
            <v>개</v>
          </cell>
          <cell r="F231">
            <v>75</v>
          </cell>
          <cell r="G231">
            <v>1332</v>
          </cell>
          <cell r="H231">
            <v>0</v>
          </cell>
          <cell r="I231">
            <v>0</v>
          </cell>
        </row>
        <row r="232">
          <cell r="A232" t="str">
            <v>0</v>
          </cell>
          <cell r="B232" t="str">
            <v>MGF11553</v>
          </cell>
          <cell r="C232" t="str">
            <v>절연U볼트</v>
          </cell>
          <cell r="D232" t="str">
            <v>D150</v>
          </cell>
          <cell r="E232" t="str">
            <v>개</v>
          </cell>
          <cell r="F232">
            <v>6</v>
          </cell>
          <cell r="G232">
            <v>1584</v>
          </cell>
          <cell r="H232">
            <v>0</v>
          </cell>
          <cell r="I232">
            <v>0</v>
          </cell>
        </row>
        <row r="233">
          <cell r="A233" t="str">
            <v>0</v>
          </cell>
          <cell r="B233" t="str">
            <v>MGF30505</v>
          </cell>
          <cell r="C233" t="str">
            <v>인서트</v>
          </cell>
          <cell r="D233" t="str">
            <v>D9</v>
          </cell>
          <cell r="E233" t="str">
            <v>개</v>
          </cell>
          <cell r="F233">
            <v>24</v>
          </cell>
          <cell r="G233">
            <v>26</v>
          </cell>
          <cell r="H233">
            <v>0</v>
          </cell>
          <cell r="I233">
            <v>0</v>
          </cell>
        </row>
        <row r="234">
          <cell r="A234" t="str">
            <v>0</v>
          </cell>
          <cell r="B234" t="str">
            <v>MMO10105</v>
          </cell>
          <cell r="C234" t="str">
            <v>파이프 행가</v>
          </cell>
          <cell r="D234" t="str">
            <v>D15 MM</v>
          </cell>
          <cell r="E234" t="str">
            <v>개</v>
          </cell>
          <cell r="F234">
            <v>8</v>
          </cell>
          <cell r="G234">
            <v>144</v>
          </cell>
          <cell r="H234">
            <v>0</v>
          </cell>
          <cell r="I234">
            <v>0</v>
          </cell>
        </row>
        <row r="235">
          <cell r="A235" t="str">
            <v>0</v>
          </cell>
          <cell r="B235" t="str">
            <v>MMO10505</v>
          </cell>
          <cell r="C235" t="str">
            <v>절연 행가</v>
          </cell>
          <cell r="D235" t="str">
            <v>D15 MM</v>
          </cell>
          <cell r="E235" t="str">
            <v>개</v>
          </cell>
          <cell r="F235">
            <v>12</v>
          </cell>
          <cell r="G235">
            <v>360</v>
          </cell>
          <cell r="H235">
            <v>0</v>
          </cell>
          <cell r="I235">
            <v>0</v>
          </cell>
        </row>
        <row r="236">
          <cell r="A236" t="str">
            <v>0</v>
          </cell>
          <cell r="B236" t="str">
            <v>MMO10512</v>
          </cell>
          <cell r="C236" t="str">
            <v>절연 행가</v>
          </cell>
          <cell r="D236" t="str">
            <v>D40 MM</v>
          </cell>
          <cell r="E236" t="str">
            <v>개</v>
          </cell>
          <cell r="F236">
            <v>4</v>
          </cell>
          <cell r="G236">
            <v>540</v>
          </cell>
          <cell r="H236">
            <v>0</v>
          </cell>
          <cell r="I236">
            <v>0</v>
          </cell>
        </row>
        <row r="237">
          <cell r="A237" t="str">
            <v>0</v>
          </cell>
          <cell r="B237" t="str">
            <v>MMZ52110</v>
          </cell>
          <cell r="C237" t="str">
            <v>화살표식(PE필름)</v>
          </cell>
          <cell r="D237" t="str">
            <v>50X110</v>
          </cell>
          <cell r="E237" t="str">
            <v>개</v>
          </cell>
          <cell r="F237">
            <v>111</v>
          </cell>
          <cell r="G237">
            <v>720</v>
          </cell>
          <cell r="H237">
            <v>0</v>
          </cell>
          <cell r="I237">
            <v>0</v>
          </cell>
        </row>
        <row r="238">
          <cell r="A238" t="str">
            <v>0</v>
          </cell>
          <cell r="B238" t="str">
            <v>MMZ52112</v>
          </cell>
          <cell r="C238" t="str">
            <v>밸브인식표</v>
          </cell>
          <cell r="D238" t="str">
            <v>60X100X3T</v>
          </cell>
          <cell r="E238" t="str">
            <v>개</v>
          </cell>
          <cell r="F238">
            <v>2</v>
          </cell>
          <cell r="G238">
            <v>1080</v>
          </cell>
          <cell r="H238">
            <v>0</v>
          </cell>
          <cell r="I238">
            <v>0</v>
          </cell>
        </row>
        <row r="239">
          <cell r="A239" t="str">
            <v>0</v>
          </cell>
          <cell r="B239" t="str">
            <v>UMC15106</v>
          </cell>
          <cell r="C239" t="str">
            <v>강판 절단 (가스)(수동식)</v>
          </cell>
          <cell r="D239" t="str">
            <v>T= 6MM</v>
          </cell>
          <cell r="E239" t="str">
            <v>M</v>
          </cell>
          <cell r="F239">
            <v>81.849999999999994</v>
          </cell>
          <cell r="G239">
            <v>200</v>
          </cell>
          <cell r="H239">
            <v>300</v>
          </cell>
          <cell r="I239">
            <v>0</v>
          </cell>
        </row>
        <row r="240">
          <cell r="A240" t="str">
            <v>0</v>
          </cell>
          <cell r="B240" t="str">
            <v>UMC28106</v>
          </cell>
          <cell r="C240" t="str">
            <v>강판 전기아크용접(V형)(하향)(수동)</v>
          </cell>
          <cell r="D240" t="str">
            <v>T= 6 MM</v>
          </cell>
          <cell r="E240" t="str">
            <v>M</v>
          </cell>
          <cell r="F240">
            <v>278.77</v>
          </cell>
          <cell r="G240">
            <v>400</v>
          </cell>
          <cell r="H240">
            <v>7400</v>
          </cell>
          <cell r="I240">
            <v>100</v>
          </cell>
        </row>
        <row r="241">
          <cell r="A241" t="str">
            <v>0</v>
          </cell>
          <cell r="B241" t="str">
            <v>UMD46205</v>
          </cell>
          <cell r="C241" t="str">
            <v>황동볼밸브 설치</v>
          </cell>
          <cell r="D241" t="str">
            <v>D15 MM, (10KG/CM2)</v>
          </cell>
          <cell r="E241" t="str">
            <v>개소</v>
          </cell>
          <cell r="F241">
            <v>12</v>
          </cell>
          <cell r="G241">
            <v>1166</v>
          </cell>
          <cell r="H241">
            <v>2119</v>
          </cell>
          <cell r="I241">
            <v>42</v>
          </cell>
        </row>
        <row r="242">
          <cell r="A242" t="str">
            <v>0</v>
          </cell>
          <cell r="B242" t="str">
            <v>UMO21015</v>
          </cell>
          <cell r="C242" t="str">
            <v>앵글가대제작(광명단2회)</v>
          </cell>
          <cell r="D242" t="str">
            <v>75X75X6T</v>
          </cell>
          <cell r="E242" t="str">
            <v>M</v>
          </cell>
          <cell r="F242">
            <v>185.75</v>
          </cell>
          <cell r="G242">
            <v>1900</v>
          </cell>
          <cell r="H242">
            <v>7900</v>
          </cell>
          <cell r="I242">
            <v>200</v>
          </cell>
        </row>
        <row r="243">
          <cell r="A243" t="str">
            <v>0</v>
          </cell>
          <cell r="B243" t="str">
            <v>UMO21017</v>
          </cell>
          <cell r="C243" t="str">
            <v>앵글가대제작(광명단1,유성2회)</v>
          </cell>
          <cell r="D243" t="str">
            <v>75X75X6T</v>
          </cell>
          <cell r="E243" t="str">
            <v>M</v>
          </cell>
          <cell r="F243">
            <v>167.9</v>
          </cell>
          <cell r="G243">
            <v>2000</v>
          </cell>
          <cell r="H243">
            <v>8400</v>
          </cell>
          <cell r="I243">
            <v>200</v>
          </cell>
        </row>
        <row r="244">
          <cell r="A244" t="str">
            <v>0</v>
          </cell>
          <cell r="B244" t="str">
            <v>UMO21020</v>
          </cell>
          <cell r="C244" t="str">
            <v>찬넬가대제작(광명단1,유성2회)</v>
          </cell>
          <cell r="D244" t="str">
            <v>100X50X5T</v>
          </cell>
          <cell r="E244" t="str">
            <v>M</v>
          </cell>
          <cell r="F244">
            <v>101.04</v>
          </cell>
          <cell r="G244">
            <v>3100</v>
          </cell>
          <cell r="H244">
            <v>11400</v>
          </cell>
          <cell r="I244">
            <v>200</v>
          </cell>
        </row>
        <row r="245">
          <cell r="A245" t="str">
            <v>0</v>
          </cell>
          <cell r="B245" t="str">
            <v>UMO21101</v>
          </cell>
          <cell r="C245" t="str">
            <v>배수발브가대설치</v>
          </cell>
          <cell r="D245" t="str">
            <v>D15X3선</v>
          </cell>
          <cell r="E245" t="str">
            <v>개소</v>
          </cell>
          <cell r="F245">
            <v>8</v>
          </cell>
          <cell r="G245">
            <v>1327</v>
          </cell>
          <cell r="H245">
            <v>4705</v>
          </cell>
          <cell r="I245">
            <v>94</v>
          </cell>
        </row>
        <row r="246">
          <cell r="A246" t="str">
            <v>0</v>
          </cell>
          <cell r="B246" t="str">
            <v>UMO28503</v>
          </cell>
          <cell r="C246" t="str">
            <v>인서트플레이트(ST)</v>
          </cell>
          <cell r="D246" t="str">
            <v>200X200X9T</v>
          </cell>
          <cell r="E246" t="str">
            <v>개</v>
          </cell>
          <cell r="F246">
            <v>899</v>
          </cell>
          <cell r="G246">
            <v>2256</v>
          </cell>
          <cell r="H246">
            <v>1315</v>
          </cell>
          <cell r="I246">
            <v>26</v>
          </cell>
        </row>
        <row r="247">
          <cell r="A247" t="str">
            <v>0</v>
          </cell>
          <cell r="B247" t="str">
            <v>UMZ50901</v>
          </cell>
          <cell r="C247" t="str">
            <v>공동구 현장정리</v>
          </cell>
          <cell r="D247" t="str">
            <v>공동구 면적</v>
          </cell>
          <cell r="E247" t="str">
            <v>M2</v>
          </cell>
          <cell r="F247">
            <v>580.48</v>
          </cell>
          <cell r="G247">
            <v>0</v>
          </cell>
          <cell r="H247">
            <v>1900</v>
          </cell>
          <cell r="I247">
            <v>0</v>
          </cell>
        </row>
        <row r="248">
          <cell r="C248" t="str">
            <v>소  계</v>
          </cell>
        </row>
        <row r="250">
          <cell r="C250" t="str">
            <v>*  자동제어 펌프실</v>
          </cell>
        </row>
        <row r="251">
          <cell r="A251" t="str">
            <v>0</v>
          </cell>
          <cell r="B251" t="str">
            <v>MCQ33902</v>
          </cell>
          <cell r="C251" t="str">
            <v>공포&amp;핀</v>
          </cell>
          <cell r="E251" t="str">
            <v>SET</v>
          </cell>
          <cell r="F251">
            <v>42</v>
          </cell>
          <cell r="G251">
            <v>223</v>
          </cell>
          <cell r="H251">
            <v>0</v>
          </cell>
          <cell r="I251">
            <v>0</v>
          </cell>
        </row>
        <row r="252">
          <cell r="A252" t="str">
            <v>0</v>
          </cell>
          <cell r="B252" t="str">
            <v>MEA21230</v>
          </cell>
          <cell r="C252" t="str">
            <v>노 말 벤 드</v>
          </cell>
          <cell r="D252" t="str">
            <v>철제 28</v>
          </cell>
          <cell r="E252" t="str">
            <v>개</v>
          </cell>
          <cell r="F252">
            <v>8</v>
          </cell>
          <cell r="G252">
            <v>1145</v>
          </cell>
          <cell r="H252">
            <v>0</v>
          </cell>
          <cell r="I252">
            <v>0</v>
          </cell>
        </row>
        <row r="253">
          <cell r="A253" t="str">
            <v>0</v>
          </cell>
          <cell r="B253" t="str">
            <v>MEA23200</v>
          </cell>
          <cell r="C253" t="str">
            <v>U 크램프(너트포함)</v>
          </cell>
          <cell r="D253" t="str">
            <v>D9 MM</v>
          </cell>
          <cell r="E253" t="str">
            <v>개</v>
          </cell>
          <cell r="F253">
            <v>58</v>
          </cell>
          <cell r="G253">
            <v>112</v>
          </cell>
          <cell r="H253">
            <v>0</v>
          </cell>
          <cell r="I253">
            <v>0</v>
          </cell>
        </row>
        <row r="254">
          <cell r="A254" t="str">
            <v>0</v>
          </cell>
          <cell r="B254" t="str">
            <v>MEA60010</v>
          </cell>
          <cell r="C254" t="str">
            <v>후렉시블전선관용 콘넥타</v>
          </cell>
          <cell r="D254" t="str">
            <v>16</v>
          </cell>
          <cell r="E254" t="str">
            <v>개</v>
          </cell>
          <cell r="F254">
            <v>16</v>
          </cell>
          <cell r="G254">
            <v>302</v>
          </cell>
          <cell r="H254">
            <v>0</v>
          </cell>
          <cell r="I254">
            <v>0</v>
          </cell>
        </row>
        <row r="255">
          <cell r="A255" t="str">
            <v>0</v>
          </cell>
          <cell r="B255" t="str">
            <v>MEA60020</v>
          </cell>
          <cell r="C255" t="str">
            <v>후렉시블전선관용 콘넥타</v>
          </cell>
          <cell r="D255" t="str">
            <v>22</v>
          </cell>
          <cell r="E255" t="str">
            <v>개</v>
          </cell>
          <cell r="F255">
            <v>16</v>
          </cell>
          <cell r="G255">
            <v>439</v>
          </cell>
          <cell r="H255">
            <v>0</v>
          </cell>
          <cell r="I255">
            <v>0</v>
          </cell>
        </row>
        <row r="256">
          <cell r="A256" t="str">
            <v>0</v>
          </cell>
          <cell r="B256" t="str">
            <v>MEJ08230</v>
          </cell>
          <cell r="C256" t="str">
            <v>U 찬넬</v>
          </cell>
          <cell r="D256" t="str">
            <v>용융아연도금23.5X36.5X1.6</v>
          </cell>
          <cell r="E256" t="str">
            <v>M</v>
          </cell>
          <cell r="F256">
            <v>5.94</v>
          </cell>
          <cell r="G256">
            <v>1300</v>
          </cell>
          <cell r="H256">
            <v>0</v>
          </cell>
          <cell r="I256">
            <v>0</v>
          </cell>
        </row>
        <row r="257">
          <cell r="A257" t="str">
            <v>0</v>
          </cell>
          <cell r="B257" t="str">
            <v>UEA02160</v>
          </cell>
          <cell r="C257" t="str">
            <v>강제전선관 배관</v>
          </cell>
          <cell r="D257" t="str">
            <v>아연도 16MM</v>
          </cell>
          <cell r="E257" t="str">
            <v>M</v>
          </cell>
          <cell r="F257">
            <v>40.799999999999997</v>
          </cell>
          <cell r="G257">
            <v>800</v>
          </cell>
          <cell r="H257">
            <v>2600</v>
          </cell>
          <cell r="I257">
            <v>100</v>
          </cell>
        </row>
        <row r="258">
          <cell r="A258" t="str">
            <v>0</v>
          </cell>
          <cell r="B258" t="str">
            <v>UEA02220</v>
          </cell>
          <cell r="C258" t="str">
            <v>강제전선관 배관</v>
          </cell>
          <cell r="D258" t="str">
            <v>아연도 22MM</v>
          </cell>
          <cell r="E258" t="str">
            <v>M</v>
          </cell>
          <cell r="F258">
            <v>40.200000000000003</v>
          </cell>
          <cell r="G258">
            <v>1000</v>
          </cell>
          <cell r="H258">
            <v>3500</v>
          </cell>
          <cell r="I258">
            <v>100</v>
          </cell>
        </row>
        <row r="259">
          <cell r="A259" t="str">
            <v>0</v>
          </cell>
          <cell r="B259" t="str">
            <v>UEA02280</v>
          </cell>
          <cell r="C259" t="str">
            <v>강제전선관 배관</v>
          </cell>
          <cell r="D259" t="str">
            <v>아연도 28MM</v>
          </cell>
          <cell r="E259" t="str">
            <v>M</v>
          </cell>
          <cell r="F259">
            <v>37.799999999999997</v>
          </cell>
          <cell r="G259">
            <v>1400</v>
          </cell>
          <cell r="H259">
            <v>4500</v>
          </cell>
          <cell r="I259">
            <v>100</v>
          </cell>
        </row>
        <row r="260">
          <cell r="A260" t="str">
            <v>0</v>
          </cell>
          <cell r="B260" t="str">
            <v>UEA05160</v>
          </cell>
          <cell r="C260" t="str">
            <v>후렉씨블콘딧드</v>
          </cell>
          <cell r="D260" t="str">
            <v>16MM</v>
          </cell>
          <cell r="E260" t="str">
            <v>M</v>
          </cell>
          <cell r="F260">
            <v>8</v>
          </cell>
          <cell r="G260">
            <v>400</v>
          </cell>
          <cell r="H260">
            <v>1600</v>
          </cell>
          <cell r="I260">
            <v>0</v>
          </cell>
        </row>
        <row r="261">
          <cell r="A261" t="str">
            <v>0</v>
          </cell>
          <cell r="B261" t="str">
            <v>UEA05220</v>
          </cell>
          <cell r="C261" t="str">
            <v>후렉씨블콘딧드</v>
          </cell>
          <cell r="D261" t="str">
            <v>22MM</v>
          </cell>
          <cell r="E261" t="str">
            <v>M</v>
          </cell>
          <cell r="F261">
            <v>8</v>
          </cell>
          <cell r="G261">
            <v>454</v>
          </cell>
          <cell r="H261">
            <v>1987</v>
          </cell>
          <cell r="I261">
            <v>40</v>
          </cell>
        </row>
        <row r="262">
          <cell r="A262" t="str">
            <v>0</v>
          </cell>
          <cell r="B262" t="str">
            <v>UEB01030</v>
          </cell>
          <cell r="C262" t="str">
            <v>관내배선</v>
          </cell>
          <cell r="D262" t="str">
            <v>IV 2.0 MM</v>
          </cell>
          <cell r="E262" t="str">
            <v>M</v>
          </cell>
          <cell r="F262">
            <v>308.39999999999998</v>
          </cell>
          <cell r="G262">
            <v>100</v>
          </cell>
          <cell r="H262">
            <v>200</v>
          </cell>
          <cell r="I262">
            <v>0</v>
          </cell>
        </row>
        <row r="263">
          <cell r="A263" t="str">
            <v>0</v>
          </cell>
          <cell r="B263" t="str">
            <v>UEC20020</v>
          </cell>
          <cell r="C263" t="str">
            <v>제어용케이블신설</v>
          </cell>
          <cell r="D263" t="str">
            <v>CVVS 2.0 MM2 X 2C</v>
          </cell>
          <cell r="E263" t="str">
            <v>M</v>
          </cell>
          <cell r="F263">
            <v>81.8</v>
          </cell>
          <cell r="G263">
            <v>400</v>
          </cell>
          <cell r="H263">
            <v>500</v>
          </cell>
          <cell r="I263">
            <v>0</v>
          </cell>
        </row>
        <row r="264">
          <cell r="A264" t="str">
            <v>0</v>
          </cell>
          <cell r="B264" t="str">
            <v>UEH01090</v>
          </cell>
          <cell r="C264" t="str">
            <v>조인트박스설치</v>
          </cell>
          <cell r="D264" t="str">
            <v>100X100X50</v>
          </cell>
          <cell r="E264" t="str">
            <v>개</v>
          </cell>
          <cell r="F264">
            <v>16</v>
          </cell>
          <cell r="G264">
            <v>463</v>
          </cell>
          <cell r="H264">
            <v>6389</v>
          </cell>
          <cell r="I264">
            <v>127</v>
          </cell>
        </row>
        <row r="265">
          <cell r="A265" t="str">
            <v>0</v>
          </cell>
          <cell r="B265" t="str">
            <v>UEH03330</v>
          </cell>
          <cell r="C265" t="str">
            <v>PULL BOX</v>
          </cell>
          <cell r="D265" t="str">
            <v>300X300X200</v>
          </cell>
          <cell r="E265" t="str">
            <v>개</v>
          </cell>
          <cell r="F265">
            <v>6</v>
          </cell>
          <cell r="G265">
            <v>5890</v>
          </cell>
          <cell r="H265">
            <v>12422</v>
          </cell>
          <cell r="I265">
            <v>248</v>
          </cell>
        </row>
        <row r="266">
          <cell r="A266" t="str">
            <v>0</v>
          </cell>
          <cell r="B266" t="str">
            <v>UMO31160</v>
          </cell>
          <cell r="C266" t="str">
            <v>스리브강관제작(200H)</v>
          </cell>
          <cell r="D266" t="str">
            <v>D100 M/M</v>
          </cell>
          <cell r="E266" t="str">
            <v>개소</v>
          </cell>
          <cell r="F266">
            <v>2</v>
          </cell>
          <cell r="G266">
            <v>1159</v>
          </cell>
          <cell r="H266">
            <v>3154</v>
          </cell>
          <cell r="I266">
            <v>62</v>
          </cell>
        </row>
        <row r="267">
          <cell r="A267" t="str">
            <v>0</v>
          </cell>
          <cell r="B267" t="str">
            <v>UMO31703</v>
          </cell>
          <cell r="C267" t="str">
            <v>지수판스리브강관제작</v>
          </cell>
          <cell r="D267" t="str">
            <v>D40 M/M</v>
          </cell>
          <cell r="E267" t="str">
            <v>개소</v>
          </cell>
          <cell r="F267">
            <v>8</v>
          </cell>
          <cell r="G267">
            <v>793</v>
          </cell>
          <cell r="H267">
            <v>3936</v>
          </cell>
          <cell r="I267">
            <v>78</v>
          </cell>
        </row>
        <row r="268">
          <cell r="C268" t="str">
            <v>소  계</v>
          </cell>
        </row>
        <row r="270">
          <cell r="C270" t="str">
            <v>*  자동제어 공동구</v>
          </cell>
        </row>
        <row r="271">
          <cell r="A271" t="str">
            <v>0</v>
          </cell>
          <cell r="B271" t="str">
            <v>MCQ33902</v>
          </cell>
          <cell r="C271" t="str">
            <v>공포&amp;핀</v>
          </cell>
          <cell r="E271" t="str">
            <v>SET</v>
          </cell>
          <cell r="F271">
            <v>493</v>
          </cell>
          <cell r="G271">
            <v>223</v>
          </cell>
          <cell r="H271">
            <v>0</v>
          </cell>
          <cell r="I271">
            <v>0</v>
          </cell>
        </row>
        <row r="272">
          <cell r="A272" t="str">
            <v>0</v>
          </cell>
          <cell r="B272" t="str">
            <v>MEA21230</v>
          </cell>
          <cell r="C272" t="str">
            <v>노 말 벤 드</v>
          </cell>
          <cell r="D272" t="str">
            <v>철제 28</v>
          </cell>
          <cell r="E272" t="str">
            <v>개</v>
          </cell>
          <cell r="F272">
            <v>23</v>
          </cell>
          <cell r="G272">
            <v>1145</v>
          </cell>
          <cell r="H272">
            <v>0</v>
          </cell>
          <cell r="I272">
            <v>0</v>
          </cell>
        </row>
        <row r="273">
          <cell r="A273" t="str">
            <v>0</v>
          </cell>
          <cell r="B273" t="str">
            <v>MEA21250</v>
          </cell>
          <cell r="C273" t="str">
            <v>노 말 벤 드</v>
          </cell>
          <cell r="D273" t="str">
            <v>철제 42</v>
          </cell>
          <cell r="E273" t="str">
            <v>개</v>
          </cell>
          <cell r="F273">
            <v>25</v>
          </cell>
          <cell r="G273">
            <v>1987</v>
          </cell>
          <cell r="H273">
            <v>0</v>
          </cell>
          <cell r="I273">
            <v>0</v>
          </cell>
        </row>
        <row r="274">
          <cell r="A274" t="str">
            <v>0</v>
          </cell>
          <cell r="B274" t="str">
            <v>MEA23200</v>
          </cell>
          <cell r="C274" t="str">
            <v>U 크램프(너트포함)</v>
          </cell>
          <cell r="D274" t="str">
            <v>D9 MM</v>
          </cell>
          <cell r="E274" t="str">
            <v>개</v>
          </cell>
          <cell r="F274">
            <v>674</v>
          </cell>
          <cell r="G274">
            <v>112</v>
          </cell>
          <cell r="H274">
            <v>0</v>
          </cell>
          <cell r="I274">
            <v>0</v>
          </cell>
        </row>
        <row r="275">
          <cell r="A275" t="str">
            <v>0</v>
          </cell>
          <cell r="B275" t="str">
            <v>MEJ08230</v>
          </cell>
          <cell r="C275" t="str">
            <v>U 찬넬</v>
          </cell>
          <cell r="D275" t="str">
            <v>용융아연도금23.5X36.5X1.6</v>
          </cell>
          <cell r="E275" t="str">
            <v>M</v>
          </cell>
          <cell r="F275">
            <v>328.6</v>
          </cell>
          <cell r="G275">
            <v>1300</v>
          </cell>
          <cell r="H275">
            <v>0</v>
          </cell>
          <cell r="I275">
            <v>0</v>
          </cell>
        </row>
        <row r="276">
          <cell r="A276" t="str">
            <v>0</v>
          </cell>
          <cell r="B276" t="str">
            <v>MEL07020</v>
          </cell>
          <cell r="C276" t="str">
            <v>보조 리레이</v>
          </cell>
          <cell r="D276" t="str">
            <v>2A-2B</v>
          </cell>
          <cell r="E276" t="str">
            <v>개</v>
          </cell>
          <cell r="F276">
            <v>56</v>
          </cell>
          <cell r="G276">
            <v>2160</v>
          </cell>
          <cell r="H276">
            <v>0</v>
          </cell>
          <cell r="I276">
            <v>0</v>
          </cell>
        </row>
        <row r="277">
          <cell r="A277" t="str">
            <v>0</v>
          </cell>
          <cell r="B277" t="str">
            <v>MEL10010</v>
          </cell>
          <cell r="C277" t="str">
            <v>푸쉬보턴 스위치</v>
          </cell>
          <cell r="D277" t="str">
            <v>25 (1A-1B)</v>
          </cell>
          <cell r="E277" t="str">
            <v>개</v>
          </cell>
          <cell r="F277">
            <v>10</v>
          </cell>
          <cell r="G277">
            <v>662</v>
          </cell>
          <cell r="H277">
            <v>0</v>
          </cell>
          <cell r="I277">
            <v>0</v>
          </cell>
        </row>
        <row r="278">
          <cell r="A278" t="str">
            <v>0</v>
          </cell>
          <cell r="B278" t="str">
            <v>MEN30020</v>
          </cell>
          <cell r="C278" t="str">
            <v>부저</v>
          </cell>
          <cell r="D278" t="str">
            <v>220V 4VA</v>
          </cell>
          <cell r="E278" t="str">
            <v>개</v>
          </cell>
          <cell r="F278">
            <v>2</v>
          </cell>
          <cell r="G278">
            <v>936</v>
          </cell>
          <cell r="H278">
            <v>0</v>
          </cell>
          <cell r="I278">
            <v>0</v>
          </cell>
        </row>
        <row r="279">
          <cell r="A279" t="str">
            <v>0</v>
          </cell>
          <cell r="B279" t="str">
            <v>MEZ21034</v>
          </cell>
          <cell r="C279" t="str">
            <v>단자대</v>
          </cell>
          <cell r="D279" t="str">
            <v>10P 10A</v>
          </cell>
          <cell r="E279" t="str">
            <v>개</v>
          </cell>
          <cell r="F279">
            <v>4</v>
          </cell>
          <cell r="G279">
            <v>432</v>
          </cell>
          <cell r="H279">
            <v>0</v>
          </cell>
          <cell r="I279">
            <v>0</v>
          </cell>
        </row>
        <row r="280">
          <cell r="A280" t="str">
            <v>0</v>
          </cell>
          <cell r="B280" t="str">
            <v>MGF11251</v>
          </cell>
          <cell r="C280" t="str">
            <v>행가지지봉</v>
          </cell>
          <cell r="D280" t="str">
            <v>9MM(3/8")</v>
          </cell>
          <cell r="E280" t="str">
            <v>M</v>
          </cell>
          <cell r="F280">
            <v>56.79</v>
          </cell>
          <cell r="G280">
            <v>225</v>
          </cell>
          <cell r="H280">
            <v>0</v>
          </cell>
          <cell r="I280">
            <v>0</v>
          </cell>
        </row>
        <row r="281">
          <cell r="A281" t="str">
            <v>0</v>
          </cell>
          <cell r="B281" t="str">
            <v>MGF11502</v>
          </cell>
          <cell r="C281" t="str">
            <v>U볼 트(D9)</v>
          </cell>
          <cell r="D281" t="str">
            <v>M 20</v>
          </cell>
          <cell r="E281" t="str">
            <v>개</v>
          </cell>
          <cell r="F281">
            <v>32</v>
          </cell>
          <cell r="G281">
            <v>55</v>
          </cell>
          <cell r="H281">
            <v>0</v>
          </cell>
          <cell r="I281">
            <v>0</v>
          </cell>
        </row>
        <row r="282">
          <cell r="A282" t="str">
            <v>0</v>
          </cell>
          <cell r="B282" t="str">
            <v>MMO31808</v>
          </cell>
          <cell r="C282" t="str">
            <v>PD입상관 성형스리브</v>
          </cell>
          <cell r="D282" t="str">
            <v>D25 X 135H</v>
          </cell>
          <cell r="E282" t="str">
            <v>개</v>
          </cell>
          <cell r="F282">
            <v>32</v>
          </cell>
          <cell r="G282">
            <v>216</v>
          </cell>
          <cell r="H282">
            <v>0</v>
          </cell>
          <cell r="I282">
            <v>0</v>
          </cell>
        </row>
        <row r="283">
          <cell r="A283" t="str">
            <v>0</v>
          </cell>
          <cell r="B283" t="str">
            <v>MMP31302</v>
          </cell>
          <cell r="C283" t="str">
            <v>중앙감시반(모자이크)설치</v>
          </cell>
          <cell r="D283" t="str">
            <v>1000X1300X450이하</v>
          </cell>
          <cell r="E283" t="str">
            <v>대</v>
          </cell>
          <cell r="F283">
            <v>2</v>
          </cell>
          <cell r="G283">
            <v>3311952</v>
          </cell>
          <cell r="H283">
            <v>0</v>
          </cell>
          <cell r="I283">
            <v>0</v>
          </cell>
        </row>
        <row r="284">
          <cell r="A284" t="str">
            <v>0</v>
          </cell>
          <cell r="B284" t="str">
            <v>MMP35800</v>
          </cell>
          <cell r="C284" t="str">
            <v>레벨콘트롤 유니트</v>
          </cell>
          <cell r="D284" t="str">
            <v>SLIA-2P</v>
          </cell>
          <cell r="E284" t="str">
            <v>개</v>
          </cell>
          <cell r="F284">
            <v>4</v>
          </cell>
          <cell r="G284">
            <v>112320</v>
          </cell>
          <cell r="H284">
            <v>0</v>
          </cell>
          <cell r="I284">
            <v>0</v>
          </cell>
        </row>
        <row r="285">
          <cell r="A285" t="str">
            <v>0</v>
          </cell>
          <cell r="B285" t="str">
            <v>MMP46003</v>
          </cell>
          <cell r="C285" t="str">
            <v>습도감지기</v>
          </cell>
          <cell r="D285" t="str">
            <v>15-95% RH</v>
          </cell>
          <cell r="E285" t="str">
            <v>개</v>
          </cell>
          <cell r="F285">
            <v>2</v>
          </cell>
          <cell r="G285">
            <v>203040</v>
          </cell>
          <cell r="H285">
            <v>0</v>
          </cell>
          <cell r="I285">
            <v>0</v>
          </cell>
        </row>
        <row r="286">
          <cell r="A286" t="str">
            <v>0</v>
          </cell>
          <cell r="B286" t="str">
            <v>SMP09005</v>
          </cell>
          <cell r="C286" t="str">
            <v>현장제어반 설치</v>
          </cell>
          <cell r="D286" t="str">
            <v>폭 400MM 이하</v>
          </cell>
          <cell r="E286" t="str">
            <v>개소</v>
          </cell>
          <cell r="F286">
            <v>2</v>
          </cell>
          <cell r="G286">
            <v>108000</v>
          </cell>
          <cell r="H286">
            <v>115268</v>
          </cell>
          <cell r="I286">
            <v>2305</v>
          </cell>
        </row>
        <row r="287">
          <cell r="A287" t="str">
            <v>0</v>
          </cell>
          <cell r="B287" t="str">
            <v>UEA02160</v>
          </cell>
          <cell r="C287" t="str">
            <v>강제전선관 배관</v>
          </cell>
          <cell r="D287" t="str">
            <v>아연도 16MM</v>
          </cell>
          <cell r="E287" t="str">
            <v>M</v>
          </cell>
          <cell r="F287">
            <v>685.5</v>
          </cell>
          <cell r="G287">
            <v>800</v>
          </cell>
          <cell r="H287">
            <v>2600</v>
          </cell>
          <cell r="I287">
            <v>100</v>
          </cell>
        </row>
        <row r="288">
          <cell r="A288" t="str">
            <v>0</v>
          </cell>
          <cell r="B288" t="str">
            <v>UEA02280</v>
          </cell>
          <cell r="C288" t="str">
            <v>강제전선관 배관</v>
          </cell>
          <cell r="D288" t="str">
            <v>아연도 28MM</v>
          </cell>
          <cell r="E288" t="str">
            <v>M</v>
          </cell>
          <cell r="F288">
            <v>374.7</v>
          </cell>
          <cell r="G288">
            <v>1400</v>
          </cell>
          <cell r="H288">
            <v>4500</v>
          </cell>
          <cell r="I288">
            <v>100</v>
          </cell>
        </row>
        <row r="289">
          <cell r="A289" t="str">
            <v>0</v>
          </cell>
          <cell r="B289" t="str">
            <v>UEA02420</v>
          </cell>
          <cell r="C289" t="str">
            <v>강제전선관 배관</v>
          </cell>
          <cell r="D289" t="str">
            <v>아연도 42MM</v>
          </cell>
          <cell r="E289" t="str">
            <v>M</v>
          </cell>
          <cell r="F289">
            <v>345.5</v>
          </cell>
          <cell r="G289">
            <v>2000</v>
          </cell>
          <cell r="H289">
            <v>8000</v>
          </cell>
          <cell r="I289">
            <v>200</v>
          </cell>
        </row>
        <row r="290">
          <cell r="A290" t="str">
            <v>0</v>
          </cell>
          <cell r="B290" t="str">
            <v>UEB01030</v>
          </cell>
          <cell r="C290" t="str">
            <v>관내배선</v>
          </cell>
          <cell r="D290" t="str">
            <v>IV 2.0 MM</v>
          </cell>
          <cell r="E290" t="str">
            <v>M</v>
          </cell>
          <cell r="F290">
            <v>10720.1</v>
          </cell>
          <cell r="G290">
            <v>100</v>
          </cell>
          <cell r="H290">
            <v>200</v>
          </cell>
          <cell r="I290">
            <v>0</v>
          </cell>
        </row>
        <row r="291">
          <cell r="A291" t="str">
            <v>0</v>
          </cell>
          <cell r="B291" t="str">
            <v>UEC20020</v>
          </cell>
          <cell r="C291" t="str">
            <v>제어용케이블신설</v>
          </cell>
          <cell r="D291" t="str">
            <v>CVVS 2.0 MM2 X 2C</v>
          </cell>
          <cell r="E291" t="str">
            <v>M</v>
          </cell>
          <cell r="F291">
            <v>724.6</v>
          </cell>
          <cell r="G291">
            <v>400</v>
          </cell>
          <cell r="H291">
            <v>500</v>
          </cell>
          <cell r="I291">
            <v>0</v>
          </cell>
        </row>
        <row r="292">
          <cell r="A292" t="str">
            <v>0</v>
          </cell>
          <cell r="B292" t="str">
            <v>UEE08050</v>
          </cell>
          <cell r="C292" t="str">
            <v>배선용 차단기</v>
          </cell>
          <cell r="D292" t="str">
            <v>220V 2P 50AF</v>
          </cell>
          <cell r="E292" t="str">
            <v>개</v>
          </cell>
          <cell r="F292">
            <v>6</v>
          </cell>
          <cell r="G292">
            <v>4104</v>
          </cell>
          <cell r="H292">
            <v>0</v>
          </cell>
          <cell r="I292">
            <v>0</v>
          </cell>
        </row>
        <row r="293">
          <cell r="A293" t="str">
            <v>0</v>
          </cell>
          <cell r="B293" t="str">
            <v>UEH02210</v>
          </cell>
          <cell r="C293" t="str">
            <v>PULL BOX</v>
          </cell>
          <cell r="D293" t="str">
            <v>200X200X100</v>
          </cell>
          <cell r="E293" t="str">
            <v>개</v>
          </cell>
          <cell r="F293">
            <v>6</v>
          </cell>
          <cell r="G293">
            <v>2244</v>
          </cell>
          <cell r="H293">
            <v>5856</v>
          </cell>
          <cell r="I293">
            <v>117</v>
          </cell>
        </row>
        <row r="294">
          <cell r="A294" t="str">
            <v>0</v>
          </cell>
          <cell r="B294" t="str">
            <v>UEH03330</v>
          </cell>
          <cell r="C294" t="str">
            <v>PULL BOX</v>
          </cell>
          <cell r="D294" t="str">
            <v>300X300X200</v>
          </cell>
          <cell r="E294" t="str">
            <v>개</v>
          </cell>
          <cell r="F294">
            <v>21</v>
          </cell>
          <cell r="G294">
            <v>5890</v>
          </cell>
          <cell r="H294">
            <v>12422</v>
          </cell>
          <cell r="I294">
            <v>248</v>
          </cell>
        </row>
        <row r="295">
          <cell r="A295" t="str">
            <v>0</v>
          </cell>
          <cell r="B295" t="str">
            <v>UEL12010</v>
          </cell>
          <cell r="C295" t="str">
            <v>셀렉터 스위치</v>
          </cell>
          <cell r="D295" t="str">
            <v>25(1A-1B)</v>
          </cell>
          <cell r="E295" t="str">
            <v>개</v>
          </cell>
          <cell r="F295">
            <v>2</v>
          </cell>
          <cell r="G295">
            <v>806</v>
          </cell>
          <cell r="H295">
            <v>3017</v>
          </cell>
          <cell r="I295">
            <v>60</v>
          </cell>
        </row>
        <row r="296">
          <cell r="A296" t="str">
            <v>0</v>
          </cell>
          <cell r="B296" t="str">
            <v>UMD28121</v>
          </cell>
          <cell r="C296" t="str">
            <v>자동수위조절밸브 설치</v>
          </cell>
          <cell r="D296" t="str">
            <v>D150 MM</v>
          </cell>
          <cell r="E296" t="str">
            <v>대</v>
          </cell>
          <cell r="F296">
            <v>2</v>
          </cell>
          <cell r="G296">
            <v>757152</v>
          </cell>
          <cell r="H296">
            <v>26370</v>
          </cell>
          <cell r="I296">
            <v>527</v>
          </cell>
        </row>
        <row r="297">
          <cell r="A297" t="str">
            <v>0</v>
          </cell>
          <cell r="B297" t="str">
            <v>UMP33030</v>
          </cell>
          <cell r="C297" t="str">
            <v>현장제어반 설치</v>
          </cell>
          <cell r="D297" t="str">
            <v>폭 300MM 이하</v>
          </cell>
          <cell r="E297" t="str">
            <v>개소</v>
          </cell>
          <cell r="F297">
            <v>2</v>
          </cell>
          <cell r="G297">
            <v>72000</v>
          </cell>
          <cell r="H297">
            <v>115162</v>
          </cell>
          <cell r="I297">
            <v>2303</v>
          </cell>
        </row>
        <row r="298">
          <cell r="A298" t="str">
            <v>0</v>
          </cell>
          <cell r="B298" t="str">
            <v>UMP42300</v>
          </cell>
          <cell r="C298" t="str">
            <v>액면조절기설치</v>
          </cell>
          <cell r="D298" t="str">
            <v>FLOAT식</v>
          </cell>
          <cell r="E298" t="str">
            <v>개</v>
          </cell>
          <cell r="F298">
            <v>2</v>
          </cell>
          <cell r="G298">
            <v>129600</v>
          </cell>
          <cell r="H298">
            <v>76774</v>
          </cell>
          <cell r="I298">
            <v>1535</v>
          </cell>
        </row>
        <row r="299">
          <cell r="A299" t="str">
            <v>0</v>
          </cell>
          <cell r="B299" t="str">
            <v>UMP42501</v>
          </cell>
          <cell r="C299" t="str">
            <v>액면지시조절계설치</v>
          </cell>
          <cell r="D299" t="str">
            <v>FLOAT식</v>
          </cell>
          <cell r="E299" t="str">
            <v>개</v>
          </cell>
          <cell r="F299">
            <v>4</v>
          </cell>
          <cell r="G299">
            <v>381600</v>
          </cell>
          <cell r="H299">
            <v>76774</v>
          </cell>
          <cell r="I299">
            <v>1535</v>
          </cell>
        </row>
        <row r="300">
          <cell r="A300" t="str">
            <v>0</v>
          </cell>
          <cell r="B300" t="str">
            <v>UTN14200</v>
          </cell>
          <cell r="C300" t="str">
            <v>인터컴(모기)설치 (기계공사)</v>
          </cell>
          <cell r="E300" t="str">
            <v>개</v>
          </cell>
          <cell r="F300">
            <v>2</v>
          </cell>
          <cell r="G300">
            <v>5976</v>
          </cell>
          <cell r="H300">
            <v>3904</v>
          </cell>
          <cell r="I300">
            <v>78</v>
          </cell>
        </row>
        <row r="301">
          <cell r="A301" t="str">
            <v>0</v>
          </cell>
          <cell r="B301" t="str">
            <v>UTN14210</v>
          </cell>
          <cell r="C301" t="str">
            <v>인터컴(자기)설치 (기계공사)</v>
          </cell>
          <cell r="E301" t="str">
            <v>개</v>
          </cell>
          <cell r="F301">
            <v>2</v>
          </cell>
          <cell r="G301">
            <v>4320</v>
          </cell>
          <cell r="H301">
            <v>3549</v>
          </cell>
          <cell r="I301">
            <v>71</v>
          </cell>
        </row>
        <row r="302">
          <cell r="C302" t="str">
            <v>소  계</v>
          </cell>
        </row>
        <row r="304">
          <cell r="C304" t="str">
            <v>*  자동제어 물탱크실</v>
          </cell>
        </row>
        <row r="305">
          <cell r="A305" t="str">
            <v>0</v>
          </cell>
          <cell r="B305" t="str">
            <v>MCQ33902</v>
          </cell>
          <cell r="C305" t="str">
            <v>공포&amp;핀</v>
          </cell>
          <cell r="E305" t="str">
            <v>SET</v>
          </cell>
          <cell r="F305">
            <v>21</v>
          </cell>
          <cell r="G305">
            <v>223</v>
          </cell>
          <cell r="H305">
            <v>0</v>
          </cell>
          <cell r="I305">
            <v>0</v>
          </cell>
        </row>
        <row r="306">
          <cell r="A306" t="str">
            <v>0</v>
          </cell>
          <cell r="B306" t="str">
            <v>MEA23200</v>
          </cell>
          <cell r="C306" t="str">
            <v>U 크램프(너트포함)</v>
          </cell>
          <cell r="D306" t="str">
            <v>D9 MM</v>
          </cell>
          <cell r="E306" t="str">
            <v>개</v>
          </cell>
          <cell r="F306">
            <v>29</v>
          </cell>
          <cell r="G306">
            <v>112</v>
          </cell>
          <cell r="H306">
            <v>0</v>
          </cell>
          <cell r="I306">
            <v>0</v>
          </cell>
        </row>
        <row r="307">
          <cell r="A307" t="str">
            <v>0</v>
          </cell>
          <cell r="B307" t="str">
            <v>MEA60010</v>
          </cell>
          <cell r="C307" t="str">
            <v>후렉시블전선관용 콘넥타</v>
          </cell>
          <cell r="D307" t="str">
            <v>16</v>
          </cell>
          <cell r="E307" t="str">
            <v>개</v>
          </cell>
          <cell r="F307">
            <v>4</v>
          </cell>
          <cell r="G307">
            <v>302</v>
          </cell>
          <cell r="H307">
            <v>0</v>
          </cell>
          <cell r="I307">
            <v>0</v>
          </cell>
        </row>
        <row r="308">
          <cell r="A308" t="str">
            <v>0</v>
          </cell>
          <cell r="B308" t="str">
            <v>MEA60020</v>
          </cell>
          <cell r="C308" t="str">
            <v>후렉시블전선관용 콘넥타</v>
          </cell>
          <cell r="D308" t="str">
            <v>22</v>
          </cell>
          <cell r="E308" t="str">
            <v>개</v>
          </cell>
          <cell r="F308">
            <v>6</v>
          </cell>
          <cell r="G308">
            <v>439</v>
          </cell>
          <cell r="H308">
            <v>0</v>
          </cell>
          <cell r="I308">
            <v>0</v>
          </cell>
        </row>
        <row r="309">
          <cell r="A309" t="str">
            <v>0</v>
          </cell>
          <cell r="B309" t="str">
            <v>MEJ08230</v>
          </cell>
          <cell r="C309" t="str">
            <v>U 찬넬</v>
          </cell>
          <cell r="D309" t="str">
            <v>용융아연도금23.5X36.5X1.6</v>
          </cell>
          <cell r="E309" t="str">
            <v>M</v>
          </cell>
          <cell r="F309">
            <v>2.96</v>
          </cell>
          <cell r="G309">
            <v>1300</v>
          </cell>
          <cell r="H309">
            <v>0</v>
          </cell>
          <cell r="I309">
            <v>0</v>
          </cell>
        </row>
        <row r="310">
          <cell r="A310" t="str">
            <v>0</v>
          </cell>
          <cell r="B310" t="str">
            <v>UEA02160</v>
          </cell>
          <cell r="C310" t="str">
            <v>강제전선관 배관</v>
          </cell>
          <cell r="D310" t="str">
            <v>아연도 16MM</v>
          </cell>
          <cell r="E310" t="str">
            <v>M</v>
          </cell>
          <cell r="F310">
            <v>42.03</v>
          </cell>
          <cell r="G310">
            <v>800</v>
          </cell>
          <cell r="H310">
            <v>2600</v>
          </cell>
          <cell r="I310">
            <v>100</v>
          </cell>
        </row>
        <row r="311">
          <cell r="A311" t="str">
            <v>0</v>
          </cell>
          <cell r="B311" t="str">
            <v>UEA02220</v>
          </cell>
          <cell r="C311" t="str">
            <v>강제전선관 배관</v>
          </cell>
          <cell r="D311" t="str">
            <v>아연도 22MM</v>
          </cell>
          <cell r="E311" t="str">
            <v>M</v>
          </cell>
          <cell r="F311">
            <v>17.21</v>
          </cell>
          <cell r="G311">
            <v>1000</v>
          </cell>
          <cell r="H311">
            <v>3500</v>
          </cell>
          <cell r="I311">
            <v>100</v>
          </cell>
        </row>
        <row r="312">
          <cell r="A312" t="str">
            <v>0</v>
          </cell>
          <cell r="B312" t="str">
            <v>UEA05160</v>
          </cell>
          <cell r="C312" t="str">
            <v>후렉씨블콘딧드</v>
          </cell>
          <cell r="D312" t="str">
            <v>16MM</v>
          </cell>
          <cell r="E312" t="str">
            <v>M</v>
          </cell>
          <cell r="F312">
            <v>5.2</v>
          </cell>
          <cell r="G312">
            <v>400</v>
          </cell>
          <cell r="H312">
            <v>1600</v>
          </cell>
          <cell r="I312">
            <v>0</v>
          </cell>
        </row>
        <row r="313">
          <cell r="A313" t="str">
            <v>0</v>
          </cell>
          <cell r="B313" t="str">
            <v>UEA05220</v>
          </cell>
          <cell r="C313" t="str">
            <v>후렉씨블콘딧드</v>
          </cell>
          <cell r="D313" t="str">
            <v>22MM</v>
          </cell>
          <cell r="E313" t="str">
            <v>M</v>
          </cell>
          <cell r="F313">
            <v>3</v>
          </cell>
          <cell r="G313">
            <v>454</v>
          </cell>
          <cell r="H313">
            <v>1987</v>
          </cell>
          <cell r="I313">
            <v>40</v>
          </cell>
        </row>
        <row r="314">
          <cell r="A314" t="str">
            <v>0</v>
          </cell>
          <cell r="B314" t="str">
            <v>UEB01030</v>
          </cell>
          <cell r="C314" t="str">
            <v>관내배선</v>
          </cell>
          <cell r="D314" t="str">
            <v>IV 2.0 MM</v>
          </cell>
          <cell r="E314" t="str">
            <v>M</v>
          </cell>
          <cell r="F314">
            <v>223.86</v>
          </cell>
          <cell r="G314">
            <v>100</v>
          </cell>
          <cell r="H314">
            <v>200</v>
          </cell>
          <cell r="I314">
            <v>0</v>
          </cell>
        </row>
        <row r="315">
          <cell r="A315" t="str">
            <v>0</v>
          </cell>
          <cell r="B315" t="str">
            <v>UEH01090</v>
          </cell>
          <cell r="C315" t="str">
            <v>조인트박스설치</v>
          </cell>
          <cell r="D315" t="str">
            <v>100X100X50</v>
          </cell>
          <cell r="E315" t="str">
            <v>개</v>
          </cell>
          <cell r="F315">
            <v>5</v>
          </cell>
          <cell r="G315">
            <v>463</v>
          </cell>
          <cell r="H315">
            <v>6389</v>
          </cell>
          <cell r="I315">
            <v>127</v>
          </cell>
        </row>
        <row r="316">
          <cell r="C316" t="str">
            <v>소  계</v>
          </cell>
        </row>
        <row r="318">
          <cell r="C318" t="str">
            <v>아파트</v>
          </cell>
        </row>
        <row r="319">
          <cell r="C319" t="str">
            <v>*  급수공사</v>
          </cell>
        </row>
        <row r="320">
          <cell r="A320" t="str">
            <v>A</v>
          </cell>
          <cell r="B320" t="str">
            <v>MGF11251</v>
          </cell>
          <cell r="C320" t="str">
            <v>행가지지봉</v>
          </cell>
          <cell r="D320" t="str">
            <v>9MM(3/8")</v>
          </cell>
          <cell r="E320" t="str">
            <v>M</v>
          </cell>
          <cell r="F320">
            <v>424.8</v>
          </cell>
          <cell r="G320">
            <v>225</v>
          </cell>
          <cell r="H320">
            <v>0</v>
          </cell>
          <cell r="I320">
            <v>0</v>
          </cell>
        </row>
        <row r="321">
          <cell r="A321" t="str">
            <v>A</v>
          </cell>
          <cell r="B321" t="str">
            <v>MGF11543</v>
          </cell>
          <cell r="C321" t="str">
            <v>절연U볼트</v>
          </cell>
          <cell r="D321" t="str">
            <v>D 15</v>
          </cell>
          <cell r="E321" t="str">
            <v>개</v>
          </cell>
          <cell r="F321">
            <v>128</v>
          </cell>
          <cell r="G321">
            <v>216</v>
          </cell>
          <cell r="H321">
            <v>0</v>
          </cell>
          <cell r="I321">
            <v>0</v>
          </cell>
        </row>
        <row r="322">
          <cell r="A322" t="str">
            <v>A</v>
          </cell>
          <cell r="B322" t="str">
            <v>MGF11544</v>
          </cell>
          <cell r="C322" t="str">
            <v>절연U볼트</v>
          </cell>
          <cell r="D322" t="str">
            <v>D 20</v>
          </cell>
          <cell r="E322" t="str">
            <v>개</v>
          </cell>
          <cell r="F322">
            <v>126</v>
          </cell>
          <cell r="G322">
            <v>252</v>
          </cell>
          <cell r="H322">
            <v>0</v>
          </cell>
          <cell r="I322">
            <v>0</v>
          </cell>
        </row>
        <row r="323">
          <cell r="A323" t="str">
            <v>A</v>
          </cell>
          <cell r="B323" t="str">
            <v>MGF11545</v>
          </cell>
          <cell r="C323" t="str">
            <v>절연U볼트</v>
          </cell>
          <cell r="D323" t="str">
            <v>D 25</v>
          </cell>
          <cell r="E323" t="str">
            <v>개</v>
          </cell>
          <cell r="F323">
            <v>126</v>
          </cell>
          <cell r="G323">
            <v>274</v>
          </cell>
          <cell r="H323">
            <v>0</v>
          </cell>
          <cell r="I323">
            <v>0</v>
          </cell>
        </row>
        <row r="324">
          <cell r="A324" t="str">
            <v>A</v>
          </cell>
          <cell r="B324" t="str">
            <v>MGF11546</v>
          </cell>
          <cell r="C324" t="str">
            <v>절연U볼트</v>
          </cell>
          <cell r="D324" t="str">
            <v>D 32</v>
          </cell>
          <cell r="E324" t="str">
            <v>개</v>
          </cell>
          <cell r="F324">
            <v>270</v>
          </cell>
          <cell r="G324">
            <v>295</v>
          </cell>
          <cell r="H324">
            <v>0</v>
          </cell>
          <cell r="I324">
            <v>0</v>
          </cell>
        </row>
        <row r="325">
          <cell r="A325" t="str">
            <v>A</v>
          </cell>
          <cell r="B325" t="str">
            <v>MGF11547</v>
          </cell>
          <cell r="C325" t="str">
            <v>절연U볼트</v>
          </cell>
          <cell r="D325" t="str">
            <v>D 40</v>
          </cell>
          <cell r="E325" t="str">
            <v>개</v>
          </cell>
          <cell r="F325">
            <v>946</v>
          </cell>
          <cell r="G325">
            <v>324</v>
          </cell>
          <cell r="H325">
            <v>0</v>
          </cell>
          <cell r="I325">
            <v>0</v>
          </cell>
        </row>
        <row r="326">
          <cell r="A326" t="str">
            <v>A</v>
          </cell>
          <cell r="B326" t="str">
            <v>MGF11548</v>
          </cell>
          <cell r="C326" t="str">
            <v>절연U볼트</v>
          </cell>
          <cell r="D326" t="str">
            <v>D 50</v>
          </cell>
          <cell r="E326" t="str">
            <v>개</v>
          </cell>
          <cell r="F326">
            <v>154</v>
          </cell>
          <cell r="G326">
            <v>374</v>
          </cell>
          <cell r="H326">
            <v>0</v>
          </cell>
          <cell r="I326">
            <v>0</v>
          </cell>
        </row>
        <row r="327">
          <cell r="A327" t="str">
            <v>A</v>
          </cell>
          <cell r="B327" t="str">
            <v>MGF11549</v>
          </cell>
          <cell r="C327" t="str">
            <v>절연U볼트</v>
          </cell>
          <cell r="D327" t="str">
            <v>D 65</v>
          </cell>
          <cell r="E327" t="str">
            <v>개</v>
          </cell>
          <cell r="F327">
            <v>300</v>
          </cell>
          <cell r="G327">
            <v>504</v>
          </cell>
          <cell r="H327">
            <v>0</v>
          </cell>
          <cell r="I327">
            <v>0</v>
          </cell>
        </row>
        <row r="328">
          <cell r="A328" t="str">
            <v>A</v>
          </cell>
          <cell r="B328" t="str">
            <v>MGF11550</v>
          </cell>
          <cell r="C328" t="str">
            <v>절연U볼트</v>
          </cell>
          <cell r="D328" t="str">
            <v>D 80</v>
          </cell>
          <cell r="E328" t="str">
            <v>개</v>
          </cell>
          <cell r="F328">
            <v>18</v>
          </cell>
          <cell r="G328">
            <v>554</v>
          </cell>
          <cell r="H328">
            <v>0</v>
          </cell>
          <cell r="I328">
            <v>0</v>
          </cell>
        </row>
        <row r="329">
          <cell r="A329" t="str">
            <v>A</v>
          </cell>
          <cell r="B329" t="str">
            <v>MGF30505</v>
          </cell>
          <cell r="C329" t="str">
            <v>인서트</v>
          </cell>
          <cell r="D329" t="str">
            <v>D9</v>
          </cell>
          <cell r="E329" t="str">
            <v>개</v>
          </cell>
          <cell r="F329">
            <v>606</v>
          </cell>
          <cell r="G329">
            <v>26</v>
          </cell>
          <cell r="H329">
            <v>0</v>
          </cell>
          <cell r="I329">
            <v>0</v>
          </cell>
        </row>
        <row r="330">
          <cell r="A330" t="str">
            <v>A</v>
          </cell>
          <cell r="B330" t="str">
            <v>MMB40105</v>
          </cell>
          <cell r="C330" t="str">
            <v>동 엘보</v>
          </cell>
          <cell r="D330" t="str">
            <v>D15 MM</v>
          </cell>
          <cell r="E330" t="str">
            <v>개</v>
          </cell>
          <cell r="F330">
            <v>4050</v>
          </cell>
          <cell r="G330">
            <v>112</v>
          </cell>
          <cell r="H330">
            <v>0</v>
          </cell>
          <cell r="I330">
            <v>0</v>
          </cell>
        </row>
        <row r="331">
          <cell r="A331" t="str">
            <v>A</v>
          </cell>
          <cell r="B331" t="str">
            <v>MMB40107</v>
          </cell>
          <cell r="C331" t="str">
            <v>동 엘보</v>
          </cell>
          <cell r="D331" t="str">
            <v>D20 MM</v>
          </cell>
          <cell r="E331" t="str">
            <v>개</v>
          </cell>
          <cell r="F331">
            <v>1878</v>
          </cell>
          <cell r="G331">
            <v>228</v>
          </cell>
          <cell r="H331">
            <v>0</v>
          </cell>
          <cell r="I331">
            <v>0</v>
          </cell>
        </row>
        <row r="332">
          <cell r="A332" t="str">
            <v>A</v>
          </cell>
          <cell r="B332" t="str">
            <v>MMB40108</v>
          </cell>
          <cell r="C332" t="str">
            <v>동 엘보</v>
          </cell>
          <cell r="D332" t="str">
            <v>D25 MM</v>
          </cell>
          <cell r="E332" t="str">
            <v>개</v>
          </cell>
          <cell r="F332">
            <v>14</v>
          </cell>
          <cell r="G332">
            <v>395</v>
          </cell>
          <cell r="H332">
            <v>0</v>
          </cell>
          <cell r="I332">
            <v>0</v>
          </cell>
        </row>
        <row r="333">
          <cell r="A333" t="str">
            <v>A</v>
          </cell>
          <cell r="B333" t="str">
            <v>MMB40110</v>
          </cell>
          <cell r="C333" t="str">
            <v>동 엘보</v>
          </cell>
          <cell r="D333" t="str">
            <v>D32 MM</v>
          </cell>
          <cell r="E333" t="str">
            <v>개</v>
          </cell>
          <cell r="F333">
            <v>27</v>
          </cell>
          <cell r="G333">
            <v>607</v>
          </cell>
          <cell r="H333">
            <v>0</v>
          </cell>
          <cell r="I333">
            <v>0</v>
          </cell>
        </row>
        <row r="334">
          <cell r="A334" t="str">
            <v>A</v>
          </cell>
          <cell r="B334" t="str">
            <v>MMB40112</v>
          </cell>
          <cell r="C334" t="str">
            <v>동 엘보</v>
          </cell>
          <cell r="D334" t="str">
            <v>D40 MM</v>
          </cell>
          <cell r="E334" t="str">
            <v>개</v>
          </cell>
          <cell r="F334">
            <v>168</v>
          </cell>
          <cell r="G334">
            <v>919</v>
          </cell>
          <cell r="H334">
            <v>0</v>
          </cell>
          <cell r="I334">
            <v>0</v>
          </cell>
        </row>
        <row r="335">
          <cell r="A335" t="str">
            <v>A</v>
          </cell>
          <cell r="B335" t="str">
            <v>MMB40113</v>
          </cell>
          <cell r="C335" t="str">
            <v>동 엘보</v>
          </cell>
          <cell r="D335" t="str">
            <v>D50 MM</v>
          </cell>
          <cell r="E335" t="str">
            <v>개</v>
          </cell>
          <cell r="F335">
            <v>43</v>
          </cell>
          <cell r="G335">
            <v>2056</v>
          </cell>
          <cell r="H335">
            <v>0</v>
          </cell>
          <cell r="I335">
            <v>0</v>
          </cell>
        </row>
        <row r="336">
          <cell r="A336" t="str">
            <v>A</v>
          </cell>
          <cell r="B336" t="str">
            <v>MMB40115</v>
          </cell>
          <cell r="C336" t="str">
            <v>동 엘보</v>
          </cell>
          <cell r="D336" t="str">
            <v>D65 MM</v>
          </cell>
          <cell r="E336" t="str">
            <v>개</v>
          </cell>
          <cell r="F336">
            <v>114</v>
          </cell>
          <cell r="G336">
            <v>3702</v>
          </cell>
          <cell r="H336">
            <v>0</v>
          </cell>
          <cell r="I336">
            <v>0</v>
          </cell>
        </row>
        <row r="337">
          <cell r="A337" t="str">
            <v>A</v>
          </cell>
          <cell r="B337" t="str">
            <v>MMB40117</v>
          </cell>
          <cell r="C337" t="str">
            <v>동 엘보</v>
          </cell>
          <cell r="D337" t="str">
            <v>D80 MM</v>
          </cell>
          <cell r="E337" t="str">
            <v>개</v>
          </cell>
          <cell r="F337">
            <v>5</v>
          </cell>
          <cell r="G337">
            <v>5903</v>
          </cell>
          <cell r="H337">
            <v>0</v>
          </cell>
          <cell r="I337">
            <v>0</v>
          </cell>
        </row>
        <row r="338">
          <cell r="A338" t="str">
            <v>A</v>
          </cell>
          <cell r="B338" t="str">
            <v>MMB40205</v>
          </cell>
          <cell r="C338" t="str">
            <v>동 티</v>
          </cell>
          <cell r="D338" t="str">
            <v>D15 MM</v>
          </cell>
          <cell r="E338" t="str">
            <v>개</v>
          </cell>
          <cell r="F338">
            <v>5264</v>
          </cell>
          <cell r="G338">
            <v>243</v>
          </cell>
          <cell r="H338">
            <v>0</v>
          </cell>
          <cell r="I338">
            <v>0</v>
          </cell>
        </row>
        <row r="339">
          <cell r="A339" t="str">
            <v>A</v>
          </cell>
          <cell r="B339" t="str">
            <v>MMB40207</v>
          </cell>
          <cell r="C339" t="str">
            <v>동 티</v>
          </cell>
          <cell r="D339" t="str">
            <v>D20 MM</v>
          </cell>
          <cell r="E339" t="str">
            <v>개</v>
          </cell>
          <cell r="F339">
            <v>1458</v>
          </cell>
          <cell r="G339">
            <v>359</v>
          </cell>
          <cell r="H339">
            <v>0</v>
          </cell>
          <cell r="I339">
            <v>0</v>
          </cell>
        </row>
        <row r="340">
          <cell r="A340" t="str">
            <v>A</v>
          </cell>
          <cell r="B340" t="str">
            <v>MMB40208</v>
          </cell>
          <cell r="C340" t="str">
            <v>동 티</v>
          </cell>
          <cell r="D340" t="str">
            <v>D25 MM</v>
          </cell>
          <cell r="E340" t="str">
            <v>개</v>
          </cell>
          <cell r="F340">
            <v>142</v>
          </cell>
          <cell r="G340">
            <v>553</v>
          </cell>
          <cell r="H340">
            <v>0</v>
          </cell>
          <cell r="I340">
            <v>0</v>
          </cell>
        </row>
        <row r="341">
          <cell r="A341" t="str">
            <v>A</v>
          </cell>
          <cell r="B341" t="str">
            <v>MMB40210</v>
          </cell>
          <cell r="C341" t="str">
            <v>동 티</v>
          </cell>
          <cell r="D341" t="str">
            <v>D32 MM</v>
          </cell>
          <cell r="E341" t="str">
            <v>개</v>
          </cell>
          <cell r="F341">
            <v>276</v>
          </cell>
          <cell r="G341">
            <v>940</v>
          </cell>
          <cell r="H341">
            <v>0</v>
          </cell>
          <cell r="I341">
            <v>0</v>
          </cell>
        </row>
        <row r="342">
          <cell r="A342" t="str">
            <v>A</v>
          </cell>
          <cell r="B342" t="str">
            <v>MMB40212</v>
          </cell>
          <cell r="C342" t="str">
            <v>동 티</v>
          </cell>
          <cell r="D342" t="str">
            <v>D40 MM</v>
          </cell>
          <cell r="E342" t="str">
            <v>개</v>
          </cell>
          <cell r="F342">
            <v>546</v>
          </cell>
          <cell r="G342">
            <v>1401</v>
          </cell>
          <cell r="H342">
            <v>0</v>
          </cell>
          <cell r="I342">
            <v>0</v>
          </cell>
        </row>
        <row r="343">
          <cell r="A343" t="str">
            <v>A</v>
          </cell>
          <cell r="B343" t="str">
            <v>MMB40213</v>
          </cell>
          <cell r="C343" t="str">
            <v>동 티</v>
          </cell>
          <cell r="D343" t="str">
            <v>D50 MM</v>
          </cell>
          <cell r="E343" t="str">
            <v>개</v>
          </cell>
          <cell r="F343">
            <v>45</v>
          </cell>
          <cell r="G343">
            <v>2552</v>
          </cell>
          <cell r="H343">
            <v>0</v>
          </cell>
          <cell r="I343">
            <v>0</v>
          </cell>
        </row>
        <row r="344">
          <cell r="A344" t="str">
            <v>A</v>
          </cell>
          <cell r="B344" t="str">
            <v>MMB40215</v>
          </cell>
          <cell r="C344" t="str">
            <v>동 티</v>
          </cell>
          <cell r="D344" t="str">
            <v>D65 MM</v>
          </cell>
          <cell r="E344" t="str">
            <v>개</v>
          </cell>
          <cell r="F344">
            <v>109</v>
          </cell>
          <cell r="G344">
            <v>4175</v>
          </cell>
          <cell r="H344">
            <v>0</v>
          </cell>
          <cell r="I344">
            <v>0</v>
          </cell>
        </row>
        <row r="345">
          <cell r="A345" t="str">
            <v>A</v>
          </cell>
          <cell r="B345" t="str">
            <v>MMB40217</v>
          </cell>
          <cell r="C345" t="str">
            <v>동 티</v>
          </cell>
          <cell r="D345" t="str">
            <v>D80 MM</v>
          </cell>
          <cell r="E345" t="str">
            <v>개</v>
          </cell>
          <cell r="F345">
            <v>23</v>
          </cell>
          <cell r="G345">
            <v>8001</v>
          </cell>
          <cell r="H345">
            <v>0</v>
          </cell>
          <cell r="I345">
            <v>0</v>
          </cell>
        </row>
        <row r="346">
          <cell r="A346" t="str">
            <v>A</v>
          </cell>
          <cell r="B346" t="str">
            <v>MMB40307</v>
          </cell>
          <cell r="C346" t="str">
            <v>동 레듀샤</v>
          </cell>
          <cell r="D346" t="str">
            <v>D20 MM</v>
          </cell>
          <cell r="E346" t="str">
            <v>개</v>
          </cell>
          <cell r="F346">
            <v>4</v>
          </cell>
          <cell r="G346">
            <v>143</v>
          </cell>
          <cell r="H346">
            <v>0</v>
          </cell>
          <cell r="I346">
            <v>0</v>
          </cell>
        </row>
        <row r="347">
          <cell r="A347" t="str">
            <v>A</v>
          </cell>
          <cell r="B347" t="str">
            <v>MMB40308</v>
          </cell>
          <cell r="C347" t="str">
            <v>동 레듀샤</v>
          </cell>
          <cell r="D347" t="str">
            <v>D25 MM</v>
          </cell>
          <cell r="E347" t="str">
            <v>개</v>
          </cell>
          <cell r="F347">
            <v>133</v>
          </cell>
          <cell r="G347">
            <v>212</v>
          </cell>
          <cell r="H347">
            <v>0</v>
          </cell>
          <cell r="I347">
            <v>0</v>
          </cell>
        </row>
        <row r="348">
          <cell r="A348" t="str">
            <v>A</v>
          </cell>
          <cell r="B348" t="str">
            <v>MMB40310</v>
          </cell>
          <cell r="C348" t="str">
            <v>동 레듀샤</v>
          </cell>
          <cell r="D348" t="str">
            <v>D32 MM</v>
          </cell>
          <cell r="E348" t="str">
            <v>개</v>
          </cell>
          <cell r="F348">
            <v>130</v>
          </cell>
          <cell r="G348">
            <v>289</v>
          </cell>
          <cell r="H348">
            <v>0</v>
          </cell>
          <cell r="I348">
            <v>0</v>
          </cell>
        </row>
        <row r="349">
          <cell r="A349" t="str">
            <v>A</v>
          </cell>
          <cell r="B349" t="str">
            <v>MMB40312</v>
          </cell>
          <cell r="C349" t="str">
            <v>동 레듀샤</v>
          </cell>
          <cell r="D349" t="str">
            <v>D40 MM</v>
          </cell>
          <cell r="E349" t="str">
            <v>개</v>
          </cell>
          <cell r="F349">
            <v>262</v>
          </cell>
          <cell r="G349">
            <v>497</v>
          </cell>
          <cell r="H349">
            <v>0</v>
          </cell>
          <cell r="I349">
            <v>0</v>
          </cell>
        </row>
        <row r="350">
          <cell r="A350" t="str">
            <v>A</v>
          </cell>
          <cell r="B350" t="str">
            <v>MMB40313</v>
          </cell>
          <cell r="C350" t="str">
            <v>동 레듀샤</v>
          </cell>
          <cell r="D350" t="str">
            <v>D50 MM</v>
          </cell>
          <cell r="E350" t="str">
            <v>개</v>
          </cell>
          <cell r="F350">
            <v>18</v>
          </cell>
          <cell r="G350">
            <v>1194</v>
          </cell>
          <cell r="H350">
            <v>0</v>
          </cell>
          <cell r="I350">
            <v>0</v>
          </cell>
        </row>
        <row r="351">
          <cell r="A351" t="str">
            <v>A</v>
          </cell>
          <cell r="B351" t="str">
            <v>MMB40315</v>
          </cell>
          <cell r="C351" t="str">
            <v>동 레듀샤</v>
          </cell>
          <cell r="D351" t="str">
            <v>D65 MM</v>
          </cell>
          <cell r="E351" t="str">
            <v>개</v>
          </cell>
          <cell r="F351">
            <v>44</v>
          </cell>
          <cell r="G351">
            <v>1626</v>
          </cell>
          <cell r="H351">
            <v>0</v>
          </cell>
          <cell r="I351">
            <v>0</v>
          </cell>
        </row>
        <row r="352">
          <cell r="A352" t="str">
            <v>A</v>
          </cell>
          <cell r="B352" t="str">
            <v>MMB40317</v>
          </cell>
          <cell r="C352" t="str">
            <v>동 레듀샤</v>
          </cell>
          <cell r="D352" t="str">
            <v>D80 MM</v>
          </cell>
          <cell r="E352" t="str">
            <v>개</v>
          </cell>
          <cell r="F352">
            <v>15</v>
          </cell>
          <cell r="G352">
            <v>2295</v>
          </cell>
          <cell r="H352">
            <v>0</v>
          </cell>
          <cell r="I352">
            <v>0</v>
          </cell>
        </row>
        <row r="353">
          <cell r="A353" t="str">
            <v>A</v>
          </cell>
          <cell r="B353" t="str">
            <v>MMB40405</v>
          </cell>
          <cell r="C353" t="str">
            <v>동 소켓</v>
          </cell>
          <cell r="D353" t="str">
            <v>D15 MM</v>
          </cell>
          <cell r="E353" t="str">
            <v>개</v>
          </cell>
          <cell r="F353">
            <v>5782</v>
          </cell>
          <cell r="G353">
            <v>73</v>
          </cell>
          <cell r="H353">
            <v>0</v>
          </cell>
          <cell r="I353">
            <v>0</v>
          </cell>
        </row>
        <row r="354">
          <cell r="A354" t="str">
            <v>A</v>
          </cell>
          <cell r="B354" t="str">
            <v>MMB40410</v>
          </cell>
          <cell r="C354" t="str">
            <v>동 소켓</v>
          </cell>
          <cell r="D354" t="str">
            <v>D32 MM</v>
          </cell>
          <cell r="E354" t="str">
            <v>개</v>
          </cell>
          <cell r="F354">
            <v>12</v>
          </cell>
          <cell r="G354">
            <v>212</v>
          </cell>
          <cell r="H354">
            <v>0</v>
          </cell>
          <cell r="I354">
            <v>0</v>
          </cell>
        </row>
        <row r="355">
          <cell r="A355" t="str">
            <v>A</v>
          </cell>
          <cell r="B355" t="str">
            <v>MMB40412</v>
          </cell>
          <cell r="C355" t="str">
            <v>동 소켓</v>
          </cell>
          <cell r="D355" t="str">
            <v>D40 MM</v>
          </cell>
          <cell r="E355" t="str">
            <v>개</v>
          </cell>
          <cell r="F355">
            <v>448</v>
          </cell>
          <cell r="G355">
            <v>304</v>
          </cell>
          <cell r="H355">
            <v>0</v>
          </cell>
          <cell r="I355">
            <v>0</v>
          </cell>
        </row>
        <row r="356">
          <cell r="A356" t="str">
            <v>A</v>
          </cell>
          <cell r="B356" t="str">
            <v>MMB40413</v>
          </cell>
          <cell r="C356" t="str">
            <v>동 소켓</v>
          </cell>
          <cell r="D356" t="str">
            <v>D50 MM</v>
          </cell>
          <cell r="E356" t="str">
            <v>개</v>
          </cell>
          <cell r="F356">
            <v>32</v>
          </cell>
          <cell r="G356">
            <v>544</v>
          </cell>
          <cell r="H356">
            <v>0</v>
          </cell>
          <cell r="I356">
            <v>0</v>
          </cell>
        </row>
        <row r="357">
          <cell r="A357" t="str">
            <v>A</v>
          </cell>
          <cell r="B357" t="str">
            <v>MMB40415</v>
          </cell>
          <cell r="C357" t="str">
            <v>동 소켓</v>
          </cell>
          <cell r="D357" t="str">
            <v>D65 MM</v>
          </cell>
          <cell r="E357" t="str">
            <v>개</v>
          </cell>
          <cell r="F357">
            <v>43</v>
          </cell>
          <cell r="G357">
            <v>1092</v>
          </cell>
          <cell r="H357">
            <v>0</v>
          </cell>
          <cell r="I357">
            <v>0</v>
          </cell>
        </row>
        <row r="358">
          <cell r="A358" t="str">
            <v>A</v>
          </cell>
          <cell r="B358" t="str">
            <v>MMB40417</v>
          </cell>
          <cell r="C358" t="str">
            <v>동 소켓</v>
          </cell>
          <cell r="D358" t="str">
            <v>D80 MM</v>
          </cell>
          <cell r="E358" t="str">
            <v>개</v>
          </cell>
          <cell r="F358">
            <v>1</v>
          </cell>
          <cell r="G358">
            <v>1783</v>
          </cell>
          <cell r="H358">
            <v>0</v>
          </cell>
          <cell r="I358">
            <v>0</v>
          </cell>
        </row>
        <row r="359">
          <cell r="A359" t="str">
            <v>A</v>
          </cell>
          <cell r="B359" t="str">
            <v>MMB40507</v>
          </cell>
          <cell r="C359" t="str">
            <v>동 캡</v>
          </cell>
          <cell r="D359" t="str">
            <v>D20 MM</v>
          </cell>
          <cell r="E359" t="str">
            <v>개</v>
          </cell>
          <cell r="F359">
            <v>6</v>
          </cell>
          <cell r="G359">
            <v>133</v>
          </cell>
          <cell r="H359">
            <v>0</v>
          </cell>
          <cell r="I359">
            <v>0</v>
          </cell>
        </row>
        <row r="360">
          <cell r="A360" t="str">
            <v>A</v>
          </cell>
          <cell r="B360" t="str">
            <v>MMB40901</v>
          </cell>
          <cell r="C360" t="str">
            <v>동 3형티</v>
          </cell>
          <cell r="D360" t="str">
            <v>D20X15X15</v>
          </cell>
          <cell r="E360" t="str">
            <v>개</v>
          </cell>
          <cell r="F360">
            <v>928</v>
          </cell>
          <cell r="G360">
            <v>347</v>
          </cell>
          <cell r="H360">
            <v>0</v>
          </cell>
          <cell r="I360">
            <v>0</v>
          </cell>
        </row>
        <row r="361">
          <cell r="A361" t="str">
            <v>A</v>
          </cell>
          <cell r="B361" t="str">
            <v>MMB41310</v>
          </cell>
          <cell r="C361" t="str">
            <v>절연후렌지</v>
          </cell>
          <cell r="D361" t="str">
            <v>D32 MM(10K)</v>
          </cell>
          <cell r="E361" t="str">
            <v>개</v>
          </cell>
          <cell r="F361">
            <v>2</v>
          </cell>
          <cell r="G361">
            <v>3333</v>
          </cell>
          <cell r="H361">
            <v>0</v>
          </cell>
          <cell r="I361">
            <v>0</v>
          </cell>
        </row>
        <row r="362">
          <cell r="A362" t="str">
            <v>A</v>
          </cell>
          <cell r="B362" t="str">
            <v>MMB41313</v>
          </cell>
          <cell r="C362" t="str">
            <v>절연후렌지</v>
          </cell>
          <cell r="D362" t="str">
            <v>D50 MM(10K)</v>
          </cell>
          <cell r="E362" t="str">
            <v>개</v>
          </cell>
          <cell r="F362">
            <v>2</v>
          </cell>
          <cell r="G362">
            <v>4975</v>
          </cell>
          <cell r="H362">
            <v>0</v>
          </cell>
          <cell r="I362">
            <v>0</v>
          </cell>
        </row>
        <row r="363">
          <cell r="A363" t="str">
            <v>A</v>
          </cell>
          <cell r="B363" t="str">
            <v>MMB41315</v>
          </cell>
          <cell r="C363" t="str">
            <v>절연후렌지</v>
          </cell>
          <cell r="D363" t="str">
            <v>D65 MM(10K)</v>
          </cell>
          <cell r="E363" t="str">
            <v>개</v>
          </cell>
          <cell r="F363">
            <v>52</v>
          </cell>
          <cell r="G363">
            <v>7017</v>
          </cell>
          <cell r="H363">
            <v>0</v>
          </cell>
          <cell r="I363">
            <v>0</v>
          </cell>
        </row>
        <row r="364">
          <cell r="A364" t="str">
            <v>A</v>
          </cell>
          <cell r="B364" t="str">
            <v>MMB41317</v>
          </cell>
          <cell r="C364" t="str">
            <v>절연후렌지</v>
          </cell>
          <cell r="D364" t="str">
            <v>D80 MM(10K)</v>
          </cell>
          <cell r="E364" t="str">
            <v>개</v>
          </cell>
          <cell r="F364">
            <v>20</v>
          </cell>
          <cell r="G364">
            <v>7999</v>
          </cell>
          <cell r="H364">
            <v>0</v>
          </cell>
          <cell r="I364">
            <v>0</v>
          </cell>
        </row>
        <row r="365">
          <cell r="A365" t="str">
            <v>A</v>
          </cell>
          <cell r="B365" t="str">
            <v>MMB41415</v>
          </cell>
          <cell r="C365" t="str">
            <v>절연후렌지</v>
          </cell>
          <cell r="D365" t="str">
            <v>D65 MM(20K)</v>
          </cell>
          <cell r="E365" t="str">
            <v>개</v>
          </cell>
          <cell r="F365">
            <v>26</v>
          </cell>
          <cell r="G365">
            <v>9824</v>
          </cell>
          <cell r="H365">
            <v>0</v>
          </cell>
          <cell r="I365">
            <v>0</v>
          </cell>
        </row>
        <row r="366">
          <cell r="A366" t="str">
            <v>A</v>
          </cell>
          <cell r="B366" t="str">
            <v>MMB41417</v>
          </cell>
          <cell r="C366" t="str">
            <v>절연후렌지</v>
          </cell>
          <cell r="D366" t="str">
            <v>D80 MM(20K)</v>
          </cell>
          <cell r="E366" t="str">
            <v>개</v>
          </cell>
          <cell r="F366">
            <v>10</v>
          </cell>
          <cell r="G366">
            <v>11194</v>
          </cell>
          <cell r="H366">
            <v>0</v>
          </cell>
          <cell r="I366">
            <v>0</v>
          </cell>
        </row>
        <row r="367">
          <cell r="A367" t="str">
            <v>A</v>
          </cell>
          <cell r="B367" t="str">
            <v>MMB50105</v>
          </cell>
          <cell r="C367" t="str">
            <v>CM아답타</v>
          </cell>
          <cell r="D367" t="str">
            <v>D15 MM</v>
          </cell>
          <cell r="E367" t="str">
            <v>개</v>
          </cell>
          <cell r="F367">
            <v>1251</v>
          </cell>
          <cell r="G367">
            <v>176</v>
          </cell>
          <cell r="H367">
            <v>0</v>
          </cell>
          <cell r="I367">
            <v>0</v>
          </cell>
        </row>
        <row r="368">
          <cell r="A368" t="str">
            <v>A</v>
          </cell>
          <cell r="B368" t="str">
            <v>MMB50106</v>
          </cell>
          <cell r="C368" t="str">
            <v>CM아답타</v>
          </cell>
          <cell r="D368" t="str">
            <v>D15 x D20</v>
          </cell>
          <cell r="E368" t="str">
            <v>개</v>
          </cell>
          <cell r="F368">
            <v>928</v>
          </cell>
          <cell r="G368">
            <v>351</v>
          </cell>
          <cell r="H368">
            <v>0</v>
          </cell>
          <cell r="I368">
            <v>0</v>
          </cell>
        </row>
        <row r="369">
          <cell r="A369" t="str">
            <v>A</v>
          </cell>
          <cell r="B369" t="str">
            <v>MMB50107</v>
          </cell>
          <cell r="C369" t="str">
            <v>CM아답타</v>
          </cell>
          <cell r="D369" t="str">
            <v>D20 MM</v>
          </cell>
          <cell r="E369" t="str">
            <v>개</v>
          </cell>
          <cell r="F369">
            <v>4</v>
          </cell>
          <cell r="G369">
            <v>351</v>
          </cell>
          <cell r="H369">
            <v>0</v>
          </cell>
          <cell r="I369">
            <v>0</v>
          </cell>
        </row>
        <row r="370">
          <cell r="A370" t="str">
            <v>A</v>
          </cell>
          <cell r="B370" t="str">
            <v>MMB50108</v>
          </cell>
          <cell r="C370" t="str">
            <v>CM아답타</v>
          </cell>
          <cell r="D370" t="str">
            <v>D25 MM</v>
          </cell>
          <cell r="E370" t="str">
            <v>개</v>
          </cell>
          <cell r="F370">
            <v>1</v>
          </cell>
          <cell r="G370">
            <v>639</v>
          </cell>
          <cell r="H370">
            <v>0</v>
          </cell>
          <cell r="I370">
            <v>0</v>
          </cell>
        </row>
        <row r="371">
          <cell r="A371" t="str">
            <v>A</v>
          </cell>
          <cell r="B371" t="str">
            <v>MMB50110</v>
          </cell>
          <cell r="C371" t="str">
            <v>CM아답타</v>
          </cell>
          <cell r="D371" t="str">
            <v>D32 MM</v>
          </cell>
          <cell r="E371" t="str">
            <v>개</v>
          </cell>
          <cell r="F371">
            <v>10</v>
          </cell>
          <cell r="G371">
            <v>1127</v>
          </cell>
          <cell r="H371">
            <v>0</v>
          </cell>
          <cell r="I371">
            <v>0</v>
          </cell>
        </row>
        <row r="372">
          <cell r="A372" t="str">
            <v>A</v>
          </cell>
          <cell r="B372" t="str">
            <v>MMB50112</v>
          </cell>
          <cell r="C372" t="str">
            <v>CM아답타</v>
          </cell>
          <cell r="D372" t="str">
            <v>D40 MM</v>
          </cell>
          <cell r="E372" t="str">
            <v>개</v>
          </cell>
          <cell r="F372">
            <v>136</v>
          </cell>
          <cell r="G372">
            <v>1656</v>
          </cell>
          <cell r="H372">
            <v>0</v>
          </cell>
          <cell r="I372">
            <v>0</v>
          </cell>
        </row>
        <row r="373">
          <cell r="A373" t="str">
            <v>A</v>
          </cell>
          <cell r="B373" t="str">
            <v>MMB50205</v>
          </cell>
          <cell r="C373" t="str">
            <v>CF아답타</v>
          </cell>
          <cell r="D373" t="str">
            <v>D15 MM</v>
          </cell>
          <cell r="E373" t="str">
            <v>개</v>
          </cell>
          <cell r="F373">
            <v>3993</v>
          </cell>
          <cell r="G373">
            <v>246</v>
          </cell>
          <cell r="H373">
            <v>0</v>
          </cell>
          <cell r="I373">
            <v>0</v>
          </cell>
        </row>
        <row r="374">
          <cell r="A374" t="str">
            <v>A</v>
          </cell>
          <cell r="B374" t="str">
            <v>MMB50207</v>
          </cell>
          <cell r="C374" t="str">
            <v>CF아답타</v>
          </cell>
          <cell r="D374" t="str">
            <v>D20 MM</v>
          </cell>
          <cell r="E374" t="str">
            <v>개</v>
          </cell>
          <cell r="F374">
            <v>4</v>
          </cell>
          <cell r="G374">
            <v>429</v>
          </cell>
          <cell r="H374">
            <v>0</v>
          </cell>
          <cell r="I374">
            <v>0</v>
          </cell>
        </row>
        <row r="375">
          <cell r="A375" t="str">
            <v>A</v>
          </cell>
          <cell r="B375" t="str">
            <v>MMB50208</v>
          </cell>
          <cell r="C375" t="str">
            <v>CF아답타</v>
          </cell>
          <cell r="D375" t="str">
            <v>D25 MM</v>
          </cell>
          <cell r="E375" t="str">
            <v>개</v>
          </cell>
          <cell r="F375">
            <v>1</v>
          </cell>
          <cell r="G375">
            <v>1105</v>
          </cell>
          <cell r="H375">
            <v>0</v>
          </cell>
          <cell r="I375">
            <v>0</v>
          </cell>
        </row>
        <row r="376">
          <cell r="A376" t="str">
            <v>A</v>
          </cell>
          <cell r="B376" t="str">
            <v>MMB50210</v>
          </cell>
          <cell r="C376" t="str">
            <v>CF아답타</v>
          </cell>
          <cell r="D376" t="str">
            <v>D32 MM</v>
          </cell>
          <cell r="E376" t="str">
            <v>개</v>
          </cell>
          <cell r="F376">
            <v>4</v>
          </cell>
          <cell r="G376">
            <v>1848</v>
          </cell>
          <cell r="H376">
            <v>0</v>
          </cell>
          <cell r="I376">
            <v>0</v>
          </cell>
        </row>
        <row r="377">
          <cell r="A377" t="str">
            <v>A</v>
          </cell>
          <cell r="B377" t="str">
            <v>MMB50505</v>
          </cell>
          <cell r="C377" t="str">
            <v>CM유니온</v>
          </cell>
          <cell r="D377" t="str">
            <v>D15 MM</v>
          </cell>
          <cell r="E377" t="str">
            <v>개</v>
          </cell>
          <cell r="F377">
            <v>18</v>
          </cell>
          <cell r="G377">
            <v>712</v>
          </cell>
          <cell r="H377">
            <v>0</v>
          </cell>
          <cell r="I377">
            <v>0</v>
          </cell>
        </row>
        <row r="378">
          <cell r="A378" t="str">
            <v>A</v>
          </cell>
          <cell r="B378" t="str">
            <v>MMB50508</v>
          </cell>
          <cell r="C378" t="str">
            <v>CM유니온</v>
          </cell>
          <cell r="D378" t="str">
            <v>D25 MM</v>
          </cell>
          <cell r="E378" t="str">
            <v>개</v>
          </cell>
          <cell r="F378">
            <v>1</v>
          </cell>
          <cell r="G378">
            <v>2229</v>
          </cell>
          <cell r="H378">
            <v>0</v>
          </cell>
          <cell r="I378">
            <v>0</v>
          </cell>
        </row>
        <row r="379">
          <cell r="A379" t="str">
            <v>A</v>
          </cell>
          <cell r="B379" t="str">
            <v>MMB50510</v>
          </cell>
          <cell r="C379" t="str">
            <v>CM유니온</v>
          </cell>
          <cell r="D379" t="str">
            <v>D32 MM</v>
          </cell>
          <cell r="E379" t="str">
            <v>개</v>
          </cell>
          <cell r="F379">
            <v>4</v>
          </cell>
          <cell r="G379">
            <v>3315</v>
          </cell>
          <cell r="H379">
            <v>0</v>
          </cell>
          <cell r="I379">
            <v>0</v>
          </cell>
        </row>
        <row r="380">
          <cell r="A380" t="str">
            <v>A</v>
          </cell>
          <cell r="B380" t="str">
            <v>MMB50512</v>
          </cell>
          <cell r="C380" t="str">
            <v>CM유니온</v>
          </cell>
          <cell r="D380" t="str">
            <v>D40 MM</v>
          </cell>
          <cell r="E380" t="str">
            <v>개</v>
          </cell>
          <cell r="F380">
            <v>128</v>
          </cell>
          <cell r="G380">
            <v>4932</v>
          </cell>
          <cell r="H380">
            <v>0</v>
          </cell>
          <cell r="I380">
            <v>0</v>
          </cell>
        </row>
        <row r="381">
          <cell r="A381" t="str">
            <v>A</v>
          </cell>
          <cell r="B381" t="str">
            <v>MMB50513</v>
          </cell>
          <cell r="C381" t="str">
            <v>CM유니온</v>
          </cell>
          <cell r="D381" t="str">
            <v>D50 MM</v>
          </cell>
          <cell r="E381" t="str">
            <v>개</v>
          </cell>
          <cell r="F381">
            <v>2</v>
          </cell>
          <cell r="G381">
            <v>6460</v>
          </cell>
          <cell r="H381">
            <v>0</v>
          </cell>
          <cell r="I381">
            <v>0</v>
          </cell>
        </row>
        <row r="382">
          <cell r="A382" t="str">
            <v>A</v>
          </cell>
          <cell r="B382" t="str">
            <v>MMB51105</v>
          </cell>
          <cell r="C382" t="str">
            <v>CF엘보 아답타</v>
          </cell>
          <cell r="D382" t="str">
            <v>D15 MM</v>
          </cell>
          <cell r="E382" t="str">
            <v>개</v>
          </cell>
          <cell r="F382">
            <v>934</v>
          </cell>
          <cell r="G382">
            <v>385</v>
          </cell>
          <cell r="H382">
            <v>0</v>
          </cell>
          <cell r="I382">
            <v>0</v>
          </cell>
        </row>
        <row r="383">
          <cell r="A383" t="str">
            <v>A</v>
          </cell>
          <cell r="B383" t="str">
            <v>MMB51106</v>
          </cell>
          <cell r="C383" t="str">
            <v>CF엘보 아답타</v>
          </cell>
          <cell r="D383" t="str">
            <v>D15 x D20</v>
          </cell>
          <cell r="E383" t="str">
            <v>개</v>
          </cell>
          <cell r="F383">
            <v>928</v>
          </cell>
          <cell r="G383">
            <v>829</v>
          </cell>
          <cell r="H383">
            <v>0</v>
          </cell>
          <cell r="I383">
            <v>0</v>
          </cell>
        </row>
        <row r="384">
          <cell r="A384" t="str">
            <v>A</v>
          </cell>
          <cell r="B384" t="str">
            <v>MMB51405</v>
          </cell>
          <cell r="C384" t="str">
            <v>장티아답타</v>
          </cell>
          <cell r="D384" t="str">
            <v>D15 MM</v>
          </cell>
          <cell r="E384" t="str">
            <v>개</v>
          </cell>
          <cell r="F384">
            <v>498</v>
          </cell>
          <cell r="G384">
            <v>606</v>
          </cell>
          <cell r="H384">
            <v>0</v>
          </cell>
          <cell r="I384">
            <v>0</v>
          </cell>
        </row>
        <row r="385">
          <cell r="A385" t="str">
            <v>A</v>
          </cell>
          <cell r="B385" t="str">
            <v>MMB51505</v>
          </cell>
          <cell r="C385" t="str">
            <v>장암엘보아답타</v>
          </cell>
          <cell r="D385" t="str">
            <v>D15 MM</v>
          </cell>
          <cell r="E385" t="str">
            <v>개</v>
          </cell>
          <cell r="F385">
            <v>3082</v>
          </cell>
          <cell r="G385">
            <v>487</v>
          </cell>
          <cell r="H385">
            <v>0</v>
          </cell>
          <cell r="I385">
            <v>0</v>
          </cell>
        </row>
        <row r="386">
          <cell r="A386" t="str">
            <v>A</v>
          </cell>
          <cell r="B386" t="str">
            <v>MMB51507</v>
          </cell>
          <cell r="C386" t="str">
            <v>장암엘보아답타</v>
          </cell>
          <cell r="D386" t="str">
            <v>D20 MM</v>
          </cell>
          <cell r="E386" t="str">
            <v>개</v>
          </cell>
          <cell r="F386">
            <v>2</v>
          </cell>
          <cell r="G386">
            <v>829</v>
          </cell>
          <cell r="H386">
            <v>0</v>
          </cell>
          <cell r="I386">
            <v>0</v>
          </cell>
        </row>
        <row r="387">
          <cell r="A387" t="str">
            <v>A</v>
          </cell>
          <cell r="B387" t="str">
            <v>MMG40103</v>
          </cell>
          <cell r="C387" t="str">
            <v>화초물뿌리개(호스+GUN)</v>
          </cell>
          <cell r="D387" t="str">
            <v>D15 MM</v>
          </cell>
          <cell r="E387" t="str">
            <v>개</v>
          </cell>
          <cell r="F387">
            <v>142</v>
          </cell>
          <cell r="G387">
            <v>5760</v>
          </cell>
          <cell r="H387">
            <v>0</v>
          </cell>
          <cell r="I387">
            <v>0</v>
          </cell>
        </row>
        <row r="388">
          <cell r="A388" t="str">
            <v>A</v>
          </cell>
          <cell r="B388" t="str">
            <v>MMO10505</v>
          </cell>
          <cell r="C388" t="str">
            <v>절연 행가</v>
          </cell>
          <cell r="D388" t="str">
            <v>D15 MM</v>
          </cell>
          <cell r="E388" t="str">
            <v>개</v>
          </cell>
          <cell r="F388">
            <v>182</v>
          </cell>
          <cell r="G388">
            <v>360</v>
          </cell>
          <cell r="H388">
            <v>0</v>
          </cell>
          <cell r="I388">
            <v>0</v>
          </cell>
        </row>
        <row r="389">
          <cell r="A389" t="str">
            <v>A</v>
          </cell>
          <cell r="B389" t="str">
            <v>MMO10507</v>
          </cell>
          <cell r="C389" t="str">
            <v>절연 행가</v>
          </cell>
          <cell r="D389" t="str">
            <v>D20 MM</v>
          </cell>
          <cell r="E389" t="str">
            <v>개</v>
          </cell>
          <cell r="F389">
            <v>19</v>
          </cell>
          <cell r="G389">
            <v>396</v>
          </cell>
          <cell r="H389">
            <v>0</v>
          </cell>
          <cell r="I389">
            <v>0</v>
          </cell>
        </row>
        <row r="390">
          <cell r="A390" t="str">
            <v>A</v>
          </cell>
          <cell r="B390" t="str">
            <v>MMO10508</v>
          </cell>
          <cell r="C390" t="str">
            <v>절연 행가</v>
          </cell>
          <cell r="D390" t="str">
            <v>D25 MM</v>
          </cell>
          <cell r="E390" t="str">
            <v>개</v>
          </cell>
          <cell r="F390">
            <v>15</v>
          </cell>
          <cell r="G390">
            <v>432</v>
          </cell>
          <cell r="H390">
            <v>0</v>
          </cell>
          <cell r="I390">
            <v>0</v>
          </cell>
        </row>
        <row r="391">
          <cell r="A391" t="str">
            <v>A</v>
          </cell>
          <cell r="B391" t="str">
            <v>MMO10510</v>
          </cell>
          <cell r="C391" t="str">
            <v>절연 행가</v>
          </cell>
          <cell r="D391" t="str">
            <v>D32 MM</v>
          </cell>
          <cell r="E391" t="str">
            <v>개</v>
          </cell>
          <cell r="F391">
            <v>72</v>
          </cell>
          <cell r="G391">
            <v>504</v>
          </cell>
          <cell r="H391">
            <v>0</v>
          </cell>
          <cell r="I391">
            <v>0</v>
          </cell>
        </row>
        <row r="392">
          <cell r="A392" t="str">
            <v>A</v>
          </cell>
          <cell r="B392" t="str">
            <v>MMO10512</v>
          </cell>
          <cell r="C392" t="str">
            <v>절연 행가</v>
          </cell>
          <cell r="D392" t="str">
            <v>D40 MM</v>
          </cell>
          <cell r="E392" t="str">
            <v>개</v>
          </cell>
          <cell r="F392">
            <v>164</v>
          </cell>
          <cell r="G392">
            <v>540</v>
          </cell>
          <cell r="H392">
            <v>0</v>
          </cell>
          <cell r="I392">
            <v>0</v>
          </cell>
        </row>
        <row r="393">
          <cell r="A393" t="str">
            <v>A</v>
          </cell>
          <cell r="B393" t="str">
            <v>MMO10513</v>
          </cell>
          <cell r="C393" t="str">
            <v>절연 행가</v>
          </cell>
          <cell r="D393" t="str">
            <v>D50 MM</v>
          </cell>
          <cell r="E393" t="str">
            <v>개</v>
          </cell>
          <cell r="F393">
            <v>154</v>
          </cell>
          <cell r="G393">
            <v>720</v>
          </cell>
          <cell r="H393">
            <v>0</v>
          </cell>
          <cell r="I393">
            <v>0</v>
          </cell>
        </row>
        <row r="394">
          <cell r="A394" t="str">
            <v>A</v>
          </cell>
          <cell r="B394" t="str">
            <v>MMO31208</v>
          </cell>
          <cell r="C394" t="str">
            <v>스리브(PVC제)</v>
          </cell>
          <cell r="D394" t="str">
            <v>D25 MM</v>
          </cell>
          <cell r="E394" t="str">
            <v>M</v>
          </cell>
          <cell r="F394">
            <v>542.22</v>
          </cell>
          <cell r="G394">
            <v>300</v>
          </cell>
          <cell r="H394">
            <v>0</v>
          </cell>
          <cell r="I394">
            <v>0</v>
          </cell>
        </row>
        <row r="395">
          <cell r="A395" t="str">
            <v>A</v>
          </cell>
          <cell r="B395" t="str">
            <v>MMO31816</v>
          </cell>
          <cell r="C395" t="str">
            <v>PD입상관 성형스리브</v>
          </cell>
          <cell r="D395" t="str">
            <v>D75 X 135H</v>
          </cell>
          <cell r="E395" t="str">
            <v>개</v>
          </cell>
          <cell r="F395">
            <v>252</v>
          </cell>
          <cell r="G395">
            <v>576</v>
          </cell>
          <cell r="H395">
            <v>0</v>
          </cell>
          <cell r="I395">
            <v>0</v>
          </cell>
        </row>
        <row r="396">
          <cell r="A396" t="str">
            <v>A</v>
          </cell>
          <cell r="B396" t="str">
            <v>MMO31818</v>
          </cell>
          <cell r="C396" t="str">
            <v>PD입상관 성형스리브</v>
          </cell>
          <cell r="D396" t="str">
            <v>D100 X 135H</v>
          </cell>
          <cell r="E396" t="str">
            <v>개</v>
          </cell>
          <cell r="F396">
            <v>1190</v>
          </cell>
          <cell r="G396">
            <v>720</v>
          </cell>
          <cell r="H396">
            <v>0</v>
          </cell>
          <cell r="I396">
            <v>0</v>
          </cell>
        </row>
        <row r="397">
          <cell r="A397" t="str">
            <v>A</v>
          </cell>
          <cell r="B397" t="str">
            <v>MMO31821</v>
          </cell>
          <cell r="C397" t="str">
            <v>PD입상관 성형스리브</v>
          </cell>
          <cell r="D397" t="str">
            <v>D150 X 135H</v>
          </cell>
          <cell r="E397" t="str">
            <v>개</v>
          </cell>
          <cell r="F397">
            <v>4</v>
          </cell>
          <cell r="G397">
            <v>1008</v>
          </cell>
          <cell r="H397">
            <v>0</v>
          </cell>
          <cell r="I397">
            <v>0</v>
          </cell>
        </row>
        <row r="398">
          <cell r="A398" t="str">
            <v>A</v>
          </cell>
          <cell r="B398" t="str">
            <v>MMZ52110</v>
          </cell>
          <cell r="C398" t="str">
            <v>화살표식(PE필름)</v>
          </cell>
          <cell r="D398" t="str">
            <v>50X110</v>
          </cell>
          <cell r="E398" t="str">
            <v>개</v>
          </cell>
          <cell r="F398">
            <v>108</v>
          </cell>
          <cell r="G398">
            <v>720</v>
          </cell>
          <cell r="H398">
            <v>0</v>
          </cell>
          <cell r="I398">
            <v>0</v>
          </cell>
        </row>
        <row r="399">
          <cell r="A399" t="str">
            <v>A</v>
          </cell>
          <cell r="B399" t="str">
            <v>MMZ52112</v>
          </cell>
          <cell r="C399" t="str">
            <v>밸브인식표</v>
          </cell>
          <cell r="D399" t="str">
            <v>60X100X3T</v>
          </cell>
          <cell r="E399" t="str">
            <v>개</v>
          </cell>
          <cell r="F399">
            <v>683</v>
          </cell>
          <cell r="G399">
            <v>1080</v>
          </cell>
          <cell r="H399">
            <v>0</v>
          </cell>
          <cell r="I399">
            <v>0</v>
          </cell>
        </row>
        <row r="400">
          <cell r="A400" t="str">
            <v>A</v>
          </cell>
          <cell r="B400" t="str">
            <v>UAA20710</v>
          </cell>
          <cell r="C400" t="str">
            <v>이동식 강관조립 말비계</v>
          </cell>
          <cell r="D400" t="str">
            <v>(6개월 H=2M 1단)</v>
          </cell>
          <cell r="E400" t="str">
            <v>대</v>
          </cell>
          <cell r="F400">
            <v>38</v>
          </cell>
          <cell r="G400">
            <v>11776</v>
          </cell>
          <cell r="H400">
            <v>26988</v>
          </cell>
          <cell r="I400">
            <v>0</v>
          </cell>
        </row>
        <row r="401">
          <cell r="A401" t="str">
            <v>A</v>
          </cell>
          <cell r="B401" t="str">
            <v>UAC10950</v>
          </cell>
          <cell r="C401" t="str">
            <v>철제거푸집 15회(기계)</v>
          </cell>
          <cell r="E401" t="str">
            <v>M</v>
          </cell>
          <cell r="F401">
            <v>377.58</v>
          </cell>
          <cell r="G401">
            <v>100</v>
          </cell>
          <cell r="H401">
            <v>200</v>
          </cell>
          <cell r="I401">
            <v>0</v>
          </cell>
        </row>
        <row r="402">
          <cell r="A402" t="str">
            <v>A</v>
          </cell>
          <cell r="B402" t="str">
            <v>UAC10955</v>
          </cell>
          <cell r="C402" t="str">
            <v>하향식 철제거푸집 15회(화장실용)(기계)</v>
          </cell>
          <cell r="E402" t="str">
            <v>개소</v>
          </cell>
          <cell r="F402">
            <v>60</v>
          </cell>
          <cell r="G402">
            <v>82</v>
          </cell>
          <cell r="H402">
            <v>264</v>
          </cell>
          <cell r="I402">
            <v>5</v>
          </cell>
        </row>
        <row r="403">
          <cell r="A403" t="str">
            <v>A</v>
          </cell>
          <cell r="B403" t="str">
            <v>UMA52305</v>
          </cell>
          <cell r="C403" t="str">
            <v>동관 옥내 배관</v>
          </cell>
          <cell r="D403" t="str">
            <v>D15 MM,  (M TYPE)</v>
          </cell>
          <cell r="E403" t="str">
            <v>M</v>
          </cell>
          <cell r="F403">
            <v>23679.53</v>
          </cell>
          <cell r="G403">
            <v>700</v>
          </cell>
          <cell r="H403">
            <v>1600</v>
          </cell>
          <cell r="I403">
            <v>0</v>
          </cell>
        </row>
        <row r="404">
          <cell r="A404" t="str">
            <v>A</v>
          </cell>
          <cell r="B404" t="str">
            <v>UMA52307</v>
          </cell>
          <cell r="C404" t="str">
            <v>동관 옥내 배관</v>
          </cell>
          <cell r="D404" t="str">
            <v>D20 MM,  (M TYPE)</v>
          </cell>
          <cell r="E404" t="str">
            <v>M</v>
          </cell>
          <cell r="F404">
            <v>2824.5</v>
          </cell>
          <cell r="G404">
            <v>1200</v>
          </cell>
          <cell r="H404">
            <v>1700</v>
          </cell>
          <cell r="I404">
            <v>0</v>
          </cell>
        </row>
        <row r="405">
          <cell r="A405" t="str">
            <v>A</v>
          </cell>
          <cell r="B405" t="str">
            <v>UMA52308</v>
          </cell>
          <cell r="C405" t="str">
            <v>동관 옥내 배관</v>
          </cell>
          <cell r="D405" t="str">
            <v>D25 MM,  (M TYPE)</v>
          </cell>
          <cell r="E405" t="str">
            <v>M</v>
          </cell>
          <cell r="F405">
            <v>11.98</v>
          </cell>
          <cell r="G405">
            <v>1700</v>
          </cell>
          <cell r="H405">
            <v>2000</v>
          </cell>
          <cell r="I405">
            <v>0</v>
          </cell>
        </row>
        <row r="406">
          <cell r="A406" t="str">
            <v>A</v>
          </cell>
          <cell r="B406" t="str">
            <v>UMA52310</v>
          </cell>
          <cell r="C406" t="str">
            <v>동관 옥내 배관</v>
          </cell>
          <cell r="D406" t="str">
            <v>D32 MM, (M TYPE)</v>
          </cell>
          <cell r="E406" t="str">
            <v>M</v>
          </cell>
          <cell r="F406">
            <v>98.06</v>
          </cell>
          <cell r="G406">
            <v>2600</v>
          </cell>
          <cell r="H406">
            <v>2500</v>
          </cell>
          <cell r="I406">
            <v>100</v>
          </cell>
        </row>
        <row r="407">
          <cell r="A407" t="str">
            <v>A</v>
          </cell>
          <cell r="B407" t="str">
            <v>UMA52312</v>
          </cell>
          <cell r="C407" t="str">
            <v>동관 옥내 배관</v>
          </cell>
          <cell r="D407" t="str">
            <v>D40 MM,  (M TYPE)</v>
          </cell>
          <cell r="E407" t="str">
            <v>M</v>
          </cell>
          <cell r="F407">
            <v>5.45</v>
          </cell>
          <cell r="G407">
            <v>3500</v>
          </cell>
          <cell r="H407">
            <v>2800</v>
          </cell>
          <cell r="I407">
            <v>100</v>
          </cell>
        </row>
        <row r="408">
          <cell r="A408" t="str">
            <v>A</v>
          </cell>
          <cell r="B408" t="str">
            <v>UMA52405</v>
          </cell>
          <cell r="C408" t="str">
            <v>동관 화장실 배관</v>
          </cell>
          <cell r="D408" t="str">
            <v>D15 MM,  (M TYPE)</v>
          </cell>
          <cell r="E408" t="str">
            <v>M</v>
          </cell>
          <cell r="F408">
            <v>1813.55</v>
          </cell>
          <cell r="G408">
            <v>800</v>
          </cell>
          <cell r="H408">
            <v>1700</v>
          </cell>
          <cell r="I408">
            <v>0</v>
          </cell>
        </row>
        <row r="409">
          <cell r="A409" t="str">
            <v>A</v>
          </cell>
          <cell r="B409" t="str">
            <v>UMA52407</v>
          </cell>
          <cell r="C409" t="str">
            <v>동관 화장실 배관</v>
          </cell>
          <cell r="D409" t="str">
            <v>D20 MM,  (M TYPE)</v>
          </cell>
          <cell r="E409" t="str">
            <v>M</v>
          </cell>
          <cell r="F409">
            <v>964.18</v>
          </cell>
          <cell r="G409">
            <v>1200</v>
          </cell>
          <cell r="H409">
            <v>2000</v>
          </cell>
          <cell r="I409">
            <v>0</v>
          </cell>
        </row>
        <row r="410">
          <cell r="A410" t="str">
            <v>A</v>
          </cell>
          <cell r="B410" t="str">
            <v>UMA52408</v>
          </cell>
          <cell r="C410" t="str">
            <v>동관 화장실 배관</v>
          </cell>
          <cell r="D410" t="str">
            <v>D25 MM,  (M TYPE)</v>
          </cell>
          <cell r="E410" t="str">
            <v>M</v>
          </cell>
          <cell r="F410">
            <v>12.7</v>
          </cell>
          <cell r="G410">
            <v>1700</v>
          </cell>
          <cell r="H410">
            <v>2400</v>
          </cell>
          <cell r="I410">
            <v>0</v>
          </cell>
        </row>
        <row r="411">
          <cell r="A411" t="str">
            <v>A</v>
          </cell>
          <cell r="B411" t="str">
            <v>UMA52410</v>
          </cell>
          <cell r="C411" t="str">
            <v>동관 화장실 배관</v>
          </cell>
          <cell r="D411" t="str">
            <v>D32 MM,  (M TYPE)</v>
          </cell>
          <cell r="E411" t="str">
            <v>M</v>
          </cell>
          <cell r="F411">
            <v>2.5</v>
          </cell>
          <cell r="G411">
            <v>2552</v>
          </cell>
          <cell r="H411">
            <v>3035</v>
          </cell>
          <cell r="I411">
            <v>60</v>
          </cell>
        </row>
        <row r="412">
          <cell r="A412" t="str">
            <v>A</v>
          </cell>
          <cell r="B412" t="str">
            <v>UMA54205</v>
          </cell>
          <cell r="C412" t="str">
            <v>동관 옥내 배관</v>
          </cell>
          <cell r="D412" t="str">
            <v>D15 MM, (L TYPE)</v>
          </cell>
          <cell r="E412" t="str">
            <v>M</v>
          </cell>
          <cell r="F412">
            <v>143.58000000000001</v>
          </cell>
          <cell r="G412">
            <v>1100</v>
          </cell>
          <cell r="H412">
            <v>1400</v>
          </cell>
          <cell r="I412">
            <v>0</v>
          </cell>
        </row>
        <row r="413">
          <cell r="A413" t="str">
            <v>A</v>
          </cell>
          <cell r="B413" t="str">
            <v>UMA54207</v>
          </cell>
          <cell r="C413" t="str">
            <v>동관 옥내 배관</v>
          </cell>
          <cell r="D413" t="str">
            <v>D20 MM, (L TYPE)</v>
          </cell>
          <cell r="E413" t="str">
            <v>M</v>
          </cell>
          <cell r="F413">
            <v>365.4</v>
          </cell>
          <cell r="G413">
            <v>1700</v>
          </cell>
          <cell r="H413">
            <v>1700</v>
          </cell>
          <cell r="I413">
            <v>0</v>
          </cell>
        </row>
        <row r="414">
          <cell r="A414" t="str">
            <v>A</v>
          </cell>
          <cell r="B414" t="str">
            <v>UMA54208</v>
          </cell>
          <cell r="C414" t="str">
            <v>동관 옥내 배관</v>
          </cell>
          <cell r="D414" t="str">
            <v>D25 MM, (L TYPE)</v>
          </cell>
          <cell r="E414" t="str">
            <v>M</v>
          </cell>
          <cell r="F414">
            <v>327.60000000000002</v>
          </cell>
          <cell r="G414">
            <v>2442</v>
          </cell>
          <cell r="H414">
            <v>2025</v>
          </cell>
          <cell r="I414">
            <v>40</v>
          </cell>
        </row>
        <row r="415">
          <cell r="A415" t="str">
            <v>A</v>
          </cell>
          <cell r="B415" t="str">
            <v>UMA54210</v>
          </cell>
          <cell r="C415" t="str">
            <v>동관 옥내 배관</v>
          </cell>
          <cell r="D415" t="str">
            <v>D32 MM, (L TYPE)</v>
          </cell>
          <cell r="E415" t="str">
            <v>M</v>
          </cell>
          <cell r="F415">
            <v>709.39</v>
          </cell>
          <cell r="G415">
            <v>3300</v>
          </cell>
          <cell r="H415">
            <v>2500</v>
          </cell>
          <cell r="I415">
            <v>100</v>
          </cell>
        </row>
        <row r="416">
          <cell r="A416" t="str">
            <v>A</v>
          </cell>
          <cell r="B416" t="str">
            <v>UMA54212</v>
          </cell>
          <cell r="C416" t="str">
            <v>동관 옥내 배관</v>
          </cell>
          <cell r="D416" t="str">
            <v>D40 MM, (L TYPE)</v>
          </cell>
          <cell r="E416" t="str">
            <v>M</v>
          </cell>
          <cell r="F416">
            <v>2549.6999999999998</v>
          </cell>
          <cell r="G416">
            <v>4200</v>
          </cell>
          <cell r="H416">
            <v>2800</v>
          </cell>
          <cell r="I416">
            <v>100</v>
          </cell>
        </row>
        <row r="417">
          <cell r="A417" t="str">
            <v>A</v>
          </cell>
          <cell r="B417" t="str">
            <v>UMA54213</v>
          </cell>
          <cell r="C417" t="str">
            <v>동관 옥내 배관</v>
          </cell>
          <cell r="D417" t="str">
            <v>D50 MM, (L TYPE)</v>
          </cell>
          <cell r="E417" t="str">
            <v>M</v>
          </cell>
          <cell r="F417">
            <v>428.7</v>
          </cell>
          <cell r="G417">
            <v>6500</v>
          </cell>
          <cell r="H417">
            <v>3500</v>
          </cell>
          <cell r="I417">
            <v>100</v>
          </cell>
        </row>
        <row r="418">
          <cell r="A418" t="str">
            <v>A</v>
          </cell>
          <cell r="B418" t="str">
            <v>UMA54215</v>
          </cell>
          <cell r="C418" t="str">
            <v>동관 옥내 배관</v>
          </cell>
          <cell r="D418" t="str">
            <v>D65 MM, (L TYPE)</v>
          </cell>
          <cell r="E418" t="str">
            <v>M</v>
          </cell>
          <cell r="F418">
            <v>857.6</v>
          </cell>
          <cell r="G418">
            <v>9300</v>
          </cell>
          <cell r="H418">
            <v>4500</v>
          </cell>
          <cell r="I418">
            <v>100</v>
          </cell>
        </row>
        <row r="419">
          <cell r="A419" t="str">
            <v>A</v>
          </cell>
          <cell r="B419" t="str">
            <v>UMA54217</v>
          </cell>
          <cell r="C419" t="str">
            <v>동관 옥내 배관</v>
          </cell>
          <cell r="D419" t="str">
            <v>D80 MM, (L TYPE)</v>
          </cell>
          <cell r="E419" t="str">
            <v>M</v>
          </cell>
          <cell r="F419">
            <v>66.099999999999994</v>
          </cell>
          <cell r="G419">
            <v>12600</v>
          </cell>
          <cell r="H419">
            <v>5200</v>
          </cell>
          <cell r="I419">
            <v>100</v>
          </cell>
        </row>
        <row r="420">
          <cell r="A420" t="str">
            <v>A</v>
          </cell>
          <cell r="B420" t="str">
            <v>UMC24108</v>
          </cell>
          <cell r="C420" t="str">
            <v>동관용접 (BRAZING)</v>
          </cell>
          <cell r="D420" t="str">
            <v>D25 MM</v>
          </cell>
          <cell r="E420" t="str">
            <v>개소</v>
          </cell>
          <cell r="F420">
            <v>601</v>
          </cell>
          <cell r="G420">
            <v>174</v>
          </cell>
          <cell r="H420">
            <v>1455</v>
          </cell>
          <cell r="I420">
            <v>29</v>
          </cell>
        </row>
        <row r="421">
          <cell r="A421" t="str">
            <v>A</v>
          </cell>
          <cell r="B421" t="str">
            <v>UMC24110</v>
          </cell>
          <cell r="C421" t="str">
            <v>동관용접 (BRAZING)</v>
          </cell>
          <cell r="D421" t="str">
            <v>D32 MM</v>
          </cell>
          <cell r="E421" t="str">
            <v>개소</v>
          </cell>
          <cell r="F421">
            <v>920</v>
          </cell>
          <cell r="G421">
            <v>240</v>
          </cell>
          <cell r="H421">
            <v>1781</v>
          </cell>
          <cell r="I421">
            <v>35</v>
          </cell>
        </row>
        <row r="422">
          <cell r="A422" t="str">
            <v>A</v>
          </cell>
          <cell r="B422" t="str">
            <v>UMC24112</v>
          </cell>
          <cell r="C422" t="str">
            <v>동관용접 (BRAZING)</v>
          </cell>
          <cell r="D422" t="str">
            <v>D40 MM</v>
          </cell>
          <cell r="E422" t="str">
            <v>개소</v>
          </cell>
          <cell r="F422">
            <v>3108</v>
          </cell>
          <cell r="G422">
            <v>314</v>
          </cell>
          <cell r="H422">
            <v>1958</v>
          </cell>
          <cell r="I422">
            <v>39</v>
          </cell>
        </row>
        <row r="423">
          <cell r="A423" t="str">
            <v>A</v>
          </cell>
          <cell r="B423" t="str">
            <v>UMC24113</v>
          </cell>
          <cell r="C423" t="str">
            <v>동관용접 (BRAZING)</v>
          </cell>
          <cell r="D423" t="str">
            <v>D50 MM</v>
          </cell>
          <cell r="E423" t="str">
            <v>개소</v>
          </cell>
          <cell r="F423">
            <v>280</v>
          </cell>
          <cell r="G423">
            <v>444</v>
          </cell>
          <cell r="H423">
            <v>2462</v>
          </cell>
          <cell r="I423">
            <v>49</v>
          </cell>
        </row>
        <row r="424">
          <cell r="A424" t="str">
            <v>A</v>
          </cell>
          <cell r="B424" t="str">
            <v>UMC24115</v>
          </cell>
          <cell r="C424" t="str">
            <v>동관용접 (BRAZING)</v>
          </cell>
          <cell r="D424" t="str">
            <v>D65 MM</v>
          </cell>
          <cell r="E424" t="str">
            <v>개소</v>
          </cell>
          <cell r="F424">
            <v>685</v>
          </cell>
          <cell r="G424">
            <v>579</v>
          </cell>
          <cell r="H424">
            <v>3164</v>
          </cell>
          <cell r="I424">
            <v>63</v>
          </cell>
        </row>
        <row r="425">
          <cell r="A425" t="str">
            <v>A</v>
          </cell>
          <cell r="B425" t="str">
            <v>UMC24117</v>
          </cell>
          <cell r="C425" t="str">
            <v>동관용접 (BRAZING)</v>
          </cell>
          <cell r="D425" t="str">
            <v>D80 MM</v>
          </cell>
          <cell r="E425" t="str">
            <v>개소</v>
          </cell>
          <cell r="F425">
            <v>113</v>
          </cell>
          <cell r="G425">
            <v>800</v>
          </cell>
          <cell r="H425">
            <v>3668</v>
          </cell>
          <cell r="I425">
            <v>73</v>
          </cell>
        </row>
        <row r="426">
          <cell r="A426" t="str">
            <v>A</v>
          </cell>
          <cell r="B426" t="str">
            <v>UMC24305</v>
          </cell>
          <cell r="C426" t="str">
            <v>동관용접 (SOLDERING)</v>
          </cell>
          <cell r="D426" t="str">
            <v>D15 MM</v>
          </cell>
          <cell r="E426" t="str">
            <v>개소</v>
          </cell>
          <cell r="F426">
            <v>50038</v>
          </cell>
          <cell r="G426">
            <v>30</v>
          </cell>
          <cell r="H426">
            <v>960</v>
          </cell>
          <cell r="I426">
            <v>19</v>
          </cell>
        </row>
        <row r="427">
          <cell r="A427" t="str">
            <v>A</v>
          </cell>
          <cell r="B427" t="str">
            <v>UMC24307</v>
          </cell>
          <cell r="C427" t="str">
            <v>동관용접 (SOLDERING)</v>
          </cell>
          <cell r="D427" t="str">
            <v>D20 MM</v>
          </cell>
          <cell r="E427" t="str">
            <v>개소</v>
          </cell>
          <cell r="F427">
            <v>10551</v>
          </cell>
          <cell r="G427">
            <v>47</v>
          </cell>
          <cell r="H427">
            <v>1108</v>
          </cell>
          <cell r="I427">
            <v>22</v>
          </cell>
        </row>
        <row r="428">
          <cell r="A428" t="str">
            <v>A</v>
          </cell>
          <cell r="B428" t="str">
            <v>UMC38610</v>
          </cell>
          <cell r="C428" t="str">
            <v>절연플랜지접합 부자재</v>
          </cell>
          <cell r="D428" t="str">
            <v>D32 MM</v>
          </cell>
          <cell r="E428" t="str">
            <v>개소</v>
          </cell>
          <cell r="F428">
            <v>2</v>
          </cell>
          <cell r="G428">
            <v>2920</v>
          </cell>
          <cell r="H428">
            <v>0</v>
          </cell>
          <cell r="I428">
            <v>0</v>
          </cell>
        </row>
        <row r="429">
          <cell r="A429" t="str">
            <v>A</v>
          </cell>
          <cell r="B429" t="str">
            <v>UMC38613</v>
          </cell>
          <cell r="C429" t="str">
            <v>절연플랜지접합 부자재</v>
          </cell>
          <cell r="D429" t="str">
            <v>D50 MM</v>
          </cell>
          <cell r="E429" t="str">
            <v>개소</v>
          </cell>
          <cell r="F429">
            <v>2</v>
          </cell>
          <cell r="G429">
            <v>3237</v>
          </cell>
          <cell r="H429">
            <v>0</v>
          </cell>
          <cell r="I429">
            <v>0</v>
          </cell>
        </row>
        <row r="430">
          <cell r="A430" t="str">
            <v>A</v>
          </cell>
          <cell r="B430" t="str">
            <v>UMC38615</v>
          </cell>
          <cell r="C430" t="str">
            <v>절연플랜지접합 부자재</v>
          </cell>
          <cell r="D430" t="str">
            <v>D65 MM</v>
          </cell>
          <cell r="E430" t="str">
            <v>개소</v>
          </cell>
          <cell r="F430">
            <v>65</v>
          </cell>
          <cell r="G430">
            <v>3578</v>
          </cell>
          <cell r="H430">
            <v>0</v>
          </cell>
          <cell r="I430">
            <v>0</v>
          </cell>
        </row>
        <row r="431">
          <cell r="A431" t="str">
            <v>A</v>
          </cell>
          <cell r="B431" t="str">
            <v>UMC38617</v>
          </cell>
          <cell r="C431" t="str">
            <v>절연플랜지접합 부자재</v>
          </cell>
          <cell r="D431" t="str">
            <v>D80 MM</v>
          </cell>
          <cell r="E431" t="str">
            <v>개소</v>
          </cell>
          <cell r="F431">
            <v>25</v>
          </cell>
          <cell r="G431">
            <v>5911</v>
          </cell>
          <cell r="H431">
            <v>0</v>
          </cell>
          <cell r="I431">
            <v>0</v>
          </cell>
        </row>
        <row r="432">
          <cell r="A432" t="str">
            <v>A</v>
          </cell>
          <cell r="B432" t="str">
            <v>UMC90307</v>
          </cell>
          <cell r="C432" t="str">
            <v>동관티뽑기</v>
          </cell>
          <cell r="D432" t="str">
            <v>D20 MM 이하</v>
          </cell>
          <cell r="E432" t="str">
            <v>개소</v>
          </cell>
          <cell r="F432">
            <v>5</v>
          </cell>
          <cell r="G432">
            <v>30</v>
          </cell>
          <cell r="H432">
            <v>1513</v>
          </cell>
          <cell r="I432">
            <v>49</v>
          </cell>
        </row>
        <row r="433">
          <cell r="A433" t="str">
            <v>A</v>
          </cell>
          <cell r="B433" t="str">
            <v>UMD10112</v>
          </cell>
          <cell r="C433" t="str">
            <v>게이트밸브 설치(청동제)</v>
          </cell>
          <cell r="D433" t="str">
            <v>D40 MM, (5KG/CM2)</v>
          </cell>
          <cell r="E433" t="str">
            <v>개소</v>
          </cell>
          <cell r="F433">
            <v>68</v>
          </cell>
          <cell r="G433">
            <v>5400</v>
          </cell>
          <cell r="H433">
            <v>2119</v>
          </cell>
          <cell r="I433">
            <v>42</v>
          </cell>
        </row>
        <row r="434">
          <cell r="A434" t="str">
            <v>A</v>
          </cell>
          <cell r="B434" t="str">
            <v>UMD10113</v>
          </cell>
          <cell r="C434" t="str">
            <v>게이트밸브 설치(청동제)</v>
          </cell>
          <cell r="D434" t="str">
            <v>D50 MM, (5KG/CM2)</v>
          </cell>
          <cell r="E434" t="str">
            <v>개소</v>
          </cell>
          <cell r="F434">
            <v>2</v>
          </cell>
          <cell r="G434">
            <v>8100</v>
          </cell>
          <cell r="H434">
            <v>2119</v>
          </cell>
          <cell r="I434">
            <v>42</v>
          </cell>
        </row>
        <row r="435">
          <cell r="A435" t="str">
            <v>A</v>
          </cell>
          <cell r="B435" t="str">
            <v>UMD10210</v>
          </cell>
          <cell r="C435" t="str">
            <v>게이트밸브 설치(청동제)</v>
          </cell>
          <cell r="D435" t="str">
            <v>D32 MM, (10KG/CM2)</v>
          </cell>
          <cell r="E435" t="str">
            <v>개소</v>
          </cell>
          <cell r="F435">
            <v>2</v>
          </cell>
          <cell r="G435">
            <v>8251</v>
          </cell>
          <cell r="H435">
            <v>2119</v>
          </cell>
          <cell r="I435">
            <v>42</v>
          </cell>
        </row>
        <row r="436">
          <cell r="A436" t="str">
            <v>A</v>
          </cell>
          <cell r="B436" t="str">
            <v>UMD10212</v>
          </cell>
          <cell r="C436" t="str">
            <v>게이트밸브 설치(청동제)</v>
          </cell>
          <cell r="D436" t="str">
            <v>D40 MM, (10KG/CM2)</v>
          </cell>
          <cell r="E436" t="str">
            <v>개소</v>
          </cell>
          <cell r="F436">
            <v>64</v>
          </cell>
          <cell r="G436">
            <v>11052</v>
          </cell>
          <cell r="H436">
            <v>2119</v>
          </cell>
          <cell r="I436">
            <v>42</v>
          </cell>
        </row>
        <row r="437">
          <cell r="A437" t="str">
            <v>A</v>
          </cell>
          <cell r="B437" t="str">
            <v>UMD10815</v>
          </cell>
          <cell r="C437" t="str">
            <v>에폭시도장게이트밸브 설치(주철)</v>
          </cell>
          <cell r="D437" t="str">
            <v>D65 MM, (10KG/CM2)</v>
          </cell>
          <cell r="E437" t="str">
            <v>개소</v>
          </cell>
          <cell r="F437">
            <v>13</v>
          </cell>
          <cell r="G437">
            <v>40622</v>
          </cell>
          <cell r="H437">
            <v>8808</v>
          </cell>
          <cell r="I437">
            <v>176</v>
          </cell>
        </row>
        <row r="438">
          <cell r="A438" t="str">
            <v>A</v>
          </cell>
          <cell r="B438" t="str">
            <v>UMD10817</v>
          </cell>
          <cell r="C438" t="str">
            <v>에폭시도장게이트밸브 설치(주철)</v>
          </cell>
          <cell r="D438" t="str">
            <v>D80 MM, (10KG/CM2)</v>
          </cell>
          <cell r="E438" t="str">
            <v>개소</v>
          </cell>
          <cell r="F438">
            <v>5</v>
          </cell>
          <cell r="G438">
            <v>49140</v>
          </cell>
          <cell r="H438">
            <v>8808</v>
          </cell>
          <cell r="I438">
            <v>176</v>
          </cell>
        </row>
        <row r="439">
          <cell r="A439" t="str">
            <v>A</v>
          </cell>
          <cell r="B439" t="str">
            <v>UMD16210</v>
          </cell>
          <cell r="C439" t="str">
            <v>글로브밸브 설치(청동제)</v>
          </cell>
          <cell r="D439" t="str">
            <v>D32 MM, (10KG/CM2)</v>
          </cell>
          <cell r="E439" t="str">
            <v>개소</v>
          </cell>
          <cell r="F439">
            <v>2</v>
          </cell>
          <cell r="G439">
            <v>8050</v>
          </cell>
          <cell r="H439">
            <v>2119</v>
          </cell>
          <cell r="I439">
            <v>42</v>
          </cell>
        </row>
        <row r="440">
          <cell r="A440" t="str">
            <v>A</v>
          </cell>
          <cell r="B440" t="str">
            <v>UMD22375</v>
          </cell>
          <cell r="C440" t="str">
            <v>듀얼플레이트첵크밸브설치(충완,엑폭시)</v>
          </cell>
          <cell r="D440" t="str">
            <v>D65 MM, (10KG/CM2)</v>
          </cell>
          <cell r="E440" t="str">
            <v>개소</v>
          </cell>
          <cell r="F440">
            <v>13</v>
          </cell>
          <cell r="G440">
            <v>30600</v>
          </cell>
          <cell r="H440">
            <v>8808</v>
          </cell>
          <cell r="I440">
            <v>176</v>
          </cell>
        </row>
        <row r="441">
          <cell r="A441" t="str">
            <v>A</v>
          </cell>
          <cell r="B441" t="str">
            <v>UMD22377</v>
          </cell>
          <cell r="C441" t="str">
            <v>듀얼플레이트첵크밸브설치(충완,엑폭시)</v>
          </cell>
          <cell r="D441" t="str">
            <v>D80 MM, (10KG/CM2)</v>
          </cell>
          <cell r="E441" t="str">
            <v>개소</v>
          </cell>
          <cell r="F441">
            <v>5</v>
          </cell>
          <cell r="G441">
            <v>36720</v>
          </cell>
          <cell r="H441">
            <v>8808</v>
          </cell>
          <cell r="I441">
            <v>176</v>
          </cell>
        </row>
        <row r="442">
          <cell r="A442" t="str">
            <v>A</v>
          </cell>
          <cell r="B442" t="str">
            <v>UMD25110</v>
          </cell>
          <cell r="C442" t="str">
            <v>스트레이나일체형밸브설치(청동제)</v>
          </cell>
          <cell r="D442" t="str">
            <v>D32 MM, (10KG/CM2)</v>
          </cell>
          <cell r="E442" t="str">
            <v>개소</v>
          </cell>
          <cell r="F442">
            <v>2</v>
          </cell>
          <cell r="G442">
            <v>21168</v>
          </cell>
          <cell r="H442">
            <v>2119</v>
          </cell>
          <cell r="I442">
            <v>42</v>
          </cell>
        </row>
        <row r="443">
          <cell r="A443" t="str">
            <v>A</v>
          </cell>
          <cell r="B443" t="str">
            <v>UMD28110</v>
          </cell>
          <cell r="C443" t="str">
            <v>자동수위조절밸브 설치</v>
          </cell>
          <cell r="D443" t="str">
            <v>D32 MM</v>
          </cell>
          <cell r="F443">
            <v>2</v>
          </cell>
          <cell r="G443">
            <v>243432</v>
          </cell>
          <cell r="H443">
            <v>6160</v>
          </cell>
          <cell r="I443">
            <v>123</v>
          </cell>
        </row>
        <row r="444">
          <cell r="A444" t="str">
            <v>A</v>
          </cell>
          <cell r="B444" t="str">
            <v>UMD28705</v>
          </cell>
          <cell r="C444" t="str">
            <v>볼탑설치(청동제)(나사형)</v>
          </cell>
          <cell r="D444" t="str">
            <v>D15 MM</v>
          </cell>
          <cell r="E444" t="str">
            <v>개소</v>
          </cell>
          <cell r="F444">
            <v>2</v>
          </cell>
          <cell r="G444">
            <v>1224</v>
          </cell>
          <cell r="H444">
            <v>2119</v>
          </cell>
          <cell r="I444">
            <v>42</v>
          </cell>
        </row>
        <row r="445">
          <cell r="A445" t="str">
            <v>A</v>
          </cell>
          <cell r="B445" t="str">
            <v>UMD46205</v>
          </cell>
          <cell r="C445" t="str">
            <v>황동볼밸브 설치</v>
          </cell>
          <cell r="D445" t="str">
            <v>D15 MM, (10KG/CM2)</v>
          </cell>
          <cell r="E445" t="str">
            <v>개소</v>
          </cell>
          <cell r="F445">
            <v>18</v>
          </cell>
          <cell r="G445">
            <v>1166</v>
          </cell>
          <cell r="H445">
            <v>2119</v>
          </cell>
          <cell r="I445">
            <v>42</v>
          </cell>
        </row>
        <row r="446">
          <cell r="A446" t="str">
            <v>A</v>
          </cell>
          <cell r="B446" t="str">
            <v>UMD46401</v>
          </cell>
          <cell r="C446" t="str">
            <v>목긴볼밸브(CM유니온) 설치</v>
          </cell>
          <cell r="D446" t="str">
            <v>D15 MM, (10KG/CM2)</v>
          </cell>
          <cell r="E446" t="str">
            <v>개소</v>
          </cell>
          <cell r="F446">
            <v>929</v>
          </cell>
          <cell r="G446">
            <v>3312</v>
          </cell>
          <cell r="H446">
            <v>2119</v>
          </cell>
          <cell r="I446">
            <v>42</v>
          </cell>
        </row>
        <row r="447">
          <cell r="A447" t="str">
            <v>A</v>
          </cell>
          <cell r="B447" t="str">
            <v>UMD46402</v>
          </cell>
          <cell r="C447" t="str">
            <v>목긴볼밸브(CM유니온) 설치</v>
          </cell>
          <cell r="D447" t="str">
            <v>D20 MM, (10KG/CM2)</v>
          </cell>
          <cell r="E447" t="str">
            <v>개소</v>
          </cell>
          <cell r="F447">
            <v>4</v>
          </cell>
          <cell r="G447">
            <v>4320</v>
          </cell>
          <cell r="H447">
            <v>2119</v>
          </cell>
          <cell r="I447">
            <v>42</v>
          </cell>
        </row>
        <row r="448">
          <cell r="A448" t="str">
            <v>A</v>
          </cell>
          <cell r="B448" t="str">
            <v>UMD46405</v>
          </cell>
          <cell r="C448" t="str">
            <v>목긴볼밸브 설치</v>
          </cell>
          <cell r="D448" t="str">
            <v>D15 MM, (10KG/CM2)</v>
          </cell>
          <cell r="E448" t="str">
            <v>개소</v>
          </cell>
          <cell r="F448">
            <v>152</v>
          </cell>
          <cell r="G448">
            <v>2664</v>
          </cell>
          <cell r="H448">
            <v>2119</v>
          </cell>
          <cell r="I448">
            <v>42</v>
          </cell>
        </row>
        <row r="449">
          <cell r="A449" t="str">
            <v>A</v>
          </cell>
          <cell r="B449" t="str">
            <v>UMD46408</v>
          </cell>
          <cell r="C449" t="str">
            <v>목긴볼밸브 설치</v>
          </cell>
          <cell r="D449" t="str">
            <v>D25 MM, (10KG/CM2)</v>
          </cell>
          <cell r="E449" t="str">
            <v>개소</v>
          </cell>
          <cell r="F449">
            <v>1</v>
          </cell>
          <cell r="G449">
            <v>6772</v>
          </cell>
          <cell r="H449">
            <v>2119</v>
          </cell>
          <cell r="I449">
            <v>42</v>
          </cell>
        </row>
        <row r="450">
          <cell r="A450" t="str">
            <v>A</v>
          </cell>
          <cell r="B450" t="str">
            <v>UMD49205</v>
          </cell>
          <cell r="C450" t="str">
            <v>수도용 앵글발브 설치</v>
          </cell>
          <cell r="D450" t="str">
            <v>D15 MM</v>
          </cell>
          <cell r="E450" t="str">
            <v>개소</v>
          </cell>
          <cell r="F450">
            <v>928</v>
          </cell>
          <cell r="G450">
            <v>972</v>
          </cell>
          <cell r="H450">
            <v>2119</v>
          </cell>
          <cell r="I450">
            <v>42</v>
          </cell>
        </row>
        <row r="451">
          <cell r="A451" t="str">
            <v>A</v>
          </cell>
          <cell r="B451" t="str">
            <v>UME20205</v>
          </cell>
          <cell r="C451" t="str">
            <v>동관보온(포리마테이프)</v>
          </cell>
          <cell r="D451" t="str">
            <v>D=15MM, T=25MM</v>
          </cell>
          <cell r="E451" t="str">
            <v>M</v>
          </cell>
          <cell r="F451">
            <v>86.1</v>
          </cell>
          <cell r="G451">
            <v>600</v>
          </cell>
          <cell r="H451">
            <v>1300</v>
          </cell>
          <cell r="I451">
            <v>0</v>
          </cell>
        </row>
        <row r="452">
          <cell r="A452" t="str">
            <v>A</v>
          </cell>
          <cell r="B452" t="str">
            <v>UME20212</v>
          </cell>
          <cell r="C452" t="str">
            <v>동관보온(포리마테이프)</v>
          </cell>
          <cell r="D452" t="str">
            <v>D=40MM, T=25MM</v>
          </cell>
          <cell r="E452" t="str">
            <v>M</v>
          </cell>
          <cell r="F452">
            <v>367.3</v>
          </cell>
          <cell r="G452">
            <v>945</v>
          </cell>
          <cell r="H452">
            <v>2211</v>
          </cell>
          <cell r="I452">
            <v>44</v>
          </cell>
        </row>
        <row r="453">
          <cell r="A453" t="str">
            <v>A</v>
          </cell>
          <cell r="B453" t="str">
            <v>UME20213</v>
          </cell>
          <cell r="C453" t="str">
            <v>동관보온(포리마테이프)</v>
          </cell>
          <cell r="D453" t="str">
            <v>D=50MM, T=25MM</v>
          </cell>
          <cell r="E453" t="str">
            <v>M</v>
          </cell>
          <cell r="F453">
            <v>426.5</v>
          </cell>
          <cell r="G453">
            <v>1100</v>
          </cell>
          <cell r="H453">
            <v>2200</v>
          </cell>
          <cell r="I453">
            <v>0</v>
          </cell>
        </row>
        <row r="454">
          <cell r="A454" t="str">
            <v>A</v>
          </cell>
          <cell r="B454" t="str">
            <v>UME20215</v>
          </cell>
          <cell r="C454" t="str">
            <v>동관보온(포리마테이프)</v>
          </cell>
          <cell r="D454" t="str">
            <v>D=65MM, T=25MM</v>
          </cell>
          <cell r="E454" t="str">
            <v>M</v>
          </cell>
          <cell r="F454">
            <v>857.6</v>
          </cell>
          <cell r="G454">
            <v>1200</v>
          </cell>
          <cell r="H454">
            <v>2800</v>
          </cell>
          <cell r="I454">
            <v>100</v>
          </cell>
        </row>
        <row r="455">
          <cell r="A455" t="str">
            <v>A</v>
          </cell>
          <cell r="B455" t="str">
            <v>UME20217</v>
          </cell>
          <cell r="C455" t="str">
            <v>동관보온(포리마테이프)</v>
          </cell>
          <cell r="D455" t="str">
            <v>D=80MM, T=25MM</v>
          </cell>
          <cell r="E455" t="str">
            <v>M</v>
          </cell>
          <cell r="F455">
            <v>66.099999999999994</v>
          </cell>
          <cell r="G455">
            <v>1400</v>
          </cell>
          <cell r="H455">
            <v>3200</v>
          </cell>
          <cell r="I455">
            <v>100</v>
          </cell>
        </row>
        <row r="456">
          <cell r="A456" t="str">
            <v>A</v>
          </cell>
          <cell r="B456" t="str">
            <v>UME22205</v>
          </cell>
          <cell r="C456" t="str">
            <v>동관보온(은박)</v>
          </cell>
          <cell r="D456" t="str">
            <v>D=15MM, T=25MM</v>
          </cell>
          <cell r="E456" t="str">
            <v>M</v>
          </cell>
          <cell r="F456">
            <v>238.92</v>
          </cell>
          <cell r="G456">
            <v>600</v>
          </cell>
          <cell r="H456">
            <v>1200</v>
          </cell>
          <cell r="I456">
            <v>0</v>
          </cell>
        </row>
        <row r="457">
          <cell r="A457" t="str">
            <v>A</v>
          </cell>
          <cell r="B457" t="str">
            <v>UME22207</v>
          </cell>
          <cell r="C457" t="str">
            <v>동관보온(은박)</v>
          </cell>
          <cell r="D457" t="str">
            <v>D=20MM, T=25MM</v>
          </cell>
          <cell r="E457" t="str">
            <v>M</v>
          </cell>
          <cell r="F457">
            <v>1598.5</v>
          </cell>
          <cell r="G457">
            <v>700</v>
          </cell>
          <cell r="H457">
            <v>1500</v>
          </cell>
          <cell r="I457">
            <v>0</v>
          </cell>
        </row>
        <row r="458">
          <cell r="A458" t="str">
            <v>A</v>
          </cell>
          <cell r="B458" t="str">
            <v>UME22208</v>
          </cell>
          <cell r="C458" t="str">
            <v>동관보온(은박)</v>
          </cell>
          <cell r="D458" t="str">
            <v>D=25MM, T=25MM</v>
          </cell>
          <cell r="E458" t="str">
            <v>M</v>
          </cell>
          <cell r="F458">
            <v>352.28</v>
          </cell>
          <cell r="G458">
            <v>800</v>
          </cell>
          <cell r="H458">
            <v>1800</v>
          </cell>
          <cell r="I458">
            <v>0</v>
          </cell>
        </row>
        <row r="459">
          <cell r="A459" t="str">
            <v>A</v>
          </cell>
          <cell r="B459" t="str">
            <v>UME22210</v>
          </cell>
          <cell r="C459" t="str">
            <v>동관보온(은박)</v>
          </cell>
          <cell r="D459" t="str">
            <v>D=32MM, T=25MM</v>
          </cell>
          <cell r="E459" t="str">
            <v>M</v>
          </cell>
          <cell r="F459">
            <v>781.16</v>
          </cell>
          <cell r="G459">
            <v>900</v>
          </cell>
          <cell r="H459">
            <v>2000</v>
          </cell>
          <cell r="I459">
            <v>0</v>
          </cell>
        </row>
        <row r="460">
          <cell r="A460" t="str">
            <v>A</v>
          </cell>
          <cell r="B460" t="str">
            <v>UME22212</v>
          </cell>
          <cell r="C460" t="str">
            <v>동관보온(은박)</v>
          </cell>
          <cell r="D460" t="str">
            <v>D=40MM, T=25MM</v>
          </cell>
          <cell r="E460" t="str">
            <v>M</v>
          </cell>
          <cell r="F460">
            <v>2187.85</v>
          </cell>
          <cell r="G460">
            <v>1000</v>
          </cell>
          <cell r="H460">
            <v>2000</v>
          </cell>
          <cell r="I460">
            <v>0</v>
          </cell>
        </row>
        <row r="461">
          <cell r="A461" t="str">
            <v>A</v>
          </cell>
          <cell r="B461" t="str">
            <v>UME24505</v>
          </cell>
          <cell r="C461" t="str">
            <v>동관보온(아스팔트휄트,매직T/P)</v>
          </cell>
          <cell r="D461" t="str">
            <v>D=15MM, T=50MM</v>
          </cell>
          <cell r="E461" t="str">
            <v>M</v>
          </cell>
          <cell r="F461">
            <v>6.28</v>
          </cell>
          <cell r="G461">
            <v>2100</v>
          </cell>
          <cell r="H461">
            <v>2600</v>
          </cell>
          <cell r="I461">
            <v>100</v>
          </cell>
        </row>
        <row r="462">
          <cell r="A462" t="str">
            <v>A</v>
          </cell>
          <cell r="B462" t="str">
            <v>UME24510</v>
          </cell>
          <cell r="C462" t="str">
            <v>동관보온(아스팔트휄트,매직T/P)</v>
          </cell>
          <cell r="D462" t="str">
            <v>D=32MM, T=50MM</v>
          </cell>
          <cell r="E462" t="str">
            <v>M</v>
          </cell>
          <cell r="F462">
            <v>28.79</v>
          </cell>
          <cell r="G462">
            <v>2600</v>
          </cell>
          <cell r="H462">
            <v>3900</v>
          </cell>
          <cell r="I462">
            <v>100</v>
          </cell>
        </row>
        <row r="463">
          <cell r="A463" t="str">
            <v>A</v>
          </cell>
          <cell r="B463" t="str">
            <v>UME24513</v>
          </cell>
          <cell r="C463" t="str">
            <v>동관보온(아스팔트휄트,매직T/P)</v>
          </cell>
          <cell r="D463" t="str">
            <v>D=50MM, T=50MM</v>
          </cell>
          <cell r="E463" t="str">
            <v>M</v>
          </cell>
          <cell r="F463">
            <v>2.2000000000000002</v>
          </cell>
          <cell r="G463">
            <v>3000</v>
          </cell>
          <cell r="H463">
            <v>4000</v>
          </cell>
          <cell r="I463">
            <v>100</v>
          </cell>
        </row>
        <row r="464">
          <cell r="A464" t="str">
            <v>A</v>
          </cell>
          <cell r="B464" t="str">
            <v>UME40215</v>
          </cell>
          <cell r="C464" t="str">
            <v>밸브 보온</v>
          </cell>
          <cell r="D464" t="str">
            <v>D=65MM, T=25MM</v>
          </cell>
          <cell r="E464" t="str">
            <v>개소</v>
          </cell>
          <cell r="F464">
            <v>26</v>
          </cell>
          <cell r="G464">
            <v>1494</v>
          </cell>
          <cell r="H464">
            <v>7596</v>
          </cell>
          <cell r="I464">
            <v>0</v>
          </cell>
        </row>
        <row r="465">
          <cell r="A465" t="str">
            <v>A</v>
          </cell>
          <cell r="B465" t="str">
            <v>UME40217</v>
          </cell>
          <cell r="C465" t="str">
            <v>밸브 보온</v>
          </cell>
          <cell r="D465" t="str">
            <v>D=80MM, T=25MM</v>
          </cell>
          <cell r="E465" t="str">
            <v>개소</v>
          </cell>
          <cell r="F465">
            <v>10</v>
          </cell>
          <cell r="G465">
            <v>1566</v>
          </cell>
          <cell r="H465">
            <v>8240</v>
          </cell>
          <cell r="I465">
            <v>0</v>
          </cell>
        </row>
        <row r="466">
          <cell r="A466" t="str">
            <v>A</v>
          </cell>
          <cell r="B466" t="str">
            <v>UME40513</v>
          </cell>
          <cell r="C466" t="str">
            <v>밸브 보온</v>
          </cell>
          <cell r="D466" t="str">
            <v>D=50MM, T=50MM</v>
          </cell>
          <cell r="E466" t="str">
            <v>개소</v>
          </cell>
          <cell r="F466">
            <v>2</v>
          </cell>
          <cell r="G466">
            <v>2052</v>
          </cell>
          <cell r="H466">
            <v>11709</v>
          </cell>
          <cell r="I466">
            <v>0</v>
          </cell>
        </row>
        <row r="467">
          <cell r="A467" t="str">
            <v>A</v>
          </cell>
          <cell r="B467" t="str">
            <v>UME80205</v>
          </cell>
          <cell r="C467" t="str">
            <v>발포폴리에틸렌 보온</v>
          </cell>
          <cell r="D467" t="str">
            <v>D=15MM, T=5MM</v>
          </cell>
          <cell r="E467" t="str">
            <v>M</v>
          </cell>
          <cell r="F467">
            <v>24096.959999999999</v>
          </cell>
          <cell r="G467">
            <v>100</v>
          </cell>
          <cell r="H467">
            <v>300</v>
          </cell>
          <cell r="I467">
            <v>0</v>
          </cell>
        </row>
        <row r="468">
          <cell r="A468" t="str">
            <v>A</v>
          </cell>
          <cell r="B468" t="str">
            <v>UME80207</v>
          </cell>
          <cell r="C468" t="str">
            <v>발포폴리에틸렌 보온</v>
          </cell>
          <cell r="D468" t="str">
            <v>D=20MM, T=5MM</v>
          </cell>
          <cell r="E468" t="str">
            <v>M</v>
          </cell>
          <cell r="F468">
            <v>2555.58</v>
          </cell>
          <cell r="G468">
            <v>200</v>
          </cell>
          <cell r="H468">
            <v>500</v>
          </cell>
          <cell r="I468">
            <v>0</v>
          </cell>
        </row>
        <row r="469">
          <cell r="A469" t="str">
            <v>A</v>
          </cell>
          <cell r="B469" t="str">
            <v>UME80245</v>
          </cell>
          <cell r="C469" t="str">
            <v>발포폴리에틸렌 보온</v>
          </cell>
          <cell r="D469" t="str">
            <v>D=15MM, T=15MM</v>
          </cell>
          <cell r="E469" t="str">
            <v>M</v>
          </cell>
          <cell r="F469">
            <v>1020.8</v>
          </cell>
          <cell r="G469">
            <v>400</v>
          </cell>
          <cell r="H469">
            <v>600</v>
          </cell>
          <cell r="I469">
            <v>0</v>
          </cell>
        </row>
        <row r="470">
          <cell r="A470" t="str">
            <v>A</v>
          </cell>
          <cell r="B470" t="str">
            <v>UME90101</v>
          </cell>
          <cell r="C470" t="str">
            <v>정온전선설치(센서,접지)</v>
          </cell>
          <cell r="D470" t="str">
            <v>1M</v>
          </cell>
          <cell r="E470" t="str">
            <v>조</v>
          </cell>
          <cell r="F470">
            <v>550</v>
          </cell>
          <cell r="G470">
            <v>8748</v>
          </cell>
          <cell r="H470">
            <v>1432</v>
          </cell>
          <cell r="I470">
            <v>28</v>
          </cell>
        </row>
        <row r="471">
          <cell r="A471" t="str">
            <v>A</v>
          </cell>
          <cell r="B471" t="str">
            <v>UME90104</v>
          </cell>
          <cell r="C471" t="str">
            <v>정온전선설치(센서,접지)</v>
          </cell>
          <cell r="D471" t="str">
            <v>4M</v>
          </cell>
          <cell r="E471" t="str">
            <v>조</v>
          </cell>
          <cell r="F471">
            <v>2</v>
          </cell>
          <cell r="G471">
            <v>26136</v>
          </cell>
          <cell r="H471">
            <v>5729</v>
          </cell>
          <cell r="I471">
            <v>114</v>
          </cell>
        </row>
        <row r="472">
          <cell r="A472" t="str">
            <v>A</v>
          </cell>
          <cell r="B472" t="str">
            <v>UME90106</v>
          </cell>
          <cell r="C472" t="str">
            <v>정온전선설치(센서,접지)</v>
          </cell>
          <cell r="D472" t="str">
            <v>6M</v>
          </cell>
          <cell r="E472" t="str">
            <v>조</v>
          </cell>
          <cell r="F472">
            <v>928</v>
          </cell>
          <cell r="G472">
            <v>37656</v>
          </cell>
          <cell r="H472">
            <v>8594</v>
          </cell>
          <cell r="I472">
            <v>171</v>
          </cell>
        </row>
        <row r="473">
          <cell r="A473" t="str">
            <v>A</v>
          </cell>
          <cell r="B473" t="str">
            <v>UMG25100</v>
          </cell>
          <cell r="C473" t="str">
            <v>세면기수전설치(다용도꼭지제외)</v>
          </cell>
          <cell r="D473" t="str">
            <v>니켈크롬도장</v>
          </cell>
          <cell r="E473" t="str">
            <v>개</v>
          </cell>
          <cell r="F473">
            <v>444</v>
          </cell>
          <cell r="G473">
            <v>36936</v>
          </cell>
          <cell r="H473">
            <v>6792</v>
          </cell>
          <cell r="I473">
            <v>135</v>
          </cell>
        </row>
        <row r="474">
          <cell r="A474" t="str">
            <v>A</v>
          </cell>
          <cell r="B474" t="str">
            <v>UMG25103</v>
          </cell>
          <cell r="C474" t="str">
            <v>세면기수전설치(다용도꼭지포함)</v>
          </cell>
          <cell r="D474" t="str">
            <v>니켈크롬도장</v>
          </cell>
          <cell r="E474" t="str">
            <v>개</v>
          </cell>
          <cell r="F474">
            <v>438</v>
          </cell>
          <cell r="G474">
            <v>43416</v>
          </cell>
          <cell r="H474">
            <v>6792</v>
          </cell>
          <cell r="I474">
            <v>135</v>
          </cell>
        </row>
        <row r="475">
          <cell r="A475" t="str">
            <v>A</v>
          </cell>
          <cell r="B475" t="str">
            <v>UMG28205</v>
          </cell>
          <cell r="C475" t="str">
            <v>욕조수전 설치(안마헤드)</v>
          </cell>
          <cell r="D475" t="str">
            <v>니켈크롬도장(높이조절형)</v>
          </cell>
          <cell r="E475" t="str">
            <v>개</v>
          </cell>
          <cell r="F475">
            <v>1</v>
          </cell>
          <cell r="G475">
            <v>56808</v>
          </cell>
          <cell r="H475">
            <v>7885</v>
          </cell>
          <cell r="I475">
            <v>158</v>
          </cell>
        </row>
        <row r="476">
          <cell r="A476" t="str">
            <v>A</v>
          </cell>
          <cell r="B476" t="str">
            <v>UMG28207</v>
          </cell>
          <cell r="C476" t="str">
            <v>샤워전용수전 설치(안마헤드)</v>
          </cell>
          <cell r="D476" t="str">
            <v>니켈크롬도장(높이조절형)</v>
          </cell>
          <cell r="E476" t="str">
            <v>개</v>
          </cell>
          <cell r="F476">
            <v>438</v>
          </cell>
          <cell r="G476">
            <v>49320</v>
          </cell>
          <cell r="H476">
            <v>7885</v>
          </cell>
          <cell r="I476">
            <v>158</v>
          </cell>
        </row>
        <row r="477">
          <cell r="A477" t="str">
            <v>A</v>
          </cell>
          <cell r="B477" t="str">
            <v>UMG28212</v>
          </cell>
          <cell r="C477" t="str">
            <v>온도조절욕조수전 설치(안마헤드)</v>
          </cell>
          <cell r="D477" t="str">
            <v>니켈크롬도장(높이조절형)</v>
          </cell>
          <cell r="E477" t="str">
            <v>개</v>
          </cell>
          <cell r="F477">
            <v>438</v>
          </cell>
          <cell r="G477">
            <v>78480</v>
          </cell>
          <cell r="H477">
            <v>7885</v>
          </cell>
          <cell r="I477">
            <v>158</v>
          </cell>
        </row>
        <row r="478">
          <cell r="A478" t="str">
            <v>A</v>
          </cell>
          <cell r="B478" t="str">
            <v>UMG37107</v>
          </cell>
          <cell r="C478" t="str">
            <v>씽크수전 설치(벽붙이형,니켈크롬)</v>
          </cell>
          <cell r="D478" t="str">
            <v>핸드스프레식</v>
          </cell>
          <cell r="E478" t="str">
            <v>개</v>
          </cell>
          <cell r="F478">
            <v>2</v>
          </cell>
          <cell r="G478">
            <v>32810</v>
          </cell>
          <cell r="H478">
            <v>4088</v>
          </cell>
          <cell r="I478">
            <v>81</v>
          </cell>
        </row>
        <row r="479">
          <cell r="A479" t="str">
            <v>A</v>
          </cell>
          <cell r="B479" t="str">
            <v>UMG37109</v>
          </cell>
          <cell r="C479" t="str">
            <v>씽크수전설치(대붙이,측면개폐형,크롬)</v>
          </cell>
          <cell r="D479" t="str">
            <v>핸드스프레식</v>
          </cell>
          <cell r="E479" t="str">
            <v>개</v>
          </cell>
          <cell r="F479">
            <v>1</v>
          </cell>
          <cell r="G479">
            <v>49518</v>
          </cell>
          <cell r="H479">
            <v>8177</v>
          </cell>
          <cell r="I479">
            <v>163</v>
          </cell>
        </row>
        <row r="480">
          <cell r="A480" t="str">
            <v>A</v>
          </cell>
          <cell r="B480" t="str">
            <v>UMG37111</v>
          </cell>
          <cell r="C480" t="str">
            <v>씽크수전설치(대붙이,측면개폐형,크롬)</v>
          </cell>
          <cell r="D480" t="str">
            <v>3단절수,핸드스프레식</v>
          </cell>
          <cell r="E480" t="str">
            <v>개</v>
          </cell>
          <cell r="F480">
            <v>928</v>
          </cell>
          <cell r="G480">
            <v>51125</v>
          </cell>
          <cell r="H480">
            <v>8177</v>
          </cell>
          <cell r="I480">
            <v>163</v>
          </cell>
        </row>
        <row r="481">
          <cell r="A481" t="str">
            <v>A</v>
          </cell>
          <cell r="B481" t="str">
            <v>UMG40010</v>
          </cell>
          <cell r="C481" t="str">
            <v>손빨래수전 설치(씽글레바)</v>
          </cell>
          <cell r="D481" t="str">
            <v>니켈크롬도장</v>
          </cell>
          <cell r="E481" t="str">
            <v>개</v>
          </cell>
          <cell r="F481">
            <v>438</v>
          </cell>
          <cell r="G481">
            <v>22032</v>
          </cell>
          <cell r="H481">
            <v>4646</v>
          </cell>
          <cell r="I481">
            <v>93</v>
          </cell>
        </row>
        <row r="482">
          <cell r="A482" t="str">
            <v>A</v>
          </cell>
          <cell r="B482" t="str">
            <v>UMG40201</v>
          </cell>
          <cell r="C482" t="str">
            <v>가로꼭지 설치(카프링)</v>
          </cell>
          <cell r="D482" t="str">
            <v>D15 (화초물뿌리개 포함)</v>
          </cell>
          <cell r="E482" t="str">
            <v>개</v>
          </cell>
          <cell r="F482">
            <v>58</v>
          </cell>
          <cell r="G482">
            <v>8352</v>
          </cell>
          <cell r="H482">
            <v>2323</v>
          </cell>
          <cell r="I482">
            <v>46</v>
          </cell>
        </row>
        <row r="483">
          <cell r="A483" t="str">
            <v>A</v>
          </cell>
          <cell r="B483" t="str">
            <v>UMG40202</v>
          </cell>
          <cell r="C483" t="str">
            <v>가로꼭지 설치 (일반형)</v>
          </cell>
          <cell r="D483" t="str">
            <v>D15</v>
          </cell>
          <cell r="E483" t="str">
            <v>개</v>
          </cell>
          <cell r="F483">
            <v>786</v>
          </cell>
          <cell r="G483">
            <v>2160</v>
          </cell>
          <cell r="H483">
            <v>2323</v>
          </cell>
          <cell r="I483">
            <v>46</v>
          </cell>
        </row>
        <row r="484">
          <cell r="A484" t="str">
            <v>A</v>
          </cell>
          <cell r="B484" t="str">
            <v>UMG40204</v>
          </cell>
          <cell r="C484" t="str">
            <v>2구가로꼭지 설치(1구:카프링)</v>
          </cell>
          <cell r="D484" t="str">
            <v>D15</v>
          </cell>
          <cell r="E484" t="str">
            <v>개</v>
          </cell>
          <cell r="F484">
            <v>142</v>
          </cell>
          <cell r="G484">
            <v>5400</v>
          </cell>
          <cell r="H484">
            <v>2323</v>
          </cell>
          <cell r="I484">
            <v>46</v>
          </cell>
        </row>
        <row r="485">
          <cell r="A485" t="str">
            <v>A</v>
          </cell>
          <cell r="B485" t="str">
            <v>UMG40207</v>
          </cell>
          <cell r="C485" t="str">
            <v>2구가로꼭지 설치(1구:카프링)</v>
          </cell>
          <cell r="D485" t="str">
            <v>D15(화초물뿌리개 포함)</v>
          </cell>
          <cell r="E485" t="str">
            <v>개</v>
          </cell>
          <cell r="F485">
            <v>728</v>
          </cell>
          <cell r="G485">
            <v>11160</v>
          </cell>
          <cell r="H485">
            <v>2323</v>
          </cell>
          <cell r="I485">
            <v>46</v>
          </cell>
        </row>
        <row r="486">
          <cell r="A486" t="str">
            <v>A</v>
          </cell>
          <cell r="B486" t="str">
            <v>UMG40225</v>
          </cell>
          <cell r="C486" t="str">
            <v>긴몸통 가로꼭지 설치</v>
          </cell>
          <cell r="D486" t="str">
            <v>D20</v>
          </cell>
          <cell r="E486" t="str">
            <v>개</v>
          </cell>
          <cell r="F486">
            <v>1</v>
          </cell>
          <cell r="G486">
            <v>3600</v>
          </cell>
          <cell r="H486">
            <v>2323</v>
          </cell>
          <cell r="I486">
            <v>46</v>
          </cell>
        </row>
        <row r="487">
          <cell r="A487" t="str">
            <v>A</v>
          </cell>
          <cell r="B487" t="str">
            <v>UMG40300</v>
          </cell>
          <cell r="C487" t="str">
            <v>살수꼭지(카프링)</v>
          </cell>
          <cell r="D487" t="str">
            <v>D15</v>
          </cell>
          <cell r="E487" t="str">
            <v>개</v>
          </cell>
          <cell r="F487">
            <v>16</v>
          </cell>
          <cell r="G487">
            <v>2592</v>
          </cell>
          <cell r="H487">
            <v>2323</v>
          </cell>
          <cell r="I487">
            <v>46</v>
          </cell>
        </row>
        <row r="488">
          <cell r="A488" t="str">
            <v>A</v>
          </cell>
          <cell r="B488" t="str">
            <v>UMK32100</v>
          </cell>
          <cell r="C488" t="str">
            <v>양수기함설치(냉수용)</v>
          </cell>
          <cell r="D488" t="str">
            <v>430LX280HX200W</v>
          </cell>
          <cell r="E488" t="str">
            <v>개</v>
          </cell>
          <cell r="F488">
            <v>250</v>
          </cell>
          <cell r="G488">
            <v>21768</v>
          </cell>
          <cell r="H488">
            <v>8626</v>
          </cell>
          <cell r="I488">
            <v>172</v>
          </cell>
        </row>
        <row r="489">
          <cell r="A489" t="str">
            <v>A</v>
          </cell>
          <cell r="B489" t="str">
            <v>UMK32500</v>
          </cell>
          <cell r="C489" t="str">
            <v>양수기함설치(점검구겸용)(복도식,개별)</v>
          </cell>
          <cell r="D489" t="str">
            <v>440X600X200</v>
          </cell>
          <cell r="E489" t="str">
            <v>개</v>
          </cell>
          <cell r="F489">
            <v>120</v>
          </cell>
          <cell r="G489">
            <v>46968</v>
          </cell>
          <cell r="H489">
            <v>8626</v>
          </cell>
          <cell r="I489">
            <v>172</v>
          </cell>
        </row>
        <row r="490">
          <cell r="A490" t="str">
            <v>A</v>
          </cell>
          <cell r="B490" t="str">
            <v>UMK52101</v>
          </cell>
          <cell r="C490" t="str">
            <v>살수꼭지 철문박스(스텐)</v>
          </cell>
          <cell r="E490" t="str">
            <v>개소</v>
          </cell>
          <cell r="F490">
            <v>16</v>
          </cell>
          <cell r="G490">
            <v>14400</v>
          </cell>
          <cell r="H490">
            <v>4345</v>
          </cell>
          <cell r="I490">
            <v>86</v>
          </cell>
        </row>
        <row r="491">
          <cell r="A491" t="str">
            <v>A</v>
          </cell>
          <cell r="B491" t="str">
            <v>UMN30105</v>
          </cell>
          <cell r="C491" t="str">
            <v>워터햄머흡수기(WHA) 설치</v>
          </cell>
          <cell r="D491" t="str">
            <v>D15 (A TYPE)</v>
          </cell>
          <cell r="E491" t="str">
            <v>개</v>
          </cell>
          <cell r="F491">
            <v>438</v>
          </cell>
          <cell r="G491">
            <v>9000</v>
          </cell>
          <cell r="H491">
            <v>1052</v>
          </cell>
          <cell r="I491">
            <v>21</v>
          </cell>
        </row>
        <row r="492">
          <cell r="A492" t="str">
            <v>A</v>
          </cell>
          <cell r="B492" t="str">
            <v>UMN30106</v>
          </cell>
          <cell r="C492" t="str">
            <v>워터햄머흡수기(WHA) 설치</v>
          </cell>
          <cell r="D492" t="str">
            <v>D15(MINI TYPE)</v>
          </cell>
          <cell r="E492" t="str">
            <v>개</v>
          </cell>
          <cell r="F492">
            <v>1372</v>
          </cell>
          <cell r="G492">
            <v>8640</v>
          </cell>
          <cell r="H492">
            <v>524</v>
          </cell>
          <cell r="I492">
            <v>10</v>
          </cell>
        </row>
        <row r="493">
          <cell r="A493" t="str">
            <v>A</v>
          </cell>
          <cell r="B493" t="str">
            <v>UMN30107</v>
          </cell>
          <cell r="C493" t="str">
            <v>워터햄머흡수기(WHA) 설치</v>
          </cell>
          <cell r="D493" t="str">
            <v>D20MM</v>
          </cell>
          <cell r="E493" t="str">
            <v>개</v>
          </cell>
          <cell r="F493">
            <v>128</v>
          </cell>
          <cell r="G493">
            <v>13398</v>
          </cell>
          <cell r="H493">
            <v>4817</v>
          </cell>
          <cell r="I493">
            <v>94</v>
          </cell>
        </row>
        <row r="494">
          <cell r="A494" t="str">
            <v>A</v>
          </cell>
          <cell r="B494" t="str">
            <v>UMN30113</v>
          </cell>
          <cell r="C494" t="str">
            <v>워터햄머흡수기(WHA) 설치</v>
          </cell>
          <cell r="D494" t="str">
            <v>D50MM</v>
          </cell>
          <cell r="E494" t="str">
            <v>개</v>
          </cell>
          <cell r="F494">
            <v>18</v>
          </cell>
          <cell r="G494">
            <v>81707</v>
          </cell>
          <cell r="H494">
            <v>5759</v>
          </cell>
          <cell r="I494">
            <v>114</v>
          </cell>
        </row>
        <row r="495">
          <cell r="A495" t="str">
            <v>A</v>
          </cell>
          <cell r="B495" t="str">
            <v>UMN34215</v>
          </cell>
          <cell r="C495" t="str">
            <v>후렉시블콘넥타 설치</v>
          </cell>
          <cell r="D495" t="str">
            <v>D65MM, (20KG/CM2)</v>
          </cell>
          <cell r="E495" t="str">
            <v>개소</v>
          </cell>
          <cell r="F495">
            <v>13</v>
          </cell>
          <cell r="G495">
            <v>37800</v>
          </cell>
          <cell r="H495">
            <v>42710</v>
          </cell>
          <cell r="I495">
            <v>854</v>
          </cell>
        </row>
        <row r="496">
          <cell r="A496" t="str">
            <v>A</v>
          </cell>
          <cell r="B496" t="str">
            <v>UMN34217</v>
          </cell>
          <cell r="C496" t="str">
            <v>후렉시블콘넥타설치</v>
          </cell>
          <cell r="D496" t="str">
            <v>D80MM, (20KG/CM2)</v>
          </cell>
          <cell r="E496" t="str">
            <v>개소</v>
          </cell>
          <cell r="F496">
            <v>5</v>
          </cell>
          <cell r="G496">
            <v>45360</v>
          </cell>
          <cell r="H496">
            <v>55888</v>
          </cell>
          <cell r="I496">
            <v>1117</v>
          </cell>
        </row>
        <row r="497">
          <cell r="A497" t="str">
            <v>A</v>
          </cell>
          <cell r="B497" t="str">
            <v>UMO21100</v>
          </cell>
          <cell r="C497" t="str">
            <v>배수발브가대설치</v>
          </cell>
          <cell r="D497" t="str">
            <v>D15X2선</v>
          </cell>
          <cell r="E497" t="str">
            <v>개소</v>
          </cell>
          <cell r="F497">
            <v>64</v>
          </cell>
          <cell r="G497">
            <v>991</v>
          </cell>
          <cell r="H497">
            <v>3432</v>
          </cell>
          <cell r="I497">
            <v>68</v>
          </cell>
        </row>
        <row r="498">
          <cell r="A498" t="str">
            <v>A</v>
          </cell>
          <cell r="B498" t="str">
            <v>UMO28104</v>
          </cell>
          <cell r="C498" t="str">
            <v>벽체내고정새들설치</v>
          </cell>
          <cell r="D498" t="str">
            <v>D15 MM</v>
          </cell>
          <cell r="E498" t="str">
            <v>조</v>
          </cell>
          <cell r="F498">
            <v>3083</v>
          </cell>
          <cell r="G498">
            <v>27</v>
          </cell>
          <cell r="H498">
            <v>0</v>
          </cell>
          <cell r="I498">
            <v>0</v>
          </cell>
        </row>
        <row r="499">
          <cell r="A499" t="str">
            <v>A</v>
          </cell>
          <cell r="B499" t="str">
            <v>UMO28295</v>
          </cell>
          <cell r="C499" t="str">
            <v>배관받침대</v>
          </cell>
          <cell r="D499" t="str">
            <v>H=300 MM</v>
          </cell>
          <cell r="E499" t="str">
            <v>개소</v>
          </cell>
          <cell r="F499">
            <v>10</v>
          </cell>
          <cell r="G499">
            <v>985</v>
          </cell>
          <cell r="H499">
            <v>7404</v>
          </cell>
          <cell r="I499">
            <v>148</v>
          </cell>
        </row>
        <row r="500">
          <cell r="A500" t="str">
            <v>A</v>
          </cell>
          <cell r="B500" t="str">
            <v>UMO28921</v>
          </cell>
          <cell r="C500" t="str">
            <v>살수전고정가대설치</v>
          </cell>
          <cell r="D500" t="str">
            <v>40X40X5T</v>
          </cell>
          <cell r="E500" t="str">
            <v>개</v>
          </cell>
          <cell r="F500">
            <v>16</v>
          </cell>
          <cell r="G500">
            <v>952</v>
          </cell>
          <cell r="H500">
            <v>1777</v>
          </cell>
          <cell r="I500">
            <v>35</v>
          </cell>
        </row>
        <row r="501">
          <cell r="A501" t="str">
            <v>A</v>
          </cell>
          <cell r="B501" t="str">
            <v>UMO31157</v>
          </cell>
          <cell r="C501" t="str">
            <v>스리브강관제작(200H)</v>
          </cell>
          <cell r="D501" t="str">
            <v>D65 M/M</v>
          </cell>
          <cell r="E501" t="str">
            <v>개소</v>
          </cell>
          <cell r="F501">
            <v>1</v>
          </cell>
          <cell r="G501">
            <v>637</v>
          </cell>
          <cell r="H501">
            <v>1841</v>
          </cell>
          <cell r="I501">
            <v>36</v>
          </cell>
        </row>
        <row r="502">
          <cell r="A502" t="str">
            <v>A</v>
          </cell>
          <cell r="B502" t="str">
            <v>UMO31158</v>
          </cell>
          <cell r="C502" t="str">
            <v>스리브강관제작(200H)</v>
          </cell>
          <cell r="D502" t="str">
            <v>D80 M/M</v>
          </cell>
          <cell r="E502" t="str">
            <v>개소</v>
          </cell>
          <cell r="F502">
            <v>2</v>
          </cell>
          <cell r="G502">
            <v>801</v>
          </cell>
          <cell r="H502">
            <v>2202</v>
          </cell>
          <cell r="I502">
            <v>43</v>
          </cell>
        </row>
        <row r="503">
          <cell r="A503" t="str">
            <v>A</v>
          </cell>
          <cell r="B503" t="str">
            <v>UMO31160</v>
          </cell>
          <cell r="C503" t="str">
            <v>스리브강관제작(200H)</v>
          </cell>
          <cell r="D503" t="str">
            <v>D100 M/M</v>
          </cell>
          <cell r="E503" t="str">
            <v>개소</v>
          </cell>
          <cell r="F503">
            <v>11</v>
          </cell>
          <cell r="G503">
            <v>1159</v>
          </cell>
          <cell r="H503">
            <v>3154</v>
          </cell>
          <cell r="I503">
            <v>62</v>
          </cell>
        </row>
        <row r="504">
          <cell r="A504" t="str">
            <v>A</v>
          </cell>
          <cell r="B504" t="str">
            <v>UMO33291</v>
          </cell>
          <cell r="C504" t="str">
            <v>수전스리브설치(옹벽, PVC)</v>
          </cell>
          <cell r="D504" t="str">
            <v>D25 MM(L=100~200)</v>
          </cell>
          <cell r="E504" t="str">
            <v>개소</v>
          </cell>
          <cell r="F504">
            <v>2152</v>
          </cell>
          <cell r="G504">
            <v>389</v>
          </cell>
          <cell r="H504">
            <v>672</v>
          </cell>
          <cell r="I504">
            <v>13</v>
          </cell>
        </row>
        <row r="505">
          <cell r="A505" t="str">
            <v>A</v>
          </cell>
          <cell r="B505" t="str">
            <v>UMP10204</v>
          </cell>
          <cell r="C505" t="str">
            <v>수도미터 설치 (급수용)</v>
          </cell>
          <cell r="D505" t="str">
            <v>D13 MM</v>
          </cell>
          <cell r="E505" t="str">
            <v>개</v>
          </cell>
          <cell r="F505">
            <v>490</v>
          </cell>
          <cell r="G505">
            <v>7920</v>
          </cell>
          <cell r="H505">
            <v>6646</v>
          </cell>
          <cell r="I505">
            <v>132</v>
          </cell>
        </row>
        <row r="506">
          <cell r="A506" t="str">
            <v>A</v>
          </cell>
          <cell r="B506" t="str">
            <v>UMP10210</v>
          </cell>
          <cell r="C506" t="str">
            <v>수도미터 설치 (급수용)</v>
          </cell>
          <cell r="D506" t="str">
            <v>D32 MM</v>
          </cell>
          <cell r="E506" t="str">
            <v>개</v>
          </cell>
          <cell r="F506">
            <v>2</v>
          </cell>
          <cell r="G506">
            <v>26640</v>
          </cell>
          <cell r="H506">
            <v>8435</v>
          </cell>
          <cell r="I506">
            <v>168</v>
          </cell>
        </row>
        <row r="507">
          <cell r="A507" t="str">
            <v>A</v>
          </cell>
          <cell r="B507" t="str">
            <v>UMP10250</v>
          </cell>
          <cell r="C507" t="str">
            <v>수도미터설치(급수용)(건식PD용)</v>
          </cell>
          <cell r="D507" t="str">
            <v>D13 MM</v>
          </cell>
          <cell r="E507" t="str">
            <v>개</v>
          </cell>
          <cell r="F507">
            <v>438</v>
          </cell>
          <cell r="G507">
            <v>11520</v>
          </cell>
          <cell r="H507">
            <v>6646</v>
          </cell>
          <cell r="I507">
            <v>132</v>
          </cell>
        </row>
        <row r="508">
          <cell r="A508" t="str">
            <v>A</v>
          </cell>
          <cell r="B508" t="str">
            <v>UMP25400</v>
          </cell>
          <cell r="C508" t="str">
            <v>압력계 설치(동관용)</v>
          </cell>
          <cell r="D508" t="str">
            <v>2-35 KG/CM2 이상, D100 M/M</v>
          </cell>
          <cell r="E508" t="str">
            <v>개</v>
          </cell>
          <cell r="F508">
            <v>18</v>
          </cell>
          <cell r="G508">
            <v>3464</v>
          </cell>
          <cell r="H508">
            <v>3079</v>
          </cell>
          <cell r="I508">
            <v>80</v>
          </cell>
        </row>
        <row r="509">
          <cell r="C509" t="str">
            <v>소  계</v>
          </cell>
        </row>
        <row r="511">
          <cell r="C511" t="str">
            <v>*  급탕공사</v>
          </cell>
        </row>
        <row r="512">
          <cell r="A512" t="str">
            <v>A</v>
          </cell>
          <cell r="B512" t="str">
            <v>MGF11251</v>
          </cell>
          <cell r="C512" t="str">
            <v>행가지지봉</v>
          </cell>
          <cell r="D512" t="str">
            <v>9MM(3/8")</v>
          </cell>
          <cell r="E512" t="str">
            <v>M</v>
          </cell>
          <cell r="F512">
            <v>79.2</v>
          </cell>
          <cell r="G512">
            <v>225</v>
          </cell>
          <cell r="H512">
            <v>0</v>
          </cell>
          <cell r="I512">
            <v>0</v>
          </cell>
        </row>
        <row r="513">
          <cell r="A513" t="str">
            <v>A</v>
          </cell>
          <cell r="B513" t="str">
            <v>MGF30505</v>
          </cell>
          <cell r="C513" t="str">
            <v>인서트</v>
          </cell>
          <cell r="D513" t="str">
            <v>D9</v>
          </cell>
          <cell r="E513" t="str">
            <v>개</v>
          </cell>
          <cell r="F513">
            <v>174</v>
          </cell>
          <cell r="G513">
            <v>26</v>
          </cell>
          <cell r="H513">
            <v>0</v>
          </cell>
          <cell r="I513">
            <v>0</v>
          </cell>
        </row>
        <row r="514">
          <cell r="A514" t="str">
            <v>A</v>
          </cell>
          <cell r="B514" t="str">
            <v>MMB40105</v>
          </cell>
          <cell r="C514" t="str">
            <v>동 엘보</v>
          </cell>
          <cell r="D514" t="str">
            <v>D15 MM</v>
          </cell>
          <cell r="E514" t="str">
            <v>개</v>
          </cell>
          <cell r="F514">
            <v>3693</v>
          </cell>
          <cell r="G514">
            <v>112</v>
          </cell>
          <cell r="H514">
            <v>0</v>
          </cell>
          <cell r="I514">
            <v>0</v>
          </cell>
        </row>
        <row r="515">
          <cell r="A515" t="str">
            <v>A</v>
          </cell>
          <cell r="B515" t="str">
            <v>MMB40107</v>
          </cell>
          <cell r="C515" t="str">
            <v>동 엘보</v>
          </cell>
          <cell r="D515" t="str">
            <v>D20 MM</v>
          </cell>
          <cell r="E515" t="str">
            <v>개</v>
          </cell>
          <cell r="F515">
            <v>22</v>
          </cell>
          <cell r="G515">
            <v>228</v>
          </cell>
          <cell r="H515">
            <v>0</v>
          </cell>
          <cell r="I515">
            <v>0</v>
          </cell>
        </row>
        <row r="516">
          <cell r="A516" t="str">
            <v>A</v>
          </cell>
          <cell r="B516" t="str">
            <v>MMB40108</v>
          </cell>
          <cell r="C516" t="str">
            <v>동 엘보</v>
          </cell>
          <cell r="D516" t="str">
            <v>D25 MM</v>
          </cell>
          <cell r="E516" t="str">
            <v>개</v>
          </cell>
          <cell r="F516">
            <v>4</v>
          </cell>
          <cell r="G516">
            <v>395</v>
          </cell>
          <cell r="H516">
            <v>0</v>
          </cell>
          <cell r="I516">
            <v>0</v>
          </cell>
        </row>
        <row r="517">
          <cell r="A517" t="str">
            <v>A</v>
          </cell>
          <cell r="B517" t="str">
            <v>MMB40205</v>
          </cell>
          <cell r="C517" t="str">
            <v>동 티</v>
          </cell>
          <cell r="D517" t="str">
            <v>D15 MM</v>
          </cell>
          <cell r="E517" t="str">
            <v>개</v>
          </cell>
          <cell r="F517">
            <v>3608</v>
          </cell>
          <cell r="G517">
            <v>243</v>
          </cell>
          <cell r="H517">
            <v>0</v>
          </cell>
          <cell r="I517">
            <v>0</v>
          </cell>
        </row>
        <row r="518">
          <cell r="A518" t="str">
            <v>A</v>
          </cell>
          <cell r="B518" t="str">
            <v>MMB40207</v>
          </cell>
          <cell r="C518" t="str">
            <v>동 티</v>
          </cell>
          <cell r="D518" t="str">
            <v>D20 MM</v>
          </cell>
          <cell r="E518" t="str">
            <v>개</v>
          </cell>
          <cell r="F518">
            <v>14</v>
          </cell>
          <cell r="G518">
            <v>359</v>
          </cell>
          <cell r="H518">
            <v>0</v>
          </cell>
          <cell r="I518">
            <v>0</v>
          </cell>
        </row>
        <row r="519">
          <cell r="A519" t="str">
            <v>A</v>
          </cell>
          <cell r="B519" t="str">
            <v>MMB40208</v>
          </cell>
          <cell r="C519" t="str">
            <v>동 티</v>
          </cell>
          <cell r="D519" t="str">
            <v>D25 MM</v>
          </cell>
          <cell r="E519" t="str">
            <v>개</v>
          </cell>
          <cell r="F519">
            <v>2</v>
          </cell>
          <cell r="G519">
            <v>553</v>
          </cell>
          <cell r="H519">
            <v>0</v>
          </cell>
          <cell r="I519">
            <v>0</v>
          </cell>
        </row>
        <row r="520">
          <cell r="A520" t="str">
            <v>A</v>
          </cell>
          <cell r="B520" t="str">
            <v>MMB40307</v>
          </cell>
          <cell r="C520" t="str">
            <v>동 레듀샤</v>
          </cell>
          <cell r="D520" t="str">
            <v>D20 MM</v>
          </cell>
          <cell r="E520" t="str">
            <v>개</v>
          </cell>
          <cell r="F520">
            <v>3</v>
          </cell>
          <cell r="G520">
            <v>143</v>
          </cell>
          <cell r="H520">
            <v>0</v>
          </cell>
          <cell r="I520">
            <v>0</v>
          </cell>
        </row>
        <row r="521">
          <cell r="A521" t="str">
            <v>A</v>
          </cell>
          <cell r="B521" t="str">
            <v>MMB40308</v>
          </cell>
          <cell r="C521" t="str">
            <v>동 레듀샤</v>
          </cell>
          <cell r="D521" t="str">
            <v>D25 MM</v>
          </cell>
          <cell r="E521" t="str">
            <v>개</v>
          </cell>
          <cell r="F521">
            <v>2</v>
          </cell>
          <cell r="G521">
            <v>212</v>
          </cell>
          <cell r="H521">
            <v>0</v>
          </cell>
          <cell r="I521">
            <v>0</v>
          </cell>
        </row>
        <row r="522">
          <cell r="A522" t="str">
            <v>A</v>
          </cell>
          <cell r="B522" t="str">
            <v>MMB40405</v>
          </cell>
          <cell r="C522" t="str">
            <v>동 소켓</v>
          </cell>
          <cell r="D522" t="str">
            <v>D15 MM</v>
          </cell>
          <cell r="E522" t="str">
            <v>개</v>
          </cell>
          <cell r="F522">
            <v>4618</v>
          </cell>
          <cell r="G522">
            <v>73</v>
          </cell>
          <cell r="H522">
            <v>0</v>
          </cell>
          <cell r="I522">
            <v>0</v>
          </cell>
        </row>
        <row r="523">
          <cell r="A523" t="str">
            <v>A</v>
          </cell>
          <cell r="B523" t="str">
            <v>MMB40407</v>
          </cell>
          <cell r="C523" t="str">
            <v>동 소켓</v>
          </cell>
          <cell r="D523" t="str">
            <v>D20 MM</v>
          </cell>
          <cell r="E523" t="str">
            <v>개</v>
          </cell>
          <cell r="F523">
            <v>1</v>
          </cell>
          <cell r="G523">
            <v>110</v>
          </cell>
          <cell r="H523">
            <v>0</v>
          </cell>
          <cell r="I523">
            <v>0</v>
          </cell>
        </row>
        <row r="524">
          <cell r="A524" t="str">
            <v>A</v>
          </cell>
          <cell r="B524" t="str">
            <v>MMB40507</v>
          </cell>
          <cell r="C524" t="str">
            <v>동 캡</v>
          </cell>
          <cell r="D524" t="str">
            <v>D20 MM</v>
          </cell>
          <cell r="E524" t="str">
            <v>개</v>
          </cell>
          <cell r="F524">
            <v>6</v>
          </cell>
          <cell r="G524">
            <v>133</v>
          </cell>
          <cell r="H524">
            <v>0</v>
          </cell>
          <cell r="I524">
            <v>0</v>
          </cell>
        </row>
        <row r="525">
          <cell r="A525" t="str">
            <v>A</v>
          </cell>
          <cell r="B525" t="str">
            <v>MMB50205</v>
          </cell>
          <cell r="C525" t="str">
            <v>CF아답타</v>
          </cell>
          <cell r="D525" t="str">
            <v>D15 MM</v>
          </cell>
          <cell r="E525" t="str">
            <v>개</v>
          </cell>
          <cell r="F525">
            <v>1804</v>
          </cell>
          <cell r="G525">
            <v>246</v>
          </cell>
          <cell r="H525">
            <v>0</v>
          </cell>
          <cell r="I525">
            <v>0</v>
          </cell>
        </row>
        <row r="526">
          <cell r="A526" t="str">
            <v>A</v>
          </cell>
          <cell r="B526" t="str">
            <v>MMB51405</v>
          </cell>
          <cell r="C526" t="str">
            <v>장티아답타</v>
          </cell>
          <cell r="D526" t="str">
            <v>D15 MM</v>
          </cell>
          <cell r="E526" t="str">
            <v>개</v>
          </cell>
          <cell r="F526">
            <v>438</v>
          </cell>
          <cell r="G526">
            <v>606</v>
          </cell>
          <cell r="H526">
            <v>0</v>
          </cell>
          <cell r="I526">
            <v>0</v>
          </cell>
        </row>
        <row r="527">
          <cell r="A527" t="str">
            <v>A</v>
          </cell>
          <cell r="B527" t="str">
            <v>MMB51450</v>
          </cell>
          <cell r="C527" t="str">
            <v>단티아답타</v>
          </cell>
          <cell r="D527" t="str">
            <v>D15 MM</v>
          </cell>
          <cell r="E527" t="str">
            <v>개</v>
          </cell>
          <cell r="F527">
            <v>438</v>
          </cell>
          <cell r="G527">
            <v>510</v>
          </cell>
          <cell r="H527">
            <v>0</v>
          </cell>
          <cell r="I527">
            <v>0</v>
          </cell>
        </row>
        <row r="528">
          <cell r="A528" t="str">
            <v>A</v>
          </cell>
          <cell r="B528" t="str">
            <v>MMB51505</v>
          </cell>
          <cell r="C528" t="str">
            <v>장암엘보아답타</v>
          </cell>
          <cell r="D528" t="str">
            <v>D15 MM</v>
          </cell>
          <cell r="E528" t="str">
            <v>개</v>
          </cell>
          <cell r="F528">
            <v>2252</v>
          </cell>
          <cell r="G528">
            <v>487</v>
          </cell>
          <cell r="H528">
            <v>0</v>
          </cell>
          <cell r="I528">
            <v>0</v>
          </cell>
        </row>
        <row r="529">
          <cell r="A529" t="str">
            <v>A</v>
          </cell>
          <cell r="B529" t="str">
            <v>MMO10505</v>
          </cell>
          <cell r="C529" t="str">
            <v>절연 행가</v>
          </cell>
          <cell r="D529" t="str">
            <v>D15 MM</v>
          </cell>
          <cell r="E529" t="str">
            <v>개</v>
          </cell>
          <cell r="F529">
            <v>133</v>
          </cell>
          <cell r="G529">
            <v>360</v>
          </cell>
          <cell r="H529">
            <v>0</v>
          </cell>
          <cell r="I529">
            <v>0</v>
          </cell>
        </row>
        <row r="530">
          <cell r="A530" t="str">
            <v>A</v>
          </cell>
          <cell r="B530" t="str">
            <v>MMO10507</v>
          </cell>
          <cell r="C530" t="str">
            <v>절연 행가</v>
          </cell>
          <cell r="D530" t="str">
            <v>D20 MM</v>
          </cell>
          <cell r="E530" t="str">
            <v>개</v>
          </cell>
          <cell r="F530">
            <v>35</v>
          </cell>
          <cell r="G530">
            <v>396</v>
          </cell>
          <cell r="H530">
            <v>0</v>
          </cell>
          <cell r="I530">
            <v>0</v>
          </cell>
        </row>
        <row r="531">
          <cell r="A531" t="str">
            <v>A</v>
          </cell>
          <cell r="B531" t="str">
            <v>MMO10508</v>
          </cell>
          <cell r="C531" t="str">
            <v>절연 행가</v>
          </cell>
          <cell r="D531" t="str">
            <v>D25 MM</v>
          </cell>
          <cell r="E531" t="str">
            <v>개</v>
          </cell>
          <cell r="F531">
            <v>6</v>
          </cell>
          <cell r="G531">
            <v>432</v>
          </cell>
          <cell r="H531">
            <v>0</v>
          </cell>
          <cell r="I531">
            <v>0</v>
          </cell>
        </row>
        <row r="532">
          <cell r="A532" t="str">
            <v>A</v>
          </cell>
          <cell r="B532" t="str">
            <v>MMO31208</v>
          </cell>
          <cell r="C532" t="str">
            <v>스리브(PVC제)</v>
          </cell>
          <cell r="D532" t="str">
            <v>D25 MM</v>
          </cell>
          <cell r="E532" t="str">
            <v>M</v>
          </cell>
          <cell r="F532">
            <v>462.84</v>
          </cell>
          <cell r="G532">
            <v>300</v>
          </cell>
          <cell r="H532">
            <v>0</v>
          </cell>
          <cell r="I532">
            <v>0</v>
          </cell>
        </row>
        <row r="533">
          <cell r="A533" t="str">
            <v>A</v>
          </cell>
          <cell r="B533" t="str">
            <v>UAC10950</v>
          </cell>
          <cell r="C533" t="str">
            <v>철제거푸집 15회(기계)</v>
          </cell>
          <cell r="E533" t="str">
            <v>M</v>
          </cell>
          <cell r="F533">
            <v>313.32</v>
          </cell>
          <cell r="G533">
            <v>100</v>
          </cell>
          <cell r="H533">
            <v>200</v>
          </cell>
          <cell r="I533">
            <v>0</v>
          </cell>
        </row>
        <row r="534">
          <cell r="A534" t="str">
            <v>A</v>
          </cell>
          <cell r="B534" t="str">
            <v>UMA52305</v>
          </cell>
          <cell r="C534" t="str">
            <v>동관 옥내 배관</v>
          </cell>
          <cell r="D534" t="str">
            <v>D15 MM,  (M TYPE)</v>
          </cell>
          <cell r="E534" t="str">
            <v>M</v>
          </cell>
          <cell r="F534">
            <v>19582.43</v>
          </cell>
          <cell r="G534">
            <v>700</v>
          </cell>
          <cell r="H534">
            <v>1600</v>
          </cell>
          <cell r="I534">
            <v>0</v>
          </cell>
        </row>
        <row r="535">
          <cell r="A535" t="str">
            <v>A</v>
          </cell>
          <cell r="B535" t="str">
            <v>UMA52307</v>
          </cell>
          <cell r="C535" t="str">
            <v>동관 옥내 배관</v>
          </cell>
          <cell r="D535" t="str">
            <v>D20 MM,  (M TYPE)</v>
          </cell>
          <cell r="E535" t="str">
            <v>M</v>
          </cell>
          <cell r="F535">
            <v>39.31</v>
          </cell>
          <cell r="G535">
            <v>1200</v>
          </cell>
          <cell r="H535">
            <v>1700</v>
          </cell>
          <cell r="I535">
            <v>0</v>
          </cell>
        </row>
        <row r="536">
          <cell r="A536" t="str">
            <v>A</v>
          </cell>
          <cell r="B536" t="str">
            <v>UMA52308</v>
          </cell>
          <cell r="C536" t="str">
            <v>동관 옥내 배관</v>
          </cell>
          <cell r="D536" t="str">
            <v>D25 MM,  (M TYPE)</v>
          </cell>
          <cell r="E536" t="str">
            <v>M</v>
          </cell>
          <cell r="F536">
            <v>9.4600000000000009</v>
          </cell>
          <cell r="G536">
            <v>1700</v>
          </cell>
          <cell r="H536">
            <v>2000</v>
          </cell>
          <cell r="I536">
            <v>0</v>
          </cell>
        </row>
        <row r="537">
          <cell r="A537" t="str">
            <v>A</v>
          </cell>
          <cell r="B537" t="str">
            <v>UMA52405</v>
          </cell>
          <cell r="C537" t="str">
            <v>동관 화장실 배관</v>
          </cell>
          <cell r="D537" t="str">
            <v>D15 MM,  (M TYPE)</v>
          </cell>
          <cell r="E537" t="str">
            <v>M</v>
          </cell>
          <cell r="F537">
            <v>2190.9499999999998</v>
          </cell>
          <cell r="G537">
            <v>800</v>
          </cell>
          <cell r="H537">
            <v>1700</v>
          </cell>
          <cell r="I537">
            <v>0</v>
          </cell>
        </row>
        <row r="538">
          <cell r="A538" t="str">
            <v>A</v>
          </cell>
          <cell r="B538" t="str">
            <v>UMA52407</v>
          </cell>
          <cell r="C538" t="str">
            <v>동관 화장실 배관</v>
          </cell>
          <cell r="D538" t="str">
            <v>D20 MM,  (M TYPE)</v>
          </cell>
          <cell r="E538" t="str">
            <v>M</v>
          </cell>
          <cell r="F538">
            <v>14.8</v>
          </cell>
          <cell r="G538">
            <v>1200</v>
          </cell>
          <cell r="H538">
            <v>2000</v>
          </cell>
          <cell r="I538">
            <v>0</v>
          </cell>
        </row>
        <row r="539">
          <cell r="A539" t="str">
            <v>A</v>
          </cell>
          <cell r="B539" t="str">
            <v>UMC24108</v>
          </cell>
          <cell r="C539" t="str">
            <v>동관용접 (BRAZING)</v>
          </cell>
          <cell r="D539" t="str">
            <v>D25 MM</v>
          </cell>
          <cell r="E539" t="str">
            <v>개소</v>
          </cell>
          <cell r="F539">
            <v>15</v>
          </cell>
          <cell r="G539">
            <v>174</v>
          </cell>
          <cell r="H539">
            <v>1455</v>
          </cell>
          <cell r="I539">
            <v>29</v>
          </cell>
        </row>
        <row r="540">
          <cell r="A540" t="str">
            <v>A</v>
          </cell>
          <cell r="B540" t="str">
            <v>UMC24305</v>
          </cell>
          <cell r="C540" t="str">
            <v>동관용접 (SOLDERING)</v>
          </cell>
          <cell r="D540" t="str">
            <v>D15 MM</v>
          </cell>
          <cell r="E540" t="str">
            <v>개소</v>
          </cell>
          <cell r="F540">
            <v>34196</v>
          </cell>
          <cell r="G540">
            <v>30</v>
          </cell>
          <cell r="H540">
            <v>960</v>
          </cell>
          <cell r="I540">
            <v>19</v>
          </cell>
        </row>
        <row r="541">
          <cell r="A541" t="str">
            <v>A</v>
          </cell>
          <cell r="B541" t="str">
            <v>UMC24307</v>
          </cell>
          <cell r="C541" t="str">
            <v>동관용접 (SOLDERING)</v>
          </cell>
          <cell r="D541" t="str">
            <v>D20 MM</v>
          </cell>
          <cell r="E541" t="str">
            <v>개소</v>
          </cell>
          <cell r="F541">
            <v>92</v>
          </cell>
          <cell r="G541">
            <v>47</v>
          </cell>
          <cell r="H541">
            <v>1108</v>
          </cell>
          <cell r="I541">
            <v>22</v>
          </cell>
        </row>
        <row r="542">
          <cell r="A542" t="str">
            <v>A</v>
          </cell>
          <cell r="B542" t="str">
            <v>UMD46401</v>
          </cell>
          <cell r="C542" t="str">
            <v>목긴볼밸브(CM유니온) 설치</v>
          </cell>
          <cell r="D542" t="str">
            <v>D15 MM, (10KG/CM2)</v>
          </cell>
          <cell r="E542" t="str">
            <v>개소</v>
          </cell>
          <cell r="F542">
            <v>928</v>
          </cell>
          <cell r="G542">
            <v>3312</v>
          </cell>
          <cell r="H542">
            <v>2119</v>
          </cell>
          <cell r="I542">
            <v>42</v>
          </cell>
        </row>
        <row r="543">
          <cell r="A543" t="str">
            <v>A</v>
          </cell>
          <cell r="B543" t="str">
            <v>UMD46402</v>
          </cell>
          <cell r="C543" t="str">
            <v>목긴볼밸브(CM유니온) 설치</v>
          </cell>
          <cell r="D543" t="str">
            <v>D20 MM, (10KG/CM2)</v>
          </cell>
          <cell r="E543" t="str">
            <v>개소</v>
          </cell>
          <cell r="F543">
            <v>3</v>
          </cell>
          <cell r="G543">
            <v>4320</v>
          </cell>
          <cell r="H543">
            <v>2119</v>
          </cell>
          <cell r="I543">
            <v>42</v>
          </cell>
        </row>
        <row r="544">
          <cell r="A544" t="str">
            <v>A</v>
          </cell>
          <cell r="B544" t="str">
            <v>UMD46408</v>
          </cell>
          <cell r="C544" t="str">
            <v>목긴볼밸브 설치</v>
          </cell>
          <cell r="D544" t="str">
            <v>D25 MM, (10KG/CM2)</v>
          </cell>
          <cell r="E544" t="str">
            <v>개소</v>
          </cell>
          <cell r="F544">
            <v>1</v>
          </cell>
          <cell r="G544">
            <v>6772</v>
          </cell>
          <cell r="H544">
            <v>2119</v>
          </cell>
          <cell r="I544">
            <v>42</v>
          </cell>
        </row>
        <row r="545">
          <cell r="A545" t="str">
            <v>A</v>
          </cell>
          <cell r="B545" t="str">
            <v>UME22205</v>
          </cell>
          <cell r="C545" t="str">
            <v>동관보온(은박)</v>
          </cell>
          <cell r="D545" t="str">
            <v>D=15MM, T=25MM</v>
          </cell>
          <cell r="E545" t="str">
            <v>M</v>
          </cell>
          <cell r="F545">
            <v>253.31</v>
          </cell>
          <cell r="G545">
            <v>600</v>
          </cell>
          <cell r="H545">
            <v>1200</v>
          </cell>
          <cell r="I545">
            <v>0</v>
          </cell>
        </row>
        <row r="546">
          <cell r="A546" t="str">
            <v>A</v>
          </cell>
          <cell r="B546" t="str">
            <v>UME22207</v>
          </cell>
          <cell r="C546" t="str">
            <v>동관보온(은박)</v>
          </cell>
          <cell r="D546" t="str">
            <v>D=20MM, T=25MM</v>
          </cell>
          <cell r="E546" t="str">
            <v>M</v>
          </cell>
          <cell r="F546">
            <v>54.11</v>
          </cell>
          <cell r="G546">
            <v>700</v>
          </cell>
          <cell r="H546">
            <v>1500</v>
          </cell>
          <cell r="I546">
            <v>0</v>
          </cell>
        </row>
        <row r="547">
          <cell r="A547" t="str">
            <v>A</v>
          </cell>
          <cell r="B547" t="str">
            <v>UME22208</v>
          </cell>
          <cell r="C547" t="str">
            <v>동관보온(은박)</v>
          </cell>
          <cell r="D547" t="str">
            <v>D=25MM, T=25MM</v>
          </cell>
          <cell r="E547" t="str">
            <v>M</v>
          </cell>
          <cell r="F547">
            <v>9.4600000000000009</v>
          </cell>
          <cell r="G547">
            <v>800</v>
          </cell>
          <cell r="H547">
            <v>1800</v>
          </cell>
          <cell r="I547">
            <v>0</v>
          </cell>
        </row>
        <row r="548">
          <cell r="A548" t="str">
            <v>A</v>
          </cell>
          <cell r="B548" t="str">
            <v>UME80205</v>
          </cell>
          <cell r="C548" t="str">
            <v>발포폴리에틸렌 보온</v>
          </cell>
          <cell r="D548" t="str">
            <v>D=15MM, T=5MM</v>
          </cell>
          <cell r="E548" t="str">
            <v>M</v>
          </cell>
          <cell r="F548">
            <v>20497.669999999998</v>
          </cell>
          <cell r="G548">
            <v>100</v>
          </cell>
          <cell r="H548">
            <v>300</v>
          </cell>
          <cell r="I548">
            <v>0</v>
          </cell>
        </row>
        <row r="549">
          <cell r="A549" t="str">
            <v>A</v>
          </cell>
          <cell r="B549" t="str">
            <v>UME80245</v>
          </cell>
          <cell r="C549" t="str">
            <v>발포폴리에틸렌 보온</v>
          </cell>
          <cell r="D549" t="str">
            <v>D=15MM, T=15MM</v>
          </cell>
          <cell r="E549" t="str">
            <v>M</v>
          </cell>
          <cell r="F549">
            <v>1020.8</v>
          </cell>
          <cell r="G549">
            <v>400</v>
          </cell>
          <cell r="H549">
            <v>600</v>
          </cell>
          <cell r="I549">
            <v>0</v>
          </cell>
        </row>
        <row r="550">
          <cell r="A550" t="str">
            <v>A</v>
          </cell>
          <cell r="B550" t="str">
            <v>UMG40202</v>
          </cell>
          <cell r="C550" t="str">
            <v>가로꼭지 설치 (일반형)</v>
          </cell>
          <cell r="D550" t="str">
            <v>D15</v>
          </cell>
          <cell r="E550" t="str">
            <v>개</v>
          </cell>
          <cell r="F550">
            <v>928</v>
          </cell>
          <cell r="G550">
            <v>2160</v>
          </cell>
          <cell r="H550">
            <v>2323</v>
          </cell>
          <cell r="I550">
            <v>46</v>
          </cell>
        </row>
        <row r="551">
          <cell r="A551" t="str">
            <v>A</v>
          </cell>
          <cell r="B551" t="str">
            <v>UMN30105</v>
          </cell>
          <cell r="C551" t="str">
            <v>워터햄머흡수기(WHA) 설치</v>
          </cell>
          <cell r="D551" t="str">
            <v>D15 (A TYPE)</v>
          </cell>
          <cell r="E551" t="str">
            <v>개</v>
          </cell>
          <cell r="F551">
            <v>438</v>
          </cell>
          <cell r="G551">
            <v>9000</v>
          </cell>
          <cell r="H551">
            <v>1052</v>
          </cell>
          <cell r="I551">
            <v>21</v>
          </cell>
        </row>
        <row r="552">
          <cell r="A552" t="str">
            <v>A</v>
          </cell>
          <cell r="B552" t="str">
            <v>UMN30106</v>
          </cell>
          <cell r="C552" t="str">
            <v>워터햄머흡수기(WHA) 설치</v>
          </cell>
          <cell r="D552" t="str">
            <v>D15(MINI TYPE)</v>
          </cell>
          <cell r="E552" t="str">
            <v>개</v>
          </cell>
          <cell r="F552">
            <v>438</v>
          </cell>
          <cell r="G552">
            <v>8640</v>
          </cell>
          <cell r="H552">
            <v>524</v>
          </cell>
          <cell r="I552">
            <v>10</v>
          </cell>
        </row>
        <row r="553">
          <cell r="A553" t="str">
            <v>A</v>
          </cell>
          <cell r="B553" t="str">
            <v>UMO28104</v>
          </cell>
          <cell r="C553" t="str">
            <v>벽체내고정새들설치</v>
          </cell>
          <cell r="D553" t="str">
            <v>D15 MM</v>
          </cell>
          <cell r="E553" t="str">
            <v>조</v>
          </cell>
          <cell r="F553">
            <v>2297</v>
          </cell>
          <cell r="G553">
            <v>27</v>
          </cell>
          <cell r="H553">
            <v>0</v>
          </cell>
          <cell r="I553">
            <v>0</v>
          </cell>
        </row>
        <row r="554">
          <cell r="A554" t="str">
            <v>A</v>
          </cell>
          <cell r="B554" t="str">
            <v>UMO31158</v>
          </cell>
          <cell r="C554" t="str">
            <v>스리브강관제작(200H)</v>
          </cell>
          <cell r="D554" t="str">
            <v>D80 M/M</v>
          </cell>
          <cell r="E554" t="str">
            <v>개소</v>
          </cell>
          <cell r="F554">
            <v>2</v>
          </cell>
          <cell r="G554">
            <v>801</v>
          </cell>
          <cell r="H554">
            <v>2202</v>
          </cell>
          <cell r="I554">
            <v>43</v>
          </cell>
        </row>
        <row r="555">
          <cell r="A555" t="str">
            <v>A</v>
          </cell>
          <cell r="B555" t="str">
            <v>UMO33291</v>
          </cell>
          <cell r="C555" t="str">
            <v>수전스리브설치(옹벽, PVC)</v>
          </cell>
          <cell r="D555" t="str">
            <v>D25 MM(L=100~200)</v>
          </cell>
          <cell r="E555" t="str">
            <v>개소</v>
          </cell>
          <cell r="F555">
            <v>1366</v>
          </cell>
          <cell r="G555">
            <v>389</v>
          </cell>
          <cell r="H555">
            <v>672</v>
          </cell>
          <cell r="I555">
            <v>13</v>
          </cell>
        </row>
        <row r="556">
          <cell r="C556" t="str">
            <v>소  계</v>
          </cell>
        </row>
        <row r="558">
          <cell r="C558" t="str">
            <v>*  오배수공사</v>
          </cell>
        </row>
        <row r="559">
          <cell r="A559" t="str">
            <v>A</v>
          </cell>
          <cell r="B559" t="str">
            <v>MGD10351</v>
          </cell>
          <cell r="C559" t="str">
            <v>동망</v>
          </cell>
          <cell r="E559" t="str">
            <v>M2</v>
          </cell>
          <cell r="F559">
            <v>6.62</v>
          </cell>
          <cell r="G559">
            <v>1800</v>
          </cell>
          <cell r="H559">
            <v>0</v>
          </cell>
          <cell r="I559">
            <v>0</v>
          </cell>
        </row>
        <row r="560">
          <cell r="A560" t="str">
            <v>A</v>
          </cell>
          <cell r="B560" t="str">
            <v>MGF11251</v>
          </cell>
          <cell r="C560" t="str">
            <v>행가지지봉</v>
          </cell>
          <cell r="D560" t="str">
            <v>9MM(3/8")</v>
          </cell>
          <cell r="E560" t="str">
            <v>M</v>
          </cell>
          <cell r="F560">
            <v>4061.6</v>
          </cell>
          <cell r="G560">
            <v>225</v>
          </cell>
          <cell r="H560">
            <v>0</v>
          </cell>
          <cell r="I560">
            <v>0</v>
          </cell>
        </row>
        <row r="561">
          <cell r="A561" t="str">
            <v>A</v>
          </cell>
          <cell r="B561" t="str">
            <v>MGF11253</v>
          </cell>
          <cell r="C561" t="str">
            <v>행가지지봉</v>
          </cell>
          <cell r="D561" t="str">
            <v>12MM(1/2")</v>
          </cell>
          <cell r="E561" t="str">
            <v>M</v>
          </cell>
          <cell r="F561">
            <v>424</v>
          </cell>
          <cell r="G561">
            <v>432</v>
          </cell>
          <cell r="H561">
            <v>0</v>
          </cell>
          <cell r="I561">
            <v>0</v>
          </cell>
        </row>
        <row r="562">
          <cell r="A562" t="str">
            <v>A</v>
          </cell>
          <cell r="B562" t="str">
            <v>MGF11506</v>
          </cell>
          <cell r="C562" t="str">
            <v>U볼 트(D9)</v>
          </cell>
          <cell r="D562" t="str">
            <v>M 50</v>
          </cell>
          <cell r="E562" t="str">
            <v>개</v>
          </cell>
          <cell r="F562">
            <v>192</v>
          </cell>
          <cell r="G562">
            <v>77</v>
          </cell>
          <cell r="H562">
            <v>0</v>
          </cell>
          <cell r="I562">
            <v>0</v>
          </cell>
        </row>
        <row r="563">
          <cell r="A563" t="str">
            <v>A</v>
          </cell>
          <cell r="B563" t="str">
            <v>MGF11508</v>
          </cell>
          <cell r="C563" t="str">
            <v>U볼 트(D9)</v>
          </cell>
          <cell r="D563" t="str">
            <v>M 80</v>
          </cell>
          <cell r="E563" t="str">
            <v>개</v>
          </cell>
          <cell r="F563">
            <v>1638</v>
          </cell>
          <cell r="G563">
            <v>96</v>
          </cell>
          <cell r="H563">
            <v>0</v>
          </cell>
          <cell r="I563">
            <v>0</v>
          </cell>
        </row>
        <row r="564">
          <cell r="A564" t="str">
            <v>A</v>
          </cell>
          <cell r="B564" t="str">
            <v>MGF11509</v>
          </cell>
          <cell r="C564" t="str">
            <v>U볼 트(D9)</v>
          </cell>
          <cell r="D564" t="str">
            <v>M100</v>
          </cell>
          <cell r="E564" t="str">
            <v>개</v>
          </cell>
          <cell r="F564">
            <v>2180</v>
          </cell>
          <cell r="G564">
            <v>122</v>
          </cell>
          <cell r="H564">
            <v>0</v>
          </cell>
          <cell r="I564">
            <v>0</v>
          </cell>
        </row>
        <row r="565">
          <cell r="A565" t="str">
            <v>A</v>
          </cell>
          <cell r="B565" t="str">
            <v>MGF12010</v>
          </cell>
          <cell r="C565" t="str">
            <v>앙카볼트</v>
          </cell>
          <cell r="D565" t="str">
            <v>10X150</v>
          </cell>
          <cell r="E565" t="str">
            <v>개</v>
          </cell>
          <cell r="F565">
            <v>8780</v>
          </cell>
          <cell r="G565">
            <v>41</v>
          </cell>
          <cell r="H565">
            <v>0</v>
          </cell>
          <cell r="I565">
            <v>0</v>
          </cell>
        </row>
        <row r="566">
          <cell r="A566" t="str">
            <v>A</v>
          </cell>
          <cell r="B566" t="str">
            <v>MGF30505</v>
          </cell>
          <cell r="C566" t="str">
            <v>인서트</v>
          </cell>
          <cell r="D566" t="str">
            <v>D9</v>
          </cell>
          <cell r="E566" t="str">
            <v>개</v>
          </cell>
          <cell r="F566">
            <v>8707</v>
          </cell>
          <cell r="G566">
            <v>26</v>
          </cell>
          <cell r="H566">
            <v>0</v>
          </cell>
          <cell r="I566">
            <v>0</v>
          </cell>
        </row>
        <row r="567">
          <cell r="A567" t="str">
            <v>A</v>
          </cell>
          <cell r="B567" t="str">
            <v>MGF30507</v>
          </cell>
          <cell r="C567" t="str">
            <v>인서트</v>
          </cell>
          <cell r="D567" t="str">
            <v>D12</v>
          </cell>
          <cell r="E567" t="str">
            <v>개</v>
          </cell>
          <cell r="F567">
            <v>424</v>
          </cell>
          <cell r="G567">
            <v>50</v>
          </cell>
          <cell r="H567">
            <v>0</v>
          </cell>
          <cell r="I567">
            <v>0</v>
          </cell>
        </row>
        <row r="568">
          <cell r="A568" t="str">
            <v>A</v>
          </cell>
          <cell r="B568" t="str">
            <v>MMB12213</v>
          </cell>
          <cell r="C568" t="str">
            <v>엘보 (백강관용, 나사식)</v>
          </cell>
          <cell r="D568" t="str">
            <v>D50 MM</v>
          </cell>
          <cell r="E568" t="str">
            <v>개</v>
          </cell>
          <cell r="F568">
            <v>70</v>
          </cell>
          <cell r="G568">
            <v>1176</v>
          </cell>
          <cell r="H568">
            <v>0</v>
          </cell>
          <cell r="I568">
            <v>0</v>
          </cell>
        </row>
        <row r="569">
          <cell r="A569" t="str">
            <v>A</v>
          </cell>
          <cell r="B569" t="str">
            <v>MMB13113</v>
          </cell>
          <cell r="C569" t="str">
            <v>소켓 (백강관용, 나사식) (KSB1531)</v>
          </cell>
          <cell r="D569" t="str">
            <v>D50 MM</v>
          </cell>
          <cell r="E569" t="str">
            <v>개</v>
          </cell>
          <cell r="F569">
            <v>5</v>
          </cell>
          <cell r="G569">
            <v>901</v>
          </cell>
          <cell r="H569">
            <v>0</v>
          </cell>
          <cell r="I569">
            <v>0</v>
          </cell>
        </row>
        <row r="570">
          <cell r="A570" t="str">
            <v>A</v>
          </cell>
          <cell r="B570" t="str">
            <v>MMC37111</v>
          </cell>
          <cell r="C570" t="str">
            <v>PVC 45도 곡관</v>
          </cell>
          <cell r="D570" t="str">
            <v>D35 MM</v>
          </cell>
          <cell r="E570" t="str">
            <v>개</v>
          </cell>
          <cell r="F570">
            <v>54</v>
          </cell>
          <cell r="G570">
            <v>354</v>
          </cell>
          <cell r="H570">
            <v>0</v>
          </cell>
          <cell r="I570">
            <v>0</v>
          </cell>
        </row>
        <row r="571">
          <cell r="A571" t="str">
            <v>A</v>
          </cell>
          <cell r="B571" t="str">
            <v>MMC37113</v>
          </cell>
          <cell r="C571" t="str">
            <v>PVC 45도 곡관</v>
          </cell>
          <cell r="D571" t="str">
            <v>D50 MM</v>
          </cell>
          <cell r="E571" t="str">
            <v>개</v>
          </cell>
          <cell r="F571">
            <v>69</v>
          </cell>
          <cell r="G571">
            <v>681</v>
          </cell>
          <cell r="H571">
            <v>0</v>
          </cell>
          <cell r="I571">
            <v>0</v>
          </cell>
        </row>
        <row r="572">
          <cell r="A572" t="str">
            <v>A</v>
          </cell>
          <cell r="B572" t="str">
            <v>MMC37116</v>
          </cell>
          <cell r="C572" t="str">
            <v>PVC 45도 곡관</v>
          </cell>
          <cell r="D572" t="str">
            <v>D75 MM</v>
          </cell>
          <cell r="E572" t="str">
            <v>개</v>
          </cell>
          <cell r="F572">
            <v>174</v>
          </cell>
          <cell r="G572">
            <v>1237</v>
          </cell>
          <cell r="H572">
            <v>0</v>
          </cell>
          <cell r="I572">
            <v>0</v>
          </cell>
        </row>
        <row r="573">
          <cell r="A573" t="str">
            <v>A</v>
          </cell>
          <cell r="B573" t="str">
            <v>MMC37119</v>
          </cell>
          <cell r="C573" t="str">
            <v>PVC 45도 곡관</v>
          </cell>
          <cell r="D573" t="str">
            <v>D100 MM</v>
          </cell>
          <cell r="E573" t="str">
            <v>개</v>
          </cell>
          <cell r="F573">
            <v>262</v>
          </cell>
          <cell r="G573">
            <v>2082</v>
          </cell>
          <cell r="H573">
            <v>0</v>
          </cell>
          <cell r="I573">
            <v>0</v>
          </cell>
        </row>
        <row r="574">
          <cell r="A574" t="str">
            <v>A</v>
          </cell>
          <cell r="B574" t="str">
            <v>MMC37211</v>
          </cell>
          <cell r="C574" t="str">
            <v>PVC 90도 곡관</v>
          </cell>
          <cell r="D574" t="str">
            <v>D35 MM</v>
          </cell>
          <cell r="E574" t="str">
            <v>개</v>
          </cell>
          <cell r="F574">
            <v>948</v>
          </cell>
          <cell r="G574">
            <v>437</v>
          </cell>
          <cell r="H574">
            <v>0</v>
          </cell>
          <cell r="I574">
            <v>0</v>
          </cell>
        </row>
        <row r="575">
          <cell r="A575" t="str">
            <v>A</v>
          </cell>
          <cell r="B575" t="str">
            <v>MMC37212</v>
          </cell>
          <cell r="C575" t="str">
            <v>PVC 90도 곡관</v>
          </cell>
          <cell r="D575" t="str">
            <v>D40 MM</v>
          </cell>
          <cell r="E575" t="str">
            <v>개</v>
          </cell>
          <cell r="F575">
            <v>408</v>
          </cell>
          <cell r="G575">
            <v>628</v>
          </cell>
          <cell r="H575">
            <v>0</v>
          </cell>
          <cell r="I575">
            <v>0</v>
          </cell>
        </row>
        <row r="576">
          <cell r="A576" t="str">
            <v>A</v>
          </cell>
          <cell r="B576" t="str">
            <v>MMC37213</v>
          </cell>
          <cell r="C576" t="str">
            <v>PVC 90도 곡관</v>
          </cell>
          <cell r="D576" t="str">
            <v>D50 MM</v>
          </cell>
          <cell r="E576" t="str">
            <v>개</v>
          </cell>
          <cell r="F576">
            <v>1812</v>
          </cell>
          <cell r="G576">
            <v>830</v>
          </cell>
          <cell r="H576">
            <v>0</v>
          </cell>
          <cell r="I576">
            <v>0</v>
          </cell>
        </row>
        <row r="577">
          <cell r="A577" t="str">
            <v>A</v>
          </cell>
          <cell r="B577" t="str">
            <v>MMC37216</v>
          </cell>
          <cell r="C577" t="str">
            <v>PVC 90도 곡관</v>
          </cell>
          <cell r="D577" t="str">
            <v>D75 MM</v>
          </cell>
          <cell r="E577" t="str">
            <v>개</v>
          </cell>
          <cell r="F577">
            <v>314</v>
          </cell>
          <cell r="G577">
            <v>1657</v>
          </cell>
          <cell r="H577">
            <v>0</v>
          </cell>
          <cell r="I577">
            <v>0</v>
          </cell>
        </row>
        <row r="578">
          <cell r="A578" t="str">
            <v>A</v>
          </cell>
          <cell r="B578" t="str">
            <v>MMC37219</v>
          </cell>
          <cell r="C578" t="str">
            <v>PVC 90도 곡관</v>
          </cell>
          <cell r="D578" t="str">
            <v>D100 MM</v>
          </cell>
          <cell r="E578" t="str">
            <v>개</v>
          </cell>
          <cell r="F578">
            <v>299</v>
          </cell>
          <cell r="G578">
            <v>3141</v>
          </cell>
          <cell r="H578">
            <v>0</v>
          </cell>
          <cell r="I578">
            <v>0</v>
          </cell>
        </row>
        <row r="579">
          <cell r="A579" t="str">
            <v>A</v>
          </cell>
          <cell r="B579" t="str">
            <v>MMC37342</v>
          </cell>
          <cell r="C579" t="str">
            <v>PVC Y 관</v>
          </cell>
          <cell r="D579" t="str">
            <v>D50 X 35</v>
          </cell>
          <cell r="E579" t="str">
            <v>개</v>
          </cell>
          <cell r="F579">
            <v>36</v>
          </cell>
          <cell r="G579">
            <v>948</v>
          </cell>
          <cell r="H579">
            <v>0</v>
          </cell>
          <cell r="I579">
            <v>0</v>
          </cell>
        </row>
        <row r="580">
          <cell r="A580" t="str">
            <v>A</v>
          </cell>
          <cell r="B580" t="str">
            <v>MMC37344</v>
          </cell>
          <cell r="C580" t="str">
            <v>PVC Y 관</v>
          </cell>
          <cell r="D580" t="str">
            <v>D50 X 50</v>
          </cell>
          <cell r="E580" t="str">
            <v>개</v>
          </cell>
          <cell r="F580">
            <v>30</v>
          </cell>
          <cell r="G580">
            <v>1220</v>
          </cell>
          <cell r="H580">
            <v>0</v>
          </cell>
          <cell r="I580">
            <v>0</v>
          </cell>
        </row>
        <row r="581">
          <cell r="A581" t="str">
            <v>A</v>
          </cell>
          <cell r="B581" t="str">
            <v>MMC37352</v>
          </cell>
          <cell r="C581" t="str">
            <v>PVC Y 관</v>
          </cell>
          <cell r="D581" t="str">
            <v>D100X 75</v>
          </cell>
          <cell r="E581" t="str">
            <v>개</v>
          </cell>
          <cell r="F581">
            <v>46</v>
          </cell>
          <cell r="G581">
            <v>2918</v>
          </cell>
          <cell r="H581">
            <v>0</v>
          </cell>
          <cell r="I581">
            <v>0</v>
          </cell>
        </row>
        <row r="582">
          <cell r="A582" t="str">
            <v>A</v>
          </cell>
          <cell r="B582" t="str">
            <v>MMC37353</v>
          </cell>
          <cell r="C582" t="str">
            <v>PVC Y 관</v>
          </cell>
          <cell r="D582" t="str">
            <v>D100X100</v>
          </cell>
          <cell r="E582" t="str">
            <v>개</v>
          </cell>
          <cell r="F582">
            <v>50</v>
          </cell>
          <cell r="G582">
            <v>3442</v>
          </cell>
          <cell r="H582">
            <v>0</v>
          </cell>
          <cell r="I582">
            <v>0</v>
          </cell>
        </row>
        <row r="583">
          <cell r="A583" t="str">
            <v>A</v>
          </cell>
          <cell r="B583" t="str">
            <v>MMC37442</v>
          </cell>
          <cell r="C583" t="str">
            <v>PVC YT 관</v>
          </cell>
          <cell r="D583" t="str">
            <v>D50 X 35</v>
          </cell>
          <cell r="E583" t="str">
            <v>개</v>
          </cell>
          <cell r="F583">
            <v>28</v>
          </cell>
          <cell r="G583">
            <v>959</v>
          </cell>
          <cell r="H583">
            <v>0</v>
          </cell>
          <cell r="I583">
            <v>0</v>
          </cell>
        </row>
        <row r="584">
          <cell r="A584" t="str">
            <v>A</v>
          </cell>
          <cell r="B584" t="str">
            <v>MMC37444</v>
          </cell>
          <cell r="C584" t="str">
            <v>PVC YT 관</v>
          </cell>
          <cell r="D584" t="str">
            <v>D50 X 50</v>
          </cell>
          <cell r="E584" t="str">
            <v>개</v>
          </cell>
          <cell r="F584">
            <v>231</v>
          </cell>
          <cell r="G584">
            <v>1459</v>
          </cell>
          <cell r="H584">
            <v>0</v>
          </cell>
          <cell r="I584">
            <v>0</v>
          </cell>
        </row>
        <row r="585">
          <cell r="A585" t="str">
            <v>A</v>
          </cell>
          <cell r="B585" t="str">
            <v>MMC37446</v>
          </cell>
          <cell r="C585" t="str">
            <v>PVC YT 관</v>
          </cell>
          <cell r="D585" t="str">
            <v>D75 X 40</v>
          </cell>
          <cell r="E585" t="str">
            <v>개</v>
          </cell>
          <cell r="F585">
            <v>408</v>
          </cell>
          <cell r="G585">
            <v>1749</v>
          </cell>
          <cell r="H585">
            <v>0</v>
          </cell>
          <cell r="I585">
            <v>0</v>
          </cell>
        </row>
        <row r="586">
          <cell r="A586" t="str">
            <v>A</v>
          </cell>
          <cell r="B586" t="str">
            <v>MMC37447</v>
          </cell>
          <cell r="C586" t="str">
            <v>PVC YT 관</v>
          </cell>
          <cell r="D586" t="str">
            <v>D75 X 50</v>
          </cell>
          <cell r="E586" t="str">
            <v>개</v>
          </cell>
          <cell r="F586">
            <v>551</v>
          </cell>
          <cell r="G586">
            <v>1795</v>
          </cell>
          <cell r="H586">
            <v>0</v>
          </cell>
          <cell r="I586">
            <v>0</v>
          </cell>
        </row>
        <row r="587">
          <cell r="A587" t="str">
            <v>A</v>
          </cell>
          <cell r="B587" t="str">
            <v>MMC37448</v>
          </cell>
          <cell r="C587" t="str">
            <v>PVC YT 관</v>
          </cell>
          <cell r="D587" t="str">
            <v>D75 X 75</v>
          </cell>
          <cell r="E587" t="str">
            <v>개</v>
          </cell>
          <cell r="F587">
            <v>2</v>
          </cell>
          <cell r="G587">
            <v>3213</v>
          </cell>
          <cell r="H587">
            <v>0</v>
          </cell>
          <cell r="I587">
            <v>0</v>
          </cell>
        </row>
        <row r="588">
          <cell r="A588" t="str">
            <v>A</v>
          </cell>
          <cell r="B588" t="str">
            <v>MMC37451</v>
          </cell>
          <cell r="C588" t="str">
            <v>PVC YT 관</v>
          </cell>
          <cell r="D588" t="str">
            <v>D100X 50</v>
          </cell>
          <cell r="E588" t="str">
            <v>개</v>
          </cell>
          <cell r="F588">
            <v>462</v>
          </cell>
          <cell r="G588">
            <v>2375</v>
          </cell>
          <cell r="H588">
            <v>0</v>
          </cell>
          <cell r="I588">
            <v>0</v>
          </cell>
        </row>
        <row r="589">
          <cell r="A589" t="str">
            <v>A</v>
          </cell>
          <cell r="B589" t="str">
            <v>MMC37453</v>
          </cell>
          <cell r="C589" t="str">
            <v>PVC YT 관</v>
          </cell>
          <cell r="D589" t="str">
            <v>D100X100</v>
          </cell>
          <cell r="E589" t="str">
            <v>개</v>
          </cell>
          <cell r="F589">
            <v>823</v>
          </cell>
          <cell r="G589">
            <v>3626</v>
          </cell>
          <cell r="H589">
            <v>0</v>
          </cell>
          <cell r="I589">
            <v>0</v>
          </cell>
        </row>
        <row r="590">
          <cell r="A590" t="str">
            <v>A</v>
          </cell>
          <cell r="B590" t="str">
            <v>MMC37644</v>
          </cell>
          <cell r="C590" t="str">
            <v>PVC C-Y 관</v>
          </cell>
          <cell r="D590" t="str">
            <v>D50  X 50</v>
          </cell>
          <cell r="E590" t="str">
            <v>개</v>
          </cell>
          <cell r="F590">
            <v>59</v>
          </cell>
          <cell r="G590">
            <v>1961</v>
          </cell>
          <cell r="H590">
            <v>0</v>
          </cell>
          <cell r="I590">
            <v>0</v>
          </cell>
        </row>
        <row r="591">
          <cell r="A591" t="str">
            <v>A</v>
          </cell>
          <cell r="B591" t="str">
            <v>MMC37651</v>
          </cell>
          <cell r="C591" t="str">
            <v>PVC C-Y 관</v>
          </cell>
          <cell r="D591" t="str">
            <v>D100 X 50</v>
          </cell>
          <cell r="E591" t="str">
            <v>개</v>
          </cell>
          <cell r="F591">
            <v>1</v>
          </cell>
          <cell r="G591">
            <v>3401</v>
          </cell>
          <cell r="H591">
            <v>0</v>
          </cell>
          <cell r="I591">
            <v>0</v>
          </cell>
        </row>
        <row r="592">
          <cell r="A592" t="str">
            <v>A</v>
          </cell>
          <cell r="B592" t="str">
            <v>MMC37653</v>
          </cell>
          <cell r="C592" t="str">
            <v>PVC C-Y 관</v>
          </cell>
          <cell r="D592" t="str">
            <v>D100 X100</v>
          </cell>
          <cell r="E592" t="str">
            <v>개</v>
          </cell>
          <cell r="F592">
            <v>49</v>
          </cell>
          <cell r="G592">
            <v>3800</v>
          </cell>
          <cell r="H592">
            <v>0</v>
          </cell>
          <cell r="I592">
            <v>0</v>
          </cell>
        </row>
        <row r="593">
          <cell r="A593" t="str">
            <v>A</v>
          </cell>
          <cell r="B593" t="str">
            <v>MMC37743</v>
          </cell>
          <cell r="C593" t="str">
            <v>PVC C-YT 관</v>
          </cell>
          <cell r="D593" t="str">
            <v>D50 X 40</v>
          </cell>
          <cell r="E593" t="str">
            <v>개</v>
          </cell>
          <cell r="F593">
            <v>30</v>
          </cell>
          <cell r="G593">
            <v>1829</v>
          </cell>
          <cell r="H593">
            <v>0</v>
          </cell>
          <cell r="I593">
            <v>0</v>
          </cell>
        </row>
        <row r="594">
          <cell r="A594" t="str">
            <v>A</v>
          </cell>
          <cell r="B594" t="str">
            <v>MMC37744</v>
          </cell>
          <cell r="C594" t="str">
            <v>PVC C-YT 관</v>
          </cell>
          <cell r="D594" t="str">
            <v>D50 X 50</v>
          </cell>
          <cell r="E594" t="str">
            <v>개</v>
          </cell>
          <cell r="F594">
            <v>186</v>
          </cell>
          <cell r="G594">
            <v>1961</v>
          </cell>
          <cell r="H594">
            <v>0</v>
          </cell>
          <cell r="I594">
            <v>0</v>
          </cell>
        </row>
        <row r="595">
          <cell r="A595" t="str">
            <v>A</v>
          </cell>
          <cell r="B595" t="str">
            <v>MMC37747</v>
          </cell>
          <cell r="C595" t="str">
            <v>PVC C-YT 관</v>
          </cell>
          <cell r="D595" t="str">
            <v>D75 X 50</v>
          </cell>
          <cell r="E595" t="str">
            <v>개</v>
          </cell>
          <cell r="F595">
            <v>1</v>
          </cell>
          <cell r="G595">
            <v>2549</v>
          </cell>
          <cell r="H595">
            <v>0</v>
          </cell>
          <cell r="I595">
            <v>0</v>
          </cell>
        </row>
        <row r="596">
          <cell r="A596" t="str">
            <v>A</v>
          </cell>
          <cell r="B596" t="str">
            <v>MMC37748</v>
          </cell>
          <cell r="C596" t="str">
            <v>PVC C-YT 관</v>
          </cell>
          <cell r="D596" t="str">
            <v>D75 X 75</v>
          </cell>
          <cell r="E596" t="str">
            <v>개</v>
          </cell>
          <cell r="F596">
            <v>94</v>
          </cell>
          <cell r="G596">
            <v>3727</v>
          </cell>
          <cell r="H596">
            <v>0</v>
          </cell>
          <cell r="I596">
            <v>0</v>
          </cell>
        </row>
        <row r="597">
          <cell r="A597" t="str">
            <v>A</v>
          </cell>
          <cell r="B597" t="str">
            <v>MMC37753</v>
          </cell>
          <cell r="C597" t="str">
            <v>PVC C-YT 관</v>
          </cell>
          <cell r="D597" t="str">
            <v>D100X100</v>
          </cell>
          <cell r="E597" t="str">
            <v>개</v>
          </cell>
          <cell r="F597">
            <v>52</v>
          </cell>
          <cell r="G597">
            <v>3626</v>
          </cell>
          <cell r="H597">
            <v>0</v>
          </cell>
          <cell r="I597">
            <v>0</v>
          </cell>
        </row>
        <row r="598">
          <cell r="A598" t="str">
            <v>A</v>
          </cell>
          <cell r="B598" t="str">
            <v>MMC37842</v>
          </cell>
          <cell r="C598" t="str">
            <v>PVC 레듀샤</v>
          </cell>
          <cell r="D598" t="str">
            <v>D50 X 35</v>
          </cell>
          <cell r="E598" t="str">
            <v>개</v>
          </cell>
          <cell r="F598">
            <v>2</v>
          </cell>
          <cell r="G598">
            <v>746</v>
          </cell>
          <cell r="H598">
            <v>0</v>
          </cell>
          <cell r="I598">
            <v>0</v>
          </cell>
        </row>
        <row r="599">
          <cell r="A599" t="str">
            <v>A</v>
          </cell>
          <cell r="B599" t="str">
            <v>MMC37847</v>
          </cell>
          <cell r="C599" t="str">
            <v>PVC 레듀샤</v>
          </cell>
          <cell r="D599" t="str">
            <v>D75 X 50</v>
          </cell>
          <cell r="E599" t="str">
            <v>개</v>
          </cell>
          <cell r="F599">
            <v>1</v>
          </cell>
          <cell r="G599">
            <v>985</v>
          </cell>
          <cell r="H599">
            <v>0</v>
          </cell>
          <cell r="I599">
            <v>0</v>
          </cell>
        </row>
        <row r="600">
          <cell r="A600" t="str">
            <v>A</v>
          </cell>
          <cell r="B600" t="str">
            <v>MMC37912</v>
          </cell>
          <cell r="C600" t="str">
            <v>PVC P-트랩</v>
          </cell>
          <cell r="D600" t="str">
            <v>D40 MM</v>
          </cell>
          <cell r="E600" t="str">
            <v>개</v>
          </cell>
          <cell r="F600">
            <v>28</v>
          </cell>
          <cell r="G600">
            <v>1130</v>
          </cell>
          <cell r="H600">
            <v>0</v>
          </cell>
          <cell r="I600">
            <v>0</v>
          </cell>
        </row>
        <row r="601">
          <cell r="A601" t="str">
            <v>A</v>
          </cell>
          <cell r="B601" t="str">
            <v>MMC38301</v>
          </cell>
          <cell r="C601" t="str">
            <v>섹스티아밴드(소제구유)</v>
          </cell>
          <cell r="D601" t="str">
            <v>D75X 75</v>
          </cell>
          <cell r="E601" t="str">
            <v>개</v>
          </cell>
          <cell r="F601">
            <v>44</v>
          </cell>
          <cell r="G601">
            <v>5990</v>
          </cell>
          <cell r="H601">
            <v>0</v>
          </cell>
          <cell r="I601">
            <v>0</v>
          </cell>
        </row>
        <row r="602">
          <cell r="A602" t="str">
            <v>A</v>
          </cell>
          <cell r="B602" t="str">
            <v>MMC38303</v>
          </cell>
          <cell r="C602" t="str">
            <v>섹스티아밴드(소제구유)</v>
          </cell>
          <cell r="D602" t="str">
            <v>D100X100</v>
          </cell>
          <cell r="E602" t="str">
            <v>개</v>
          </cell>
          <cell r="F602">
            <v>58</v>
          </cell>
          <cell r="G602">
            <v>8564</v>
          </cell>
          <cell r="H602">
            <v>0</v>
          </cell>
          <cell r="I602">
            <v>0</v>
          </cell>
        </row>
        <row r="603">
          <cell r="A603" t="str">
            <v>A</v>
          </cell>
          <cell r="B603" t="str">
            <v>MMC38311</v>
          </cell>
          <cell r="C603" t="str">
            <v>섹스티아(화장실배수)</v>
          </cell>
          <cell r="D603" t="str">
            <v>D100X50</v>
          </cell>
          <cell r="E603" t="str">
            <v>개</v>
          </cell>
          <cell r="F603">
            <v>394</v>
          </cell>
          <cell r="G603">
            <v>3802</v>
          </cell>
          <cell r="H603">
            <v>0</v>
          </cell>
          <cell r="I603">
            <v>0</v>
          </cell>
        </row>
        <row r="604">
          <cell r="A604" t="str">
            <v>A</v>
          </cell>
          <cell r="B604" t="str">
            <v>MMC38312</v>
          </cell>
          <cell r="C604" t="str">
            <v>섹스티아(화장실오수)</v>
          </cell>
          <cell r="D604" t="str">
            <v>D100X100</v>
          </cell>
          <cell r="E604" t="str">
            <v>개</v>
          </cell>
          <cell r="F604">
            <v>456</v>
          </cell>
          <cell r="G604">
            <v>4032</v>
          </cell>
          <cell r="H604">
            <v>0</v>
          </cell>
          <cell r="I604">
            <v>0</v>
          </cell>
        </row>
        <row r="605">
          <cell r="A605" t="str">
            <v>A</v>
          </cell>
          <cell r="B605" t="str">
            <v>MMC38321</v>
          </cell>
          <cell r="C605" t="str">
            <v>섹스티아(주방,화장실)</v>
          </cell>
          <cell r="D605" t="str">
            <v>D75X50</v>
          </cell>
          <cell r="E605" t="str">
            <v>개</v>
          </cell>
          <cell r="F605">
            <v>620</v>
          </cell>
          <cell r="G605">
            <v>2938</v>
          </cell>
          <cell r="H605">
            <v>0</v>
          </cell>
          <cell r="I605">
            <v>0</v>
          </cell>
        </row>
        <row r="606">
          <cell r="A606" t="str">
            <v>A</v>
          </cell>
          <cell r="B606" t="str">
            <v>MMC39211</v>
          </cell>
          <cell r="C606" t="str">
            <v>이중90도엘보</v>
          </cell>
          <cell r="D606" t="str">
            <v>D35</v>
          </cell>
          <cell r="E606" t="str">
            <v>개</v>
          </cell>
          <cell r="F606">
            <v>816</v>
          </cell>
          <cell r="G606">
            <v>572</v>
          </cell>
          <cell r="H606">
            <v>0</v>
          </cell>
          <cell r="I606">
            <v>0</v>
          </cell>
        </row>
        <row r="607">
          <cell r="A607" t="str">
            <v>A</v>
          </cell>
          <cell r="B607" t="str">
            <v>MMC39213</v>
          </cell>
          <cell r="C607" t="str">
            <v>이중90도엘보</v>
          </cell>
          <cell r="D607" t="str">
            <v>D50</v>
          </cell>
          <cell r="E607" t="str">
            <v>개</v>
          </cell>
          <cell r="F607">
            <v>816</v>
          </cell>
          <cell r="G607">
            <v>982</v>
          </cell>
          <cell r="H607">
            <v>0</v>
          </cell>
          <cell r="I607">
            <v>0</v>
          </cell>
        </row>
        <row r="608">
          <cell r="A608" t="str">
            <v>A</v>
          </cell>
          <cell r="B608" t="str">
            <v>MMC39342</v>
          </cell>
          <cell r="C608" t="str">
            <v>이중Y관</v>
          </cell>
          <cell r="D608" t="str">
            <v>D50X35</v>
          </cell>
          <cell r="E608" t="str">
            <v>개</v>
          </cell>
          <cell r="F608">
            <v>84</v>
          </cell>
          <cell r="G608">
            <v>1370</v>
          </cell>
          <cell r="H608">
            <v>0</v>
          </cell>
          <cell r="I608">
            <v>0</v>
          </cell>
        </row>
        <row r="609">
          <cell r="A609" t="str">
            <v>A</v>
          </cell>
          <cell r="B609" t="str">
            <v>MMC39343</v>
          </cell>
          <cell r="C609" t="str">
            <v>이중Y관</v>
          </cell>
          <cell r="D609" t="str">
            <v>D50X40</v>
          </cell>
          <cell r="E609" t="str">
            <v>개</v>
          </cell>
          <cell r="F609">
            <v>408</v>
          </cell>
          <cell r="G609">
            <v>1531</v>
          </cell>
          <cell r="H609">
            <v>0</v>
          </cell>
          <cell r="I609">
            <v>0</v>
          </cell>
        </row>
        <row r="610">
          <cell r="A610" t="str">
            <v>A</v>
          </cell>
          <cell r="B610" t="str">
            <v>MMC39444</v>
          </cell>
          <cell r="C610" t="str">
            <v>이중YT관</v>
          </cell>
          <cell r="D610" t="str">
            <v>D50</v>
          </cell>
          <cell r="E610" t="str">
            <v>개</v>
          </cell>
          <cell r="F610">
            <v>732</v>
          </cell>
          <cell r="G610">
            <v>1954</v>
          </cell>
          <cell r="H610">
            <v>0</v>
          </cell>
          <cell r="I610">
            <v>0</v>
          </cell>
        </row>
        <row r="611">
          <cell r="A611" t="str">
            <v>A</v>
          </cell>
          <cell r="B611" t="str">
            <v>MMC39447</v>
          </cell>
          <cell r="C611" t="str">
            <v>이중YT관</v>
          </cell>
          <cell r="D611" t="str">
            <v>D75X50</v>
          </cell>
          <cell r="E611" t="str">
            <v>개</v>
          </cell>
          <cell r="F611">
            <v>64</v>
          </cell>
          <cell r="G611">
            <v>3266</v>
          </cell>
          <cell r="H611">
            <v>0</v>
          </cell>
          <cell r="I611">
            <v>0</v>
          </cell>
        </row>
        <row r="612">
          <cell r="A612" t="str">
            <v>A</v>
          </cell>
          <cell r="B612" t="str">
            <v>MMC39519</v>
          </cell>
          <cell r="C612" t="str">
            <v>삼중엘보(양변기용)</v>
          </cell>
          <cell r="D612" t="str">
            <v>D100</v>
          </cell>
          <cell r="E612" t="str">
            <v>개</v>
          </cell>
          <cell r="F612">
            <v>816</v>
          </cell>
          <cell r="G612">
            <v>5573</v>
          </cell>
          <cell r="H612">
            <v>0</v>
          </cell>
          <cell r="I612">
            <v>0</v>
          </cell>
        </row>
        <row r="613">
          <cell r="A613" t="str">
            <v>A</v>
          </cell>
          <cell r="B613" t="str">
            <v>MMC39642</v>
          </cell>
          <cell r="C613" t="str">
            <v>이중CY관</v>
          </cell>
          <cell r="D613" t="str">
            <v>D50X35</v>
          </cell>
          <cell r="E613" t="str">
            <v>개</v>
          </cell>
          <cell r="F613">
            <v>324</v>
          </cell>
          <cell r="G613">
            <v>1812</v>
          </cell>
          <cell r="H613">
            <v>0</v>
          </cell>
          <cell r="I613">
            <v>0</v>
          </cell>
        </row>
        <row r="614">
          <cell r="A614" t="str">
            <v>A</v>
          </cell>
          <cell r="B614" t="str">
            <v>MMC39644</v>
          </cell>
          <cell r="C614" t="str">
            <v>이중CY관</v>
          </cell>
          <cell r="D614" t="str">
            <v>D50</v>
          </cell>
          <cell r="E614" t="str">
            <v>개</v>
          </cell>
          <cell r="F614">
            <v>216</v>
          </cell>
          <cell r="G614">
            <v>2486</v>
          </cell>
          <cell r="H614">
            <v>0</v>
          </cell>
          <cell r="I614">
            <v>0</v>
          </cell>
        </row>
        <row r="615">
          <cell r="A615" t="str">
            <v>A</v>
          </cell>
          <cell r="B615" t="str">
            <v>MMC39653</v>
          </cell>
          <cell r="C615" t="str">
            <v>이중CY관</v>
          </cell>
          <cell r="D615" t="str">
            <v>D100</v>
          </cell>
          <cell r="E615" t="str">
            <v>개</v>
          </cell>
          <cell r="F615">
            <v>596</v>
          </cell>
          <cell r="G615">
            <v>5637</v>
          </cell>
          <cell r="H615">
            <v>0</v>
          </cell>
          <cell r="I615">
            <v>0</v>
          </cell>
        </row>
        <row r="616">
          <cell r="A616" t="str">
            <v>A</v>
          </cell>
          <cell r="B616" t="str">
            <v>MMC39742</v>
          </cell>
          <cell r="C616" t="str">
            <v>이중CYT관</v>
          </cell>
          <cell r="D616" t="str">
            <v>D50X35</v>
          </cell>
          <cell r="E616" t="str">
            <v>개</v>
          </cell>
          <cell r="F616">
            <v>408</v>
          </cell>
          <cell r="G616">
            <v>1711</v>
          </cell>
          <cell r="H616">
            <v>0</v>
          </cell>
          <cell r="I616">
            <v>0</v>
          </cell>
        </row>
        <row r="617">
          <cell r="A617" t="str">
            <v>A</v>
          </cell>
          <cell r="B617" t="str">
            <v>MMC39744</v>
          </cell>
          <cell r="C617" t="str">
            <v>이중CYT관</v>
          </cell>
          <cell r="D617" t="str">
            <v>D50</v>
          </cell>
          <cell r="E617" t="str">
            <v>개</v>
          </cell>
          <cell r="F617">
            <v>732</v>
          </cell>
          <cell r="G617">
            <v>3033</v>
          </cell>
          <cell r="H617">
            <v>0</v>
          </cell>
          <cell r="I617">
            <v>0</v>
          </cell>
        </row>
        <row r="618">
          <cell r="A618" t="str">
            <v>A</v>
          </cell>
          <cell r="B618" t="str">
            <v>MMC39753</v>
          </cell>
          <cell r="C618" t="str">
            <v>이중CYT관</v>
          </cell>
          <cell r="D618" t="str">
            <v>D100</v>
          </cell>
          <cell r="E618" t="str">
            <v>개</v>
          </cell>
          <cell r="F618">
            <v>56</v>
          </cell>
          <cell r="G618">
            <v>5657</v>
          </cell>
          <cell r="H618">
            <v>0</v>
          </cell>
          <cell r="I618">
            <v>0</v>
          </cell>
        </row>
        <row r="619">
          <cell r="A619" t="str">
            <v>A</v>
          </cell>
          <cell r="B619" t="str">
            <v>MMC39870</v>
          </cell>
          <cell r="C619" t="str">
            <v>이중P-트랩</v>
          </cell>
          <cell r="D619" t="str">
            <v>D 40</v>
          </cell>
          <cell r="E619" t="str">
            <v>개</v>
          </cell>
          <cell r="F619">
            <v>408</v>
          </cell>
          <cell r="G619">
            <v>2624</v>
          </cell>
          <cell r="H619">
            <v>0</v>
          </cell>
          <cell r="I619">
            <v>0</v>
          </cell>
        </row>
        <row r="620">
          <cell r="A620" t="str">
            <v>A</v>
          </cell>
          <cell r="B620" t="str">
            <v>MMG10405</v>
          </cell>
          <cell r="C620" t="str">
            <v>양변기(도기몸체,원피스형 투피스,유색)</v>
          </cell>
          <cell r="D620" t="str">
            <v>KSVC-1210CR(로탱크포함)</v>
          </cell>
          <cell r="E620" t="str">
            <v>조</v>
          </cell>
          <cell r="F620">
            <v>8.76</v>
          </cell>
          <cell r="G620">
            <v>66500</v>
          </cell>
          <cell r="H620">
            <v>0</v>
          </cell>
          <cell r="I620">
            <v>0</v>
          </cell>
        </row>
        <row r="621">
          <cell r="A621" t="str">
            <v>A</v>
          </cell>
          <cell r="B621" t="str">
            <v>MMJ56319</v>
          </cell>
          <cell r="C621" t="str">
            <v>흡음알루미늄후랙시블관</v>
          </cell>
          <cell r="D621" t="str">
            <v>D100 MM</v>
          </cell>
          <cell r="E621" t="str">
            <v>M</v>
          </cell>
          <cell r="F621">
            <v>4.2</v>
          </cell>
          <cell r="G621">
            <v>1300</v>
          </cell>
          <cell r="H621">
            <v>0</v>
          </cell>
          <cell r="I621">
            <v>0</v>
          </cell>
        </row>
        <row r="622">
          <cell r="A622" t="str">
            <v>A</v>
          </cell>
          <cell r="B622" t="str">
            <v>MMJ65231</v>
          </cell>
          <cell r="C622" t="str">
            <v>스파이럴캡 (AD용)</v>
          </cell>
          <cell r="D622" t="str">
            <v>D125 (동망포함)</v>
          </cell>
          <cell r="E622" t="str">
            <v>개</v>
          </cell>
          <cell r="F622">
            <v>6</v>
          </cell>
          <cell r="G622">
            <v>3771</v>
          </cell>
          <cell r="H622">
            <v>0</v>
          </cell>
          <cell r="I622">
            <v>0</v>
          </cell>
        </row>
        <row r="623">
          <cell r="A623" t="str">
            <v>A</v>
          </cell>
          <cell r="B623" t="str">
            <v>MMJ65232</v>
          </cell>
          <cell r="C623" t="str">
            <v>스파이럴캡 (AD용)</v>
          </cell>
          <cell r="D623" t="str">
            <v>D150 (동망포함)</v>
          </cell>
          <cell r="E623" t="str">
            <v>개</v>
          </cell>
          <cell r="F623">
            <v>88</v>
          </cell>
          <cell r="G623">
            <v>3981</v>
          </cell>
          <cell r="H623">
            <v>0</v>
          </cell>
          <cell r="I623">
            <v>0</v>
          </cell>
        </row>
        <row r="624">
          <cell r="A624" t="str">
            <v>A</v>
          </cell>
          <cell r="B624" t="str">
            <v>MMJ65233</v>
          </cell>
          <cell r="C624" t="str">
            <v>스파이럴캡 (AD용)</v>
          </cell>
          <cell r="D624" t="str">
            <v>D200 (동망포함)</v>
          </cell>
          <cell r="E624" t="str">
            <v>개</v>
          </cell>
          <cell r="F624">
            <v>64</v>
          </cell>
          <cell r="G624">
            <v>5168</v>
          </cell>
          <cell r="H624">
            <v>0</v>
          </cell>
          <cell r="I624">
            <v>0</v>
          </cell>
        </row>
        <row r="625">
          <cell r="A625" t="str">
            <v>A</v>
          </cell>
          <cell r="B625" t="str">
            <v>MMJ65322</v>
          </cell>
          <cell r="C625" t="str">
            <v>스파이럴티 (AD용)</v>
          </cell>
          <cell r="D625" t="str">
            <v>D125X100 (커프링포함)</v>
          </cell>
          <cell r="E625" t="str">
            <v>개</v>
          </cell>
          <cell r="F625">
            <v>90</v>
          </cell>
          <cell r="G625">
            <v>6495</v>
          </cell>
          <cell r="H625">
            <v>0</v>
          </cell>
          <cell r="I625">
            <v>0</v>
          </cell>
        </row>
        <row r="626">
          <cell r="A626" t="str">
            <v>A</v>
          </cell>
          <cell r="B626" t="str">
            <v>MMJ65323</v>
          </cell>
          <cell r="C626" t="str">
            <v>스파이럴티 (AD용)</v>
          </cell>
          <cell r="D626" t="str">
            <v>D150X100 (커프링포함)</v>
          </cell>
          <cell r="E626" t="str">
            <v>개</v>
          </cell>
          <cell r="F626">
            <v>1276</v>
          </cell>
          <cell r="G626">
            <v>6495</v>
          </cell>
          <cell r="H626">
            <v>0</v>
          </cell>
          <cell r="I626">
            <v>0</v>
          </cell>
        </row>
        <row r="627">
          <cell r="A627" t="str">
            <v>A</v>
          </cell>
          <cell r="B627" t="str">
            <v>MMJ65324</v>
          </cell>
          <cell r="C627" t="str">
            <v>스파이럴티 (AD용)</v>
          </cell>
          <cell r="D627" t="str">
            <v>D200X100 (커프링포함)</v>
          </cell>
          <cell r="E627" t="str">
            <v>개</v>
          </cell>
          <cell r="F627">
            <v>928</v>
          </cell>
          <cell r="G627">
            <v>6495</v>
          </cell>
          <cell r="H627">
            <v>0</v>
          </cell>
          <cell r="I627">
            <v>0</v>
          </cell>
        </row>
        <row r="628">
          <cell r="A628" t="str">
            <v>A</v>
          </cell>
          <cell r="B628" t="str">
            <v>MMJ65422</v>
          </cell>
          <cell r="C628" t="str">
            <v>AD용 드레인</v>
          </cell>
          <cell r="D628" t="str">
            <v>D125 MM</v>
          </cell>
          <cell r="E628" t="str">
            <v>개</v>
          </cell>
          <cell r="F628">
            <v>6</v>
          </cell>
          <cell r="G628">
            <v>3981</v>
          </cell>
          <cell r="H628">
            <v>0</v>
          </cell>
          <cell r="I628">
            <v>0</v>
          </cell>
        </row>
        <row r="629">
          <cell r="A629" t="str">
            <v>A</v>
          </cell>
          <cell r="B629" t="str">
            <v>MMJ65423</v>
          </cell>
          <cell r="C629" t="str">
            <v>AD용 드레인</v>
          </cell>
          <cell r="D629" t="str">
            <v>D150 MM</v>
          </cell>
          <cell r="E629" t="str">
            <v>개</v>
          </cell>
          <cell r="F629">
            <v>88</v>
          </cell>
          <cell r="G629">
            <v>3981</v>
          </cell>
          <cell r="H629">
            <v>0</v>
          </cell>
          <cell r="I629">
            <v>0</v>
          </cell>
        </row>
        <row r="630">
          <cell r="A630" t="str">
            <v>A</v>
          </cell>
          <cell r="B630" t="str">
            <v>MMJ65424</v>
          </cell>
          <cell r="C630" t="str">
            <v>AD용 드레인</v>
          </cell>
          <cell r="D630" t="str">
            <v>D200 MM</v>
          </cell>
          <cell r="E630" t="str">
            <v>개</v>
          </cell>
          <cell r="F630">
            <v>64</v>
          </cell>
          <cell r="G630">
            <v>3981</v>
          </cell>
          <cell r="H630">
            <v>0</v>
          </cell>
          <cell r="I630">
            <v>0</v>
          </cell>
        </row>
        <row r="631">
          <cell r="A631" t="str">
            <v>A</v>
          </cell>
          <cell r="B631" t="str">
            <v>MMJ65520</v>
          </cell>
          <cell r="C631" t="str">
            <v>AD용 U-BAND (앵글포함)</v>
          </cell>
          <cell r="D631" t="str">
            <v>D125 MM</v>
          </cell>
          <cell r="E631" t="str">
            <v>개</v>
          </cell>
          <cell r="F631">
            <v>96</v>
          </cell>
          <cell r="G631">
            <v>2444</v>
          </cell>
          <cell r="H631">
            <v>0</v>
          </cell>
          <cell r="I631">
            <v>0</v>
          </cell>
        </row>
        <row r="632">
          <cell r="A632" t="str">
            <v>A</v>
          </cell>
          <cell r="B632" t="str">
            <v>MMJ65522</v>
          </cell>
          <cell r="C632" t="str">
            <v>AD용 U-BAND (앵글포함)</v>
          </cell>
          <cell r="D632" t="str">
            <v>D200 MM</v>
          </cell>
          <cell r="E632" t="str">
            <v>개</v>
          </cell>
          <cell r="F632">
            <v>992</v>
          </cell>
          <cell r="G632">
            <v>2444</v>
          </cell>
          <cell r="H632">
            <v>0</v>
          </cell>
          <cell r="I632">
            <v>0</v>
          </cell>
        </row>
        <row r="633">
          <cell r="A633" t="str">
            <v>A</v>
          </cell>
          <cell r="B633" t="str">
            <v>MMJ65523</v>
          </cell>
          <cell r="C633" t="str">
            <v>AD용 U-BAND (앵글포함)</v>
          </cell>
          <cell r="D633" t="str">
            <v>D150 MM</v>
          </cell>
          <cell r="E633" t="str">
            <v>개</v>
          </cell>
          <cell r="F633">
            <v>1364</v>
          </cell>
          <cell r="G633">
            <v>2444</v>
          </cell>
          <cell r="H633">
            <v>0</v>
          </cell>
          <cell r="I633">
            <v>0</v>
          </cell>
        </row>
        <row r="634">
          <cell r="A634" t="str">
            <v>A</v>
          </cell>
          <cell r="B634" t="str">
            <v>MMJ65622</v>
          </cell>
          <cell r="C634" t="str">
            <v>AD용 V-BAND (실란트포함)</v>
          </cell>
          <cell r="D634" t="str">
            <v>D125 MM</v>
          </cell>
          <cell r="E634" t="str">
            <v>개</v>
          </cell>
          <cell r="F634">
            <v>192</v>
          </cell>
          <cell r="G634">
            <v>1397</v>
          </cell>
          <cell r="H634">
            <v>0</v>
          </cell>
          <cell r="I634">
            <v>0</v>
          </cell>
        </row>
        <row r="635">
          <cell r="A635" t="str">
            <v>A</v>
          </cell>
          <cell r="B635" t="str">
            <v>MMJ65623</v>
          </cell>
          <cell r="C635" t="str">
            <v>AD용 V-BAND (실란트포함)</v>
          </cell>
          <cell r="D635" t="str">
            <v>D150 MM</v>
          </cell>
          <cell r="E635" t="str">
            <v>개</v>
          </cell>
          <cell r="F635">
            <v>2728</v>
          </cell>
          <cell r="G635">
            <v>1397</v>
          </cell>
          <cell r="H635">
            <v>0</v>
          </cell>
          <cell r="I635">
            <v>0</v>
          </cell>
        </row>
        <row r="636">
          <cell r="A636" t="str">
            <v>A</v>
          </cell>
          <cell r="B636" t="str">
            <v>MMJ65624</v>
          </cell>
          <cell r="C636" t="str">
            <v>AD용 V-BAND (실란트포함)</v>
          </cell>
          <cell r="D636" t="str">
            <v>D200 MM</v>
          </cell>
          <cell r="E636" t="str">
            <v>개</v>
          </cell>
          <cell r="F636">
            <v>1984</v>
          </cell>
          <cell r="G636">
            <v>1397</v>
          </cell>
          <cell r="H636">
            <v>0</v>
          </cell>
          <cell r="I636">
            <v>0</v>
          </cell>
        </row>
        <row r="637">
          <cell r="A637" t="str">
            <v>A</v>
          </cell>
          <cell r="B637" t="str">
            <v>MMJ65722</v>
          </cell>
          <cell r="C637" t="str">
            <v>AD용 스리브</v>
          </cell>
          <cell r="D637" t="str">
            <v>D150 MM</v>
          </cell>
          <cell r="E637" t="str">
            <v>개</v>
          </cell>
          <cell r="F637">
            <v>96</v>
          </cell>
          <cell r="G637">
            <v>1536</v>
          </cell>
          <cell r="H637">
            <v>0</v>
          </cell>
          <cell r="I637">
            <v>0</v>
          </cell>
        </row>
        <row r="638">
          <cell r="A638" t="str">
            <v>A</v>
          </cell>
          <cell r="B638" t="str">
            <v>MMJ65723</v>
          </cell>
          <cell r="C638" t="str">
            <v>AD용 스리브</v>
          </cell>
          <cell r="D638" t="str">
            <v>D175 MM</v>
          </cell>
          <cell r="E638" t="str">
            <v>개</v>
          </cell>
          <cell r="F638">
            <v>1364</v>
          </cell>
          <cell r="G638">
            <v>1606</v>
          </cell>
          <cell r="H638">
            <v>0</v>
          </cell>
          <cell r="I638">
            <v>0</v>
          </cell>
        </row>
        <row r="639">
          <cell r="A639" t="str">
            <v>A</v>
          </cell>
          <cell r="B639" t="str">
            <v>MMJ65724</v>
          </cell>
          <cell r="C639" t="str">
            <v>AD용 스리브</v>
          </cell>
          <cell r="D639" t="str">
            <v>D225 MM</v>
          </cell>
          <cell r="E639" t="str">
            <v>개</v>
          </cell>
          <cell r="F639">
            <v>992</v>
          </cell>
          <cell r="G639">
            <v>1956</v>
          </cell>
          <cell r="H639">
            <v>0</v>
          </cell>
          <cell r="I639">
            <v>0</v>
          </cell>
        </row>
        <row r="640">
          <cell r="A640" t="str">
            <v>A</v>
          </cell>
          <cell r="B640" t="str">
            <v>MMO10110</v>
          </cell>
          <cell r="C640" t="str">
            <v>파이프 행가</v>
          </cell>
          <cell r="D640" t="str">
            <v>D32 MM</v>
          </cell>
          <cell r="E640" t="str">
            <v>개</v>
          </cell>
          <cell r="F640">
            <v>882</v>
          </cell>
          <cell r="G640">
            <v>190</v>
          </cell>
          <cell r="H640">
            <v>0</v>
          </cell>
          <cell r="I640">
            <v>0</v>
          </cell>
        </row>
        <row r="641">
          <cell r="A641" t="str">
            <v>A</v>
          </cell>
          <cell r="B641" t="str">
            <v>MMO10112</v>
          </cell>
          <cell r="C641" t="str">
            <v>파이프 행가</v>
          </cell>
          <cell r="D641" t="str">
            <v>D40 MM</v>
          </cell>
          <cell r="E641" t="str">
            <v>개</v>
          </cell>
          <cell r="F641">
            <v>408</v>
          </cell>
          <cell r="G641">
            <v>213</v>
          </cell>
          <cell r="H641">
            <v>0</v>
          </cell>
          <cell r="I641">
            <v>0</v>
          </cell>
        </row>
        <row r="642">
          <cell r="A642" t="str">
            <v>A</v>
          </cell>
          <cell r="B642" t="str">
            <v>MMO10113</v>
          </cell>
          <cell r="C642" t="str">
            <v>파이프 행가</v>
          </cell>
          <cell r="D642" t="str">
            <v>D50 MM</v>
          </cell>
          <cell r="E642" t="str">
            <v>개</v>
          </cell>
          <cell r="F642">
            <v>4219</v>
          </cell>
          <cell r="G642">
            <v>288</v>
          </cell>
          <cell r="H642">
            <v>0</v>
          </cell>
          <cell r="I642">
            <v>0</v>
          </cell>
        </row>
        <row r="643">
          <cell r="A643" t="str">
            <v>A</v>
          </cell>
          <cell r="B643" t="str">
            <v>MMO10117</v>
          </cell>
          <cell r="C643" t="str">
            <v>파이프 행가</v>
          </cell>
          <cell r="D643" t="str">
            <v>D80 MM</v>
          </cell>
          <cell r="E643" t="str">
            <v>개</v>
          </cell>
          <cell r="F643">
            <v>294</v>
          </cell>
          <cell r="G643">
            <v>432</v>
          </cell>
          <cell r="H643">
            <v>0</v>
          </cell>
          <cell r="I643">
            <v>0</v>
          </cell>
        </row>
        <row r="644">
          <cell r="A644" t="str">
            <v>A</v>
          </cell>
          <cell r="B644" t="str">
            <v>MMO10119</v>
          </cell>
          <cell r="C644" t="str">
            <v>파이프 행가</v>
          </cell>
          <cell r="D644" t="str">
            <v>D100 MM</v>
          </cell>
          <cell r="E644" t="str">
            <v>개</v>
          </cell>
          <cell r="F644">
            <v>2904</v>
          </cell>
          <cell r="G644">
            <v>576</v>
          </cell>
          <cell r="H644">
            <v>0</v>
          </cell>
          <cell r="I644">
            <v>0</v>
          </cell>
        </row>
        <row r="645">
          <cell r="A645" t="str">
            <v>A</v>
          </cell>
          <cell r="B645" t="str">
            <v>MMO10120</v>
          </cell>
          <cell r="C645" t="str">
            <v>파이프 행가</v>
          </cell>
          <cell r="D645" t="str">
            <v>D125 MM</v>
          </cell>
          <cell r="E645" t="str">
            <v>개</v>
          </cell>
          <cell r="F645">
            <v>306</v>
          </cell>
          <cell r="G645">
            <v>720</v>
          </cell>
          <cell r="H645">
            <v>0</v>
          </cell>
          <cell r="I645">
            <v>0</v>
          </cell>
        </row>
        <row r="646">
          <cell r="A646" t="str">
            <v>A</v>
          </cell>
          <cell r="B646" t="str">
            <v>MMO10121</v>
          </cell>
          <cell r="C646" t="str">
            <v>파이프 행가</v>
          </cell>
          <cell r="D646" t="str">
            <v>D150 MM</v>
          </cell>
          <cell r="E646" t="str">
            <v>개</v>
          </cell>
          <cell r="F646">
            <v>108</v>
          </cell>
          <cell r="G646">
            <v>1440</v>
          </cell>
          <cell r="H646">
            <v>0</v>
          </cell>
          <cell r="I646">
            <v>0</v>
          </cell>
        </row>
        <row r="647">
          <cell r="A647" t="str">
            <v>A</v>
          </cell>
          <cell r="B647" t="str">
            <v>MMO10122</v>
          </cell>
          <cell r="C647" t="str">
            <v>파이프 행가</v>
          </cell>
          <cell r="D647" t="str">
            <v>D200 MM</v>
          </cell>
          <cell r="E647" t="str">
            <v>개</v>
          </cell>
          <cell r="F647">
            <v>10</v>
          </cell>
          <cell r="G647">
            <v>1728</v>
          </cell>
          <cell r="H647">
            <v>0</v>
          </cell>
          <cell r="I647">
            <v>0</v>
          </cell>
        </row>
        <row r="648">
          <cell r="A648" t="str">
            <v>A</v>
          </cell>
          <cell r="B648" t="str">
            <v>MMO20113</v>
          </cell>
          <cell r="C648" t="str">
            <v>P형 밴드</v>
          </cell>
          <cell r="D648" t="str">
            <v>D50 MM</v>
          </cell>
          <cell r="E648" t="str">
            <v>개</v>
          </cell>
          <cell r="F648">
            <v>566</v>
          </cell>
          <cell r="G648">
            <v>553</v>
          </cell>
          <cell r="H648">
            <v>0</v>
          </cell>
          <cell r="I648">
            <v>0</v>
          </cell>
        </row>
        <row r="649">
          <cell r="A649" t="str">
            <v>A</v>
          </cell>
          <cell r="B649" t="str">
            <v>MMO20117</v>
          </cell>
          <cell r="C649" t="str">
            <v>P형 밴드</v>
          </cell>
          <cell r="D649" t="str">
            <v>D80 MM</v>
          </cell>
          <cell r="E649" t="str">
            <v>개</v>
          </cell>
          <cell r="F649">
            <v>960</v>
          </cell>
          <cell r="G649">
            <v>818</v>
          </cell>
          <cell r="H649">
            <v>0</v>
          </cell>
          <cell r="I649">
            <v>0</v>
          </cell>
        </row>
        <row r="650">
          <cell r="A650" t="str">
            <v>A</v>
          </cell>
          <cell r="B650" t="str">
            <v>MMO31311</v>
          </cell>
          <cell r="C650" t="str">
            <v>스리브(PVC제)</v>
          </cell>
          <cell r="D650" t="str">
            <v>D35 X 120H</v>
          </cell>
          <cell r="E650" t="str">
            <v>개</v>
          </cell>
          <cell r="F650">
            <v>354</v>
          </cell>
          <cell r="G650">
            <v>432</v>
          </cell>
          <cell r="H650">
            <v>0</v>
          </cell>
          <cell r="I650">
            <v>0</v>
          </cell>
        </row>
        <row r="651">
          <cell r="A651" t="str">
            <v>A</v>
          </cell>
          <cell r="B651" t="str">
            <v>MMO31312</v>
          </cell>
          <cell r="C651" t="str">
            <v>스리브(PVC제)</v>
          </cell>
          <cell r="D651" t="str">
            <v>D40 X 120H</v>
          </cell>
          <cell r="E651" t="str">
            <v>개</v>
          </cell>
          <cell r="F651">
            <v>438</v>
          </cell>
          <cell r="G651">
            <v>432</v>
          </cell>
          <cell r="H651">
            <v>0</v>
          </cell>
          <cell r="I651">
            <v>0</v>
          </cell>
        </row>
        <row r="652">
          <cell r="A652" t="str">
            <v>A</v>
          </cell>
          <cell r="B652" t="str">
            <v>MMO31313</v>
          </cell>
          <cell r="C652" t="str">
            <v>스리브(PVC제)</v>
          </cell>
          <cell r="D652" t="str">
            <v>D50 X 120H</v>
          </cell>
          <cell r="E652" t="str">
            <v>개</v>
          </cell>
          <cell r="F652">
            <v>67</v>
          </cell>
          <cell r="G652">
            <v>504</v>
          </cell>
          <cell r="H652">
            <v>0</v>
          </cell>
          <cell r="I652">
            <v>0</v>
          </cell>
        </row>
        <row r="653">
          <cell r="A653" t="str">
            <v>A</v>
          </cell>
          <cell r="B653" t="str">
            <v>MMO31319</v>
          </cell>
          <cell r="C653" t="str">
            <v>스리브(PVC제)</v>
          </cell>
          <cell r="D653" t="str">
            <v>D100X 120H</v>
          </cell>
          <cell r="E653" t="str">
            <v>개</v>
          </cell>
          <cell r="F653">
            <v>888</v>
          </cell>
          <cell r="G653">
            <v>828</v>
          </cell>
          <cell r="H653">
            <v>0</v>
          </cell>
          <cell r="I653">
            <v>0</v>
          </cell>
        </row>
        <row r="654">
          <cell r="A654" t="str">
            <v>A</v>
          </cell>
          <cell r="B654" t="str">
            <v>MMO31321</v>
          </cell>
          <cell r="C654" t="str">
            <v>스리브(PVC제)</v>
          </cell>
          <cell r="D654" t="str">
            <v>D35 X 220H</v>
          </cell>
          <cell r="E654" t="str">
            <v>개</v>
          </cell>
          <cell r="F654">
            <v>528</v>
          </cell>
          <cell r="G654">
            <v>576</v>
          </cell>
          <cell r="H654">
            <v>0</v>
          </cell>
          <cell r="I654">
            <v>0</v>
          </cell>
        </row>
        <row r="655">
          <cell r="A655" t="str">
            <v>A</v>
          </cell>
          <cell r="B655" t="str">
            <v>MMO31716</v>
          </cell>
          <cell r="C655" t="str">
            <v>노출입상관 성형스리브</v>
          </cell>
          <cell r="D655" t="str">
            <v>D75 X 220H</v>
          </cell>
          <cell r="E655" t="str">
            <v>개</v>
          </cell>
          <cell r="F655">
            <v>30</v>
          </cell>
          <cell r="G655">
            <v>792</v>
          </cell>
          <cell r="H655">
            <v>0</v>
          </cell>
          <cell r="I655">
            <v>0</v>
          </cell>
        </row>
        <row r="656">
          <cell r="A656" t="str">
            <v>A</v>
          </cell>
          <cell r="B656" t="str">
            <v>MMO31718</v>
          </cell>
          <cell r="C656" t="str">
            <v>노출입상관 성형스리브</v>
          </cell>
          <cell r="D656" t="str">
            <v>D100 X 220H</v>
          </cell>
          <cell r="E656" t="str">
            <v>개</v>
          </cell>
          <cell r="F656">
            <v>192</v>
          </cell>
          <cell r="G656">
            <v>1044</v>
          </cell>
          <cell r="H656">
            <v>0</v>
          </cell>
          <cell r="I656">
            <v>0</v>
          </cell>
        </row>
        <row r="657">
          <cell r="A657" t="str">
            <v>A</v>
          </cell>
          <cell r="B657" t="str">
            <v>MMO31815</v>
          </cell>
          <cell r="C657" t="str">
            <v>PD입상관 성형스리브</v>
          </cell>
          <cell r="D657" t="str">
            <v>D65 X 135H</v>
          </cell>
          <cell r="E657" t="str">
            <v>개</v>
          </cell>
          <cell r="F657">
            <v>192</v>
          </cell>
          <cell r="G657">
            <v>540</v>
          </cell>
          <cell r="H657">
            <v>0</v>
          </cell>
          <cell r="I657">
            <v>0</v>
          </cell>
        </row>
        <row r="658">
          <cell r="A658" t="str">
            <v>A</v>
          </cell>
          <cell r="B658" t="str">
            <v>MMO31818</v>
          </cell>
          <cell r="C658" t="str">
            <v>PD입상관 성형스리브</v>
          </cell>
          <cell r="D658" t="str">
            <v>D100 X 135H</v>
          </cell>
          <cell r="E658" t="str">
            <v>개</v>
          </cell>
          <cell r="F658">
            <v>654</v>
          </cell>
          <cell r="G658">
            <v>720</v>
          </cell>
          <cell r="H658">
            <v>0</v>
          </cell>
          <cell r="I658">
            <v>0</v>
          </cell>
        </row>
        <row r="659">
          <cell r="A659" t="str">
            <v>A</v>
          </cell>
          <cell r="B659" t="str">
            <v>MMO31820</v>
          </cell>
          <cell r="C659" t="str">
            <v>PD입상관 성형스리브</v>
          </cell>
          <cell r="D659" t="str">
            <v>D125 X 135H</v>
          </cell>
          <cell r="E659" t="str">
            <v>개</v>
          </cell>
          <cell r="F659">
            <v>884</v>
          </cell>
          <cell r="G659">
            <v>864</v>
          </cell>
          <cell r="H659">
            <v>0</v>
          </cell>
          <cell r="I659">
            <v>0</v>
          </cell>
        </row>
        <row r="660">
          <cell r="A660" t="str">
            <v>A</v>
          </cell>
          <cell r="B660" t="str">
            <v>MMO31821</v>
          </cell>
          <cell r="C660" t="str">
            <v>PD입상관 성형스리브</v>
          </cell>
          <cell r="D660" t="str">
            <v>D150 X 135H</v>
          </cell>
          <cell r="E660" t="str">
            <v>개</v>
          </cell>
          <cell r="F660">
            <v>2280</v>
          </cell>
          <cell r="G660">
            <v>1008</v>
          </cell>
          <cell r="H660">
            <v>0</v>
          </cell>
          <cell r="I660">
            <v>0</v>
          </cell>
        </row>
        <row r="661">
          <cell r="A661" t="str">
            <v>A</v>
          </cell>
          <cell r="B661" t="str">
            <v>MMO42905</v>
          </cell>
          <cell r="C661" t="str">
            <v>욕조자바라팩킹</v>
          </cell>
          <cell r="D661" t="str">
            <v>D40</v>
          </cell>
          <cell r="E661" t="str">
            <v>개</v>
          </cell>
          <cell r="F661">
            <v>436</v>
          </cell>
          <cell r="G661">
            <v>216</v>
          </cell>
          <cell r="H661">
            <v>0</v>
          </cell>
          <cell r="I661">
            <v>0</v>
          </cell>
        </row>
        <row r="662">
          <cell r="A662" t="str">
            <v>A</v>
          </cell>
          <cell r="B662" t="str">
            <v>SMS11558</v>
          </cell>
          <cell r="C662" t="str">
            <v>주철90도 곡관(커프링)</v>
          </cell>
          <cell r="D662" t="str">
            <v>D100</v>
          </cell>
          <cell r="E662" t="str">
            <v>개</v>
          </cell>
          <cell r="F662">
            <v>57</v>
          </cell>
          <cell r="G662">
            <v>5171</v>
          </cell>
          <cell r="H662">
            <v>0</v>
          </cell>
          <cell r="I662">
            <v>0</v>
          </cell>
        </row>
        <row r="663">
          <cell r="A663" t="str">
            <v>A</v>
          </cell>
          <cell r="B663" t="str">
            <v>SMS11559</v>
          </cell>
          <cell r="C663" t="str">
            <v>주철90도 곡관(커프링)</v>
          </cell>
          <cell r="D663" t="str">
            <v>D 75</v>
          </cell>
          <cell r="E663" t="str">
            <v>개</v>
          </cell>
          <cell r="F663">
            <v>59</v>
          </cell>
          <cell r="G663">
            <v>3856</v>
          </cell>
          <cell r="H663">
            <v>0</v>
          </cell>
          <cell r="I663">
            <v>0</v>
          </cell>
        </row>
        <row r="664">
          <cell r="A664" t="str">
            <v>A</v>
          </cell>
          <cell r="B664" t="str">
            <v>SMS11561</v>
          </cell>
          <cell r="C664" t="str">
            <v>주철45도 곡관(커프링)</v>
          </cell>
          <cell r="D664" t="str">
            <v>D200</v>
          </cell>
          <cell r="E664" t="str">
            <v>개</v>
          </cell>
          <cell r="F664">
            <v>6</v>
          </cell>
          <cell r="G664">
            <v>11096</v>
          </cell>
          <cell r="H664">
            <v>0</v>
          </cell>
          <cell r="I664">
            <v>0</v>
          </cell>
        </row>
        <row r="665">
          <cell r="A665" t="str">
            <v>A</v>
          </cell>
          <cell r="B665" t="str">
            <v>SMS11562</v>
          </cell>
          <cell r="C665" t="str">
            <v>주철45도 곡관(커프링)</v>
          </cell>
          <cell r="D665" t="str">
            <v>D150</v>
          </cell>
          <cell r="E665" t="str">
            <v>개</v>
          </cell>
          <cell r="F665">
            <v>66</v>
          </cell>
          <cell r="G665">
            <v>6683</v>
          </cell>
          <cell r="H665">
            <v>0</v>
          </cell>
          <cell r="I665">
            <v>0</v>
          </cell>
        </row>
        <row r="666">
          <cell r="A666" t="str">
            <v>A</v>
          </cell>
          <cell r="B666" t="str">
            <v>SMS11563</v>
          </cell>
          <cell r="C666" t="str">
            <v>주철45도 곡관(커프링)</v>
          </cell>
          <cell r="D666" t="str">
            <v>D125</v>
          </cell>
          <cell r="E666" t="str">
            <v>개</v>
          </cell>
          <cell r="F666">
            <v>100</v>
          </cell>
          <cell r="G666">
            <v>5569</v>
          </cell>
          <cell r="H666">
            <v>0</v>
          </cell>
          <cell r="I666">
            <v>0</v>
          </cell>
        </row>
        <row r="667">
          <cell r="A667" t="str">
            <v>A</v>
          </cell>
          <cell r="B667" t="str">
            <v>SMS11564</v>
          </cell>
          <cell r="C667" t="str">
            <v>주철45도 곡관(커프링)</v>
          </cell>
          <cell r="D667" t="str">
            <v>D100</v>
          </cell>
          <cell r="E667" t="str">
            <v>개</v>
          </cell>
          <cell r="F667">
            <v>457</v>
          </cell>
          <cell r="G667">
            <v>3618</v>
          </cell>
          <cell r="H667">
            <v>0</v>
          </cell>
          <cell r="I667">
            <v>0</v>
          </cell>
        </row>
        <row r="668">
          <cell r="A668" t="str">
            <v>A</v>
          </cell>
          <cell r="B668" t="str">
            <v>SMS11565</v>
          </cell>
          <cell r="C668" t="str">
            <v>주철45도 곡관(커프링)</v>
          </cell>
          <cell r="D668" t="str">
            <v>D 75</v>
          </cell>
          <cell r="E668" t="str">
            <v>개</v>
          </cell>
          <cell r="F668">
            <v>89</v>
          </cell>
          <cell r="G668">
            <v>2466</v>
          </cell>
          <cell r="H668">
            <v>0</v>
          </cell>
          <cell r="I668">
            <v>0</v>
          </cell>
        </row>
        <row r="669">
          <cell r="A669" t="str">
            <v>A</v>
          </cell>
          <cell r="B669" t="str">
            <v>SMS11567</v>
          </cell>
          <cell r="C669" t="str">
            <v>주철소제구(커프링)</v>
          </cell>
          <cell r="D669" t="str">
            <v>D200</v>
          </cell>
          <cell r="E669" t="str">
            <v>개</v>
          </cell>
          <cell r="F669">
            <v>4</v>
          </cell>
          <cell r="G669">
            <v>20583</v>
          </cell>
          <cell r="H669">
            <v>0</v>
          </cell>
          <cell r="I669">
            <v>0</v>
          </cell>
        </row>
        <row r="670">
          <cell r="A670" t="str">
            <v>A</v>
          </cell>
          <cell r="B670" t="str">
            <v>SMS11568</v>
          </cell>
          <cell r="C670" t="str">
            <v>주철소제구(커프링)</v>
          </cell>
          <cell r="D670" t="str">
            <v>D150</v>
          </cell>
          <cell r="E670" t="str">
            <v>개</v>
          </cell>
          <cell r="F670">
            <v>40</v>
          </cell>
          <cell r="G670">
            <v>6084</v>
          </cell>
          <cell r="H670">
            <v>0</v>
          </cell>
          <cell r="I670">
            <v>0</v>
          </cell>
        </row>
        <row r="671">
          <cell r="A671" t="str">
            <v>A</v>
          </cell>
          <cell r="B671" t="str">
            <v>SMS11569</v>
          </cell>
          <cell r="C671" t="str">
            <v>주철소제구(커프링)</v>
          </cell>
          <cell r="D671" t="str">
            <v>D125</v>
          </cell>
          <cell r="E671" t="str">
            <v>개</v>
          </cell>
          <cell r="F671">
            <v>59</v>
          </cell>
          <cell r="G671">
            <v>3936</v>
          </cell>
          <cell r="H671">
            <v>0</v>
          </cell>
          <cell r="I671">
            <v>0</v>
          </cell>
        </row>
        <row r="672">
          <cell r="A672" t="str">
            <v>A</v>
          </cell>
          <cell r="B672" t="str">
            <v>SMS11570</v>
          </cell>
          <cell r="C672" t="str">
            <v>주철소제구(커프링)</v>
          </cell>
          <cell r="D672" t="str">
            <v>D100</v>
          </cell>
          <cell r="E672" t="str">
            <v>개</v>
          </cell>
          <cell r="F672">
            <v>358</v>
          </cell>
          <cell r="G672">
            <v>2424</v>
          </cell>
          <cell r="H672">
            <v>0</v>
          </cell>
          <cell r="I672">
            <v>0</v>
          </cell>
        </row>
        <row r="673">
          <cell r="A673" t="str">
            <v>A</v>
          </cell>
          <cell r="B673" t="str">
            <v>SMS11571</v>
          </cell>
          <cell r="C673" t="str">
            <v>주철소제구(커프링)</v>
          </cell>
          <cell r="D673" t="str">
            <v>D 75</v>
          </cell>
          <cell r="E673" t="str">
            <v>개</v>
          </cell>
          <cell r="F673">
            <v>47</v>
          </cell>
          <cell r="G673">
            <v>2106</v>
          </cell>
          <cell r="H673">
            <v>0</v>
          </cell>
          <cell r="I673">
            <v>0</v>
          </cell>
        </row>
        <row r="674">
          <cell r="A674" t="str">
            <v>A</v>
          </cell>
          <cell r="B674" t="str">
            <v>SMS11579</v>
          </cell>
          <cell r="C674" t="str">
            <v>주철 Y관(커프링)</v>
          </cell>
          <cell r="D674" t="str">
            <v>D200X200</v>
          </cell>
          <cell r="E674" t="str">
            <v>개</v>
          </cell>
          <cell r="F674">
            <v>2</v>
          </cell>
          <cell r="G674">
            <v>24107</v>
          </cell>
          <cell r="H674">
            <v>0</v>
          </cell>
          <cell r="I674">
            <v>0</v>
          </cell>
        </row>
        <row r="675">
          <cell r="A675" t="str">
            <v>A</v>
          </cell>
          <cell r="B675" t="str">
            <v>SMS11581</v>
          </cell>
          <cell r="C675" t="str">
            <v>주철 Y관(커프링)</v>
          </cell>
          <cell r="D675" t="str">
            <v>D200X125</v>
          </cell>
          <cell r="E675" t="str">
            <v>개</v>
          </cell>
          <cell r="F675">
            <v>2</v>
          </cell>
          <cell r="G675">
            <v>18252</v>
          </cell>
          <cell r="H675">
            <v>0</v>
          </cell>
          <cell r="I675">
            <v>0</v>
          </cell>
        </row>
        <row r="676">
          <cell r="A676" t="str">
            <v>A</v>
          </cell>
          <cell r="B676" t="str">
            <v>SMS11583</v>
          </cell>
          <cell r="C676" t="str">
            <v>주철 Y관(커프링)</v>
          </cell>
          <cell r="D676" t="str">
            <v>D150X150</v>
          </cell>
          <cell r="E676" t="str">
            <v>개</v>
          </cell>
          <cell r="F676">
            <v>26</v>
          </cell>
          <cell r="G676">
            <v>13881</v>
          </cell>
          <cell r="H676">
            <v>0</v>
          </cell>
          <cell r="I676">
            <v>0</v>
          </cell>
        </row>
        <row r="677">
          <cell r="A677" t="str">
            <v>A</v>
          </cell>
          <cell r="B677" t="str">
            <v>SMS11584</v>
          </cell>
          <cell r="C677" t="str">
            <v>주철 Y관(커프링)</v>
          </cell>
          <cell r="D677" t="str">
            <v>D150X125</v>
          </cell>
          <cell r="E677" t="str">
            <v>개</v>
          </cell>
          <cell r="F677">
            <v>2</v>
          </cell>
          <cell r="G677">
            <v>12093</v>
          </cell>
          <cell r="H677">
            <v>0</v>
          </cell>
          <cell r="I677">
            <v>0</v>
          </cell>
        </row>
        <row r="678">
          <cell r="A678" t="str">
            <v>A</v>
          </cell>
          <cell r="B678" t="str">
            <v>SMS11585</v>
          </cell>
          <cell r="C678" t="str">
            <v>주철 Y관(커프링)</v>
          </cell>
          <cell r="D678" t="str">
            <v>D150X100</v>
          </cell>
          <cell r="E678" t="str">
            <v>개</v>
          </cell>
          <cell r="F678">
            <v>24</v>
          </cell>
          <cell r="G678">
            <v>10979</v>
          </cell>
          <cell r="H678">
            <v>0</v>
          </cell>
          <cell r="I678">
            <v>0</v>
          </cell>
        </row>
        <row r="679">
          <cell r="A679" t="str">
            <v>A</v>
          </cell>
          <cell r="B679" t="str">
            <v>SMS11588</v>
          </cell>
          <cell r="C679" t="str">
            <v>주철 Y관(커프링)</v>
          </cell>
          <cell r="D679" t="str">
            <v>D125X125</v>
          </cell>
          <cell r="E679" t="str">
            <v>개</v>
          </cell>
          <cell r="F679">
            <v>37</v>
          </cell>
          <cell r="G679">
            <v>11092</v>
          </cell>
          <cell r="H679">
            <v>0</v>
          </cell>
          <cell r="I679">
            <v>0</v>
          </cell>
        </row>
        <row r="680">
          <cell r="A680" t="str">
            <v>A</v>
          </cell>
          <cell r="B680" t="str">
            <v>SMS11589</v>
          </cell>
          <cell r="C680" t="str">
            <v>주철 Y관(커프링)</v>
          </cell>
          <cell r="D680" t="str">
            <v>D125X100</v>
          </cell>
          <cell r="E680" t="str">
            <v>개</v>
          </cell>
          <cell r="F680">
            <v>64</v>
          </cell>
          <cell r="G680">
            <v>9229</v>
          </cell>
          <cell r="H680">
            <v>0</v>
          </cell>
          <cell r="I680">
            <v>0</v>
          </cell>
        </row>
        <row r="681">
          <cell r="A681" t="str">
            <v>A</v>
          </cell>
          <cell r="B681" t="str">
            <v>SMS11590</v>
          </cell>
          <cell r="C681" t="str">
            <v>주철 Y관(커프링)</v>
          </cell>
          <cell r="D681" t="str">
            <v>D125X75</v>
          </cell>
          <cell r="E681" t="str">
            <v>개</v>
          </cell>
          <cell r="F681">
            <v>2</v>
          </cell>
          <cell r="G681">
            <v>8592</v>
          </cell>
          <cell r="H681">
            <v>0</v>
          </cell>
          <cell r="I681">
            <v>0</v>
          </cell>
        </row>
        <row r="682">
          <cell r="A682" t="str">
            <v>A</v>
          </cell>
          <cell r="B682" t="str">
            <v>SMS11591</v>
          </cell>
          <cell r="C682" t="str">
            <v>주철 Y관(커프링)</v>
          </cell>
          <cell r="D682" t="str">
            <v>D125X50</v>
          </cell>
          <cell r="E682" t="str">
            <v>개</v>
          </cell>
          <cell r="F682">
            <v>16</v>
          </cell>
          <cell r="G682">
            <v>6683</v>
          </cell>
          <cell r="H682">
            <v>0</v>
          </cell>
          <cell r="I682">
            <v>0</v>
          </cell>
        </row>
        <row r="683">
          <cell r="A683" t="str">
            <v>A</v>
          </cell>
          <cell r="B683" t="str">
            <v>SMS11592</v>
          </cell>
          <cell r="C683" t="str">
            <v>주철 Y관(커프링)</v>
          </cell>
          <cell r="D683" t="str">
            <v>D100X100</v>
          </cell>
          <cell r="E683" t="str">
            <v>개</v>
          </cell>
          <cell r="F683">
            <v>103</v>
          </cell>
          <cell r="G683">
            <v>7240</v>
          </cell>
          <cell r="H683">
            <v>0</v>
          </cell>
          <cell r="I683">
            <v>0</v>
          </cell>
        </row>
        <row r="684">
          <cell r="A684" t="str">
            <v>A</v>
          </cell>
          <cell r="B684" t="str">
            <v>SMS11593</v>
          </cell>
          <cell r="C684" t="str">
            <v>주철 Y관(커프링)</v>
          </cell>
          <cell r="D684" t="str">
            <v>D100X75</v>
          </cell>
          <cell r="E684" t="str">
            <v>개</v>
          </cell>
          <cell r="F684">
            <v>65</v>
          </cell>
          <cell r="G684">
            <v>6084</v>
          </cell>
          <cell r="H684">
            <v>0</v>
          </cell>
          <cell r="I684">
            <v>0</v>
          </cell>
        </row>
        <row r="685">
          <cell r="A685" t="str">
            <v>A</v>
          </cell>
          <cell r="B685" t="str">
            <v>SMS11594</v>
          </cell>
          <cell r="C685" t="str">
            <v>주철 Y관(커프링)</v>
          </cell>
          <cell r="D685" t="str">
            <v>D100X50</v>
          </cell>
          <cell r="E685" t="str">
            <v>개</v>
          </cell>
          <cell r="F685">
            <v>56</v>
          </cell>
          <cell r="G685">
            <v>5490</v>
          </cell>
          <cell r="H685">
            <v>0</v>
          </cell>
          <cell r="I685">
            <v>0</v>
          </cell>
        </row>
        <row r="686">
          <cell r="A686" t="str">
            <v>A</v>
          </cell>
          <cell r="B686" t="str">
            <v>SMS11595</v>
          </cell>
          <cell r="C686" t="str">
            <v>주철 Y관(커프링)</v>
          </cell>
          <cell r="D686" t="str">
            <v>D75X75</v>
          </cell>
          <cell r="E686" t="str">
            <v>개</v>
          </cell>
          <cell r="F686">
            <v>38</v>
          </cell>
          <cell r="G686">
            <v>5251</v>
          </cell>
          <cell r="H686">
            <v>0</v>
          </cell>
          <cell r="I686">
            <v>0</v>
          </cell>
        </row>
        <row r="687">
          <cell r="A687" t="str">
            <v>A</v>
          </cell>
          <cell r="B687" t="str">
            <v>SMS11599</v>
          </cell>
          <cell r="C687" t="str">
            <v>주철 90도Y관(커프링)</v>
          </cell>
          <cell r="D687" t="str">
            <v>D200X150</v>
          </cell>
          <cell r="E687" t="str">
            <v>개</v>
          </cell>
          <cell r="F687">
            <v>2</v>
          </cell>
          <cell r="G687">
            <v>21322</v>
          </cell>
          <cell r="H687">
            <v>0</v>
          </cell>
          <cell r="I687">
            <v>0</v>
          </cell>
        </row>
        <row r="688">
          <cell r="A688" t="str">
            <v>A</v>
          </cell>
          <cell r="B688" t="str">
            <v>SMS11601</v>
          </cell>
          <cell r="C688" t="str">
            <v>주철 90도Y관(커프링)</v>
          </cell>
          <cell r="D688" t="str">
            <v>D200X100</v>
          </cell>
          <cell r="E688" t="str">
            <v>개</v>
          </cell>
          <cell r="F688">
            <v>4</v>
          </cell>
          <cell r="G688">
            <v>17026</v>
          </cell>
          <cell r="H688">
            <v>0</v>
          </cell>
          <cell r="I688">
            <v>0</v>
          </cell>
        </row>
        <row r="689">
          <cell r="A689" t="str">
            <v>A</v>
          </cell>
          <cell r="B689" t="str">
            <v>SMS11603</v>
          </cell>
          <cell r="C689" t="str">
            <v>주철 90도Y관(커프링)</v>
          </cell>
          <cell r="D689" t="str">
            <v>D150X125</v>
          </cell>
          <cell r="E689" t="str">
            <v>개</v>
          </cell>
          <cell r="F689">
            <v>14</v>
          </cell>
          <cell r="G689">
            <v>13525</v>
          </cell>
          <cell r="H689">
            <v>0</v>
          </cell>
          <cell r="I689">
            <v>0</v>
          </cell>
        </row>
        <row r="690">
          <cell r="A690" t="str">
            <v>A</v>
          </cell>
          <cell r="B690" t="str">
            <v>SMS11604</v>
          </cell>
          <cell r="C690" t="str">
            <v>주철 90도Y관(커프링)</v>
          </cell>
          <cell r="D690" t="str">
            <v>D150X100</v>
          </cell>
          <cell r="E690" t="str">
            <v>개</v>
          </cell>
          <cell r="F690">
            <v>14</v>
          </cell>
          <cell r="G690">
            <v>12168</v>
          </cell>
          <cell r="H690">
            <v>0</v>
          </cell>
          <cell r="I690">
            <v>0</v>
          </cell>
        </row>
        <row r="691">
          <cell r="A691" t="str">
            <v>A</v>
          </cell>
          <cell r="B691" t="str">
            <v>SMS11605</v>
          </cell>
          <cell r="C691" t="str">
            <v>주철 90도Y관(커프링)</v>
          </cell>
          <cell r="D691" t="str">
            <v>D150X75</v>
          </cell>
          <cell r="E691" t="str">
            <v>개</v>
          </cell>
          <cell r="F691">
            <v>32</v>
          </cell>
          <cell r="G691">
            <v>9781</v>
          </cell>
          <cell r="H691">
            <v>0</v>
          </cell>
          <cell r="I691">
            <v>0</v>
          </cell>
        </row>
        <row r="692">
          <cell r="A692" t="str">
            <v>A</v>
          </cell>
          <cell r="B692" t="str">
            <v>SMS11607</v>
          </cell>
          <cell r="C692" t="str">
            <v>주철 90도Y관(커프링)</v>
          </cell>
          <cell r="D692" t="str">
            <v>D125X125</v>
          </cell>
          <cell r="E692" t="str">
            <v>개</v>
          </cell>
          <cell r="F692">
            <v>8</v>
          </cell>
          <cell r="G692">
            <v>11372</v>
          </cell>
          <cell r="H692">
            <v>0</v>
          </cell>
          <cell r="I692">
            <v>0</v>
          </cell>
        </row>
        <row r="693">
          <cell r="A693" t="str">
            <v>A</v>
          </cell>
          <cell r="B693" t="str">
            <v>SMS11608</v>
          </cell>
          <cell r="C693" t="str">
            <v>주철 90도Y관(커프링)</v>
          </cell>
          <cell r="D693" t="str">
            <v>D125X100</v>
          </cell>
          <cell r="E693" t="str">
            <v>개</v>
          </cell>
          <cell r="F693">
            <v>91</v>
          </cell>
          <cell r="G693">
            <v>9706</v>
          </cell>
          <cell r="H693">
            <v>0</v>
          </cell>
          <cell r="I693">
            <v>0</v>
          </cell>
        </row>
        <row r="694">
          <cell r="A694" t="str">
            <v>A</v>
          </cell>
          <cell r="B694" t="str">
            <v>SMS11609</v>
          </cell>
          <cell r="C694" t="str">
            <v>주철 90도Y관(커프링)</v>
          </cell>
          <cell r="D694" t="str">
            <v>D125X75</v>
          </cell>
          <cell r="E694" t="str">
            <v>개</v>
          </cell>
          <cell r="F694">
            <v>29</v>
          </cell>
          <cell r="G694">
            <v>9028</v>
          </cell>
          <cell r="H694">
            <v>0</v>
          </cell>
          <cell r="I694">
            <v>0</v>
          </cell>
        </row>
        <row r="695">
          <cell r="A695" t="str">
            <v>A</v>
          </cell>
          <cell r="B695" t="str">
            <v>SMS11610</v>
          </cell>
          <cell r="C695" t="str">
            <v>주철 90도Y관(커프링)</v>
          </cell>
          <cell r="D695" t="str">
            <v>D125X50</v>
          </cell>
          <cell r="E695" t="str">
            <v>개</v>
          </cell>
          <cell r="F695">
            <v>61</v>
          </cell>
          <cell r="G695">
            <v>8115</v>
          </cell>
          <cell r="H695">
            <v>0</v>
          </cell>
          <cell r="I695">
            <v>0</v>
          </cell>
        </row>
        <row r="696">
          <cell r="A696" t="str">
            <v>A</v>
          </cell>
          <cell r="B696" t="str">
            <v>SMS11611</v>
          </cell>
          <cell r="C696" t="str">
            <v>주철 90도Y관(커프링)</v>
          </cell>
          <cell r="D696" t="str">
            <v>D100X100</v>
          </cell>
          <cell r="E696" t="str">
            <v>개</v>
          </cell>
          <cell r="F696">
            <v>256</v>
          </cell>
          <cell r="G696">
            <v>6595</v>
          </cell>
          <cell r="H696">
            <v>0</v>
          </cell>
          <cell r="I696">
            <v>0</v>
          </cell>
        </row>
        <row r="697">
          <cell r="A697" t="str">
            <v>A</v>
          </cell>
          <cell r="B697" t="str">
            <v>SMS11612</v>
          </cell>
          <cell r="C697" t="str">
            <v>주철 90도Y관(커프링)</v>
          </cell>
          <cell r="D697" t="str">
            <v>D100X75</v>
          </cell>
          <cell r="E697" t="str">
            <v>개</v>
          </cell>
          <cell r="F697">
            <v>56</v>
          </cell>
          <cell r="G697">
            <v>7320</v>
          </cell>
          <cell r="H697">
            <v>0</v>
          </cell>
          <cell r="I697">
            <v>0</v>
          </cell>
        </row>
        <row r="698">
          <cell r="A698" t="str">
            <v>A</v>
          </cell>
          <cell r="B698" t="str">
            <v>SMS11613</v>
          </cell>
          <cell r="C698" t="str">
            <v>주철 90도Y관(커프링)</v>
          </cell>
          <cell r="D698" t="str">
            <v>D100X50</v>
          </cell>
          <cell r="E698" t="str">
            <v>개</v>
          </cell>
          <cell r="F698">
            <v>101</v>
          </cell>
          <cell r="G698">
            <v>5803</v>
          </cell>
          <cell r="H698">
            <v>0</v>
          </cell>
          <cell r="I698">
            <v>0</v>
          </cell>
        </row>
        <row r="699">
          <cell r="A699" t="str">
            <v>A</v>
          </cell>
          <cell r="B699" t="str">
            <v>SMS11614</v>
          </cell>
          <cell r="C699" t="str">
            <v>주철 90도Y관(커프링)</v>
          </cell>
          <cell r="D699" t="str">
            <v>D75X75</v>
          </cell>
          <cell r="E699" t="str">
            <v>개</v>
          </cell>
          <cell r="F699">
            <v>9</v>
          </cell>
          <cell r="G699">
            <v>5803</v>
          </cell>
          <cell r="H699">
            <v>0</v>
          </cell>
          <cell r="I699">
            <v>0</v>
          </cell>
        </row>
        <row r="700">
          <cell r="A700" t="str">
            <v>A</v>
          </cell>
          <cell r="B700" t="str">
            <v>SMS11620</v>
          </cell>
          <cell r="C700" t="str">
            <v>주철 확대관(커프링)</v>
          </cell>
          <cell r="D700" t="str">
            <v>D150X125</v>
          </cell>
          <cell r="E700" t="str">
            <v>개</v>
          </cell>
          <cell r="F700">
            <v>8</v>
          </cell>
          <cell r="G700">
            <v>4652</v>
          </cell>
          <cell r="H700">
            <v>0</v>
          </cell>
          <cell r="I700">
            <v>0</v>
          </cell>
        </row>
        <row r="701">
          <cell r="A701" t="str">
            <v>A</v>
          </cell>
          <cell r="B701" t="str">
            <v>SMS11624</v>
          </cell>
          <cell r="C701" t="str">
            <v>주철 확대관(커프링)</v>
          </cell>
          <cell r="D701" t="str">
            <v>D125X100</v>
          </cell>
          <cell r="E701" t="str">
            <v>개</v>
          </cell>
          <cell r="F701">
            <v>43</v>
          </cell>
          <cell r="G701">
            <v>4175</v>
          </cell>
          <cell r="H701">
            <v>0</v>
          </cell>
          <cell r="I701">
            <v>0</v>
          </cell>
        </row>
        <row r="702">
          <cell r="A702" t="str">
            <v>A</v>
          </cell>
          <cell r="B702" t="str">
            <v>SMS11627</v>
          </cell>
          <cell r="C702" t="str">
            <v>주철 확대관(커프링)</v>
          </cell>
          <cell r="D702" t="str">
            <v>D100X75</v>
          </cell>
          <cell r="E702" t="str">
            <v>개</v>
          </cell>
          <cell r="F702">
            <v>2</v>
          </cell>
          <cell r="G702">
            <v>2902</v>
          </cell>
          <cell r="H702">
            <v>0</v>
          </cell>
          <cell r="I702">
            <v>0</v>
          </cell>
        </row>
        <row r="703">
          <cell r="A703" t="str">
            <v>A</v>
          </cell>
          <cell r="B703" t="str">
            <v>SMS11629</v>
          </cell>
          <cell r="C703" t="str">
            <v>주철 확대관(커프링)</v>
          </cell>
          <cell r="D703" t="str">
            <v>D75X50</v>
          </cell>
          <cell r="E703" t="str">
            <v>개</v>
          </cell>
          <cell r="F703">
            <v>18</v>
          </cell>
          <cell r="G703">
            <v>2873</v>
          </cell>
          <cell r="H703">
            <v>0</v>
          </cell>
          <cell r="I703">
            <v>0</v>
          </cell>
        </row>
        <row r="704">
          <cell r="A704" t="str">
            <v>A</v>
          </cell>
          <cell r="B704" t="str">
            <v>SMS11637</v>
          </cell>
          <cell r="C704" t="str">
            <v>카프링(오배수용)</v>
          </cell>
          <cell r="D704" t="str">
            <v>D50</v>
          </cell>
          <cell r="E704" t="str">
            <v>개</v>
          </cell>
          <cell r="F704">
            <v>36</v>
          </cell>
          <cell r="G704">
            <v>3240</v>
          </cell>
          <cell r="H704">
            <v>0</v>
          </cell>
          <cell r="I704">
            <v>0</v>
          </cell>
        </row>
        <row r="705">
          <cell r="A705" t="str">
            <v>A</v>
          </cell>
          <cell r="B705" t="str">
            <v>SMS11638</v>
          </cell>
          <cell r="C705" t="str">
            <v>카프링(오배수용)</v>
          </cell>
          <cell r="D705" t="str">
            <v>D75</v>
          </cell>
          <cell r="E705" t="str">
            <v>개</v>
          </cell>
          <cell r="F705">
            <v>118</v>
          </cell>
          <cell r="G705">
            <v>3730</v>
          </cell>
          <cell r="H705">
            <v>0</v>
          </cell>
          <cell r="I705">
            <v>0</v>
          </cell>
        </row>
        <row r="706">
          <cell r="A706" t="str">
            <v>A</v>
          </cell>
          <cell r="B706" t="str">
            <v>SMS11639</v>
          </cell>
          <cell r="C706" t="str">
            <v>카프링(오배수용)</v>
          </cell>
          <cell r="D706" t="str">
            <v>D100</v>
          </cell>
          <cell r="E706" t="str">
            <v>개</v>
          </cell>
          <cell r="F706">
            <v>56</v>
          </cell>
          <cell r="G706">
            <v>4406</v>
          </cell>
          <cell r="H706">
            <v>0</v>
          </cell>
          <cell r="I706">
            <v>0</v>
          </cell>
        </row>
        <row r="707">
          <cell r="A707" t="str">
            <v>A</v>
          </cell>
          <cell r="B707" t="str">
            <v>SMS11640</v>
          </cell>
          <cell r="C707" t="str">
            <v>카프링(오배수용)</v>
          </cell>
          <cell r="D707" t="str">
            <v>D125</v>
          </cell>
          <cell r="E707" t="str">
            <v>개</v>
          </cell>
          <cell r="F707">
            <v>16</v>
          </cell>
          <cell r="G707">
            <v>10339</v>
          </cell>
          <cell r="H707">
            <v>0</v>
          </cell>
          <cell r="I707">
            <v>0</v>
          </cell>
        </row>
        <row r="708">
          <cell r="A708" t="str">
            <v>A</v>
          </cell>
          <cell r="B708" t="str">
            <v>SMS13612</v>
          </cell>
          <cell r="C708" t="str">
            <v>아크릴카운터세면기설치(중앙볼형)</v>
          </cell>
          <cell r="D708" t="str">
            <v>770L x 440W(대리석무늬,수전제외)</v>
          </cell>
          <cell r="E708" t="str">
            <v>조</v>
          </cell>
          <cell r="F708">
            <v>348</v>
          </cell>
          <cell r="G708">
            <v>107054</v>
          </cell>
          <cell r="H708">
            <v>10181</v>
          </cell>
          <cell r="I708">
            <v>203</v>
          </cell>
        </row>
        <row r="709">
          <cell r="A709" t="str">
            <v>A</v>
          </cell>
          <cell r="B709" t="str">
            <v>SMS13614</v>
          </cell>
          <cell r="C709" t="str">
            <v>아크릴카운터세면기설치(중앙볼형)</v>
          </cell>
          <cell r="D709" t="str">
            <v>800L x 470W(대리석무늬,수전제외)</v>
          </cell>
          <cell r="E709" t="str">
            <v>조</v>
          </cell>
          <cell r="F709">
            <v>90</v>
          </cell>
          <cell r="G709">
            <v>108155</v>
          </cell>
          <cell r="H709">
            <v>10181</v>
          </cell>
          <cell r="I709">
            <v>203</v>
          </cell>
        </row>
        <row r="710">
          <cell r="A710" t="str">
            <v>A</v>
          </cell>
          <cell r="B710" t="str">
            <v>UAJ14855</v>
          </cell>
          <cell r="C710" t="str">
            <v>시멘트 몰탈 덮기 (1:7)(기계)</v>
          </cell>
          <cell r="E710" t="str">
            <v>M3</v>
          </cell>
          <cell r="F710">
            <v>27.3</v>
          </cell>
          <cell r="G710">
            <v>13900</v>
          </cell>
          <cell r="H710">
            <v>24300</v>
          </cell>
          <cell r="I710">
            <v>500</v>
          </cell>
        </row>
        <row r="711">
          <cell r="A711" t="str">
            <v>A</v>
          </cell>
          <cell r="B711" t="str">
            <v>UCA62815</v>
          </cell>
          <cell r="C711" t="str">
            <v>배수관 보호몰탈덮기(150X70)(기계공사)</v>
          </cell>
          <cell r="D711" t="str">
            <v>(SINK 배수관)</v>
          </cell>
          <cell r="E711" t="str">
            <v>M</v>
          </cell>
          <cell r="F711">
            <v>1580.1</v>
          </cell>
          <cell r="G711">
            <v>400</v>
          </cell>
          <cell r="H711">
            <v>1200</v>
          </cell>
          <cell r="I711">
            <v>0</v>
          </cell>
        </row>
        <row r="712">
          <cell r="A712" t="str">
            <v>A</v>
          </cell>
          <cell r="B712" t="str">
            <v>UMA13213</v>
          </cell>
          <cell r="C712" t="str">
            <v>백강관 옥내 배관(은분2회)</v>
          </cell>
          <cell r="D712" t="str">
            <v>D50 MM</v>
          </cell>
          <cell r="E712" t="str">
            <v>M</v>
          </cell>
          <cell r="F712">
            <v>208</v>
          </cell>
          <cell r="G712">
            <v>2396</v>
          </cell>
          <cell r="H712">
            <v>8540</v>
          </cell>
          <cell r="I712">
            <v>171</v>
          </cell>
        </row>
        <row r="713">
          <cell r="A713" t="str">
            <v>A</v>
          </cell>
          <cell r="B713" t="str">
            <v>UMB28013</v>
          </cell>
          <cell r="C713" t="str">
            <v>주철관배관(NO HUB,도장포함)</v>
          </cell>
          <cell r="D713" t="str">
            <v>D50 MM(84m2미만)</v>
          </cell>
          <cell r="E713" t="str">
            <v>M</v>
          </cell>
          <cell r="F713">
            <v>21</v>
          </cell>
          <cell r="G713">
            <v>3807</v>
          </cell>
          <cell r="H713">
            <v>8383</v>
          </cell>
          <cell r="I713">
            <v>167</v>
          </cell>
        </row>
        <row r="714">
          <cell r="A714" t="str">
            <v>A</v>
          </cell>
          <cell r="B714" t="str">
            <v>UMB28016</v>
          </cell>
          <cell r="C714" t="str">
            <v>주철관배관(NO HUB,도장포함)</v>
          </cell>
          <cell r="D714" t="str">
            <v>D75 MM(84m2미만)</v>
          </cell>
          <cell r="E714" t="str">
            <v>M</v>
          </cell>
          <cell r="F714">
            <v>224.6</v>
          </cell>
          <cell r="G714">
            <v>5500</v>
          </cell>
          <cell r="H714">
            <v>23700</v>
          </cell>
          <cell r="I714">
            <v>500</v>
          </cell>
        </row>
        <row r="715">
          <cell r="A715" t="str">
            <v>A</v>
          </cell>
          <cell r="B715" t="str">
            <v>UMB28019</v>
          </cell>
          <cell r="C715" t="str">
            <v>주철관배관(NO HUB,도장포함)</v>
          </cell>
          <cell r="D715" t="str">
            <v>D100 MM(84m2미만)</v>
          </cell>
          <cell r="E715" t="str">
            <v>M</v>
          </cell>
          <cell r="F715">
            <v>523.9</v>
          </cell>
          <cell r="G715">
            <v>7600</v>
          </cell>
          <cell r="H715">
            <v>25200</v>
          </cell>
          <cell r="I715">
            <v>500</v>
          </cell>
        </row>
        <row r="716">
          <cell r="A716" t="str">
            <v>A</v>
          </cell>
          <cell r="B716" t="str">
            <v>UMB28020</v>
          </cell>
          <cell r="C716" t="str">
            <v>주철관배관(NO HUB,도장포함)</v>
          </cell>
          <cell r="D716" t="str">
            <v>D125 MM(84m2미만)</v>
          </cell>
          <cell r="E716" t="str">
            <v>M</v>
          </cell>
          <cell r="F716">
            <v>262</v>
          </cell>
          <cell r="G716">
            <v>9512</v>
          </cell>
          <cell r="H716">
            <v>30885</v>
          </cell>
          <cell r="I716">
            <v>565</v>
          </cell>
        </row>
        <row r="717">
          <cell r="A717" t="str">
            <v>A</v>
          </cell>
          <cell r="B717" t="str">
            <v>UMB28021</v>
          </cell>
          <cell r="C717" t="str">
            <v>주철관배관(NO HUB,도장포함)</v>
          </cell>
          <cell r="D717" t="str">
            <v>D150 MM(84m2미만)</v>
          </cell>
          <cell r="E717" t="str">
            <v>M</v>
          </cell>
          <cell r="F717">
            <v>141.19999999999999</v>
          </cell>
          <cell r="G717">
            <v>11210</v>
          </cell>
          <cell r="H717">
            <v>32710</v>
          </cell>
          <cell r="I717">
            <v>652</v>
          </cell>
        </row>
        <row r="718">
          <cell r="A718" t="str">
            <v>A</v>
          </cell>
          <cell r="B718" t="str">
            <v>UMB28022</v>
          </cell>
          <cell r="C718" t="str">
            <v>주철관배관(NO HUB,도장포함))</v>
          </cell>
          <cell r="D718" t="str">
            <v>D200 MM(84m2미만)</v>
          </cell>
          <cell r="E718" t="str">
            <v>M</v>
          </cell>
          <cell r="F718">
            <v>19.2</v>
          </cell>
          <cell r="G718">
            <v>17500</v>
          </cell>
          <cell r="H718">
            <v>45000</v>
          </cell>
          <cell r="I718">
            <v>900</v>
          </cell>
        </row>
        <row r="719">
          <cell r="A719" t="str">
            <v>A</v>
          </cell>
          <cell r="B719" t="str">
            <v>UMB28113</v>
          </cell>
          <cell r="C719" t="str">
            <v>주철관배관(NO HUB,도장포함)</v>
          </cell>
          <cell r="D719" t="str">
            <v>D50 MM(84m2이상)</v>
          </cell>
          <cell r="E719" t="str">
            <v>M</v>
          </cell>
          <cell r="F719">
            <v>81.599999999999994</v>
          </cell>
          <cell r="G719">
            <v>3800</v>
          </cell>
          <cell r="H719">
            <v>5500</v>
          </cell>
          <cell r="I719">
            <v>100</v>
          </cell>
        </row>
        <row r="720">
          <cell r="A720" t="str">
            <v>A</v>
          </cell>
          <cell r="B720" t="str">
            <v>UMB28116</v>
          </cell>
          <cell r="C720" t="str">
            <v>주철관배관(NO HUB,도장포함)</v>
          </cell>
          <cell r="D720" t="str">
            <v>D75 MM(84m2이상)</v>
          </cell>
          <cell r="E720" t="str">
            <v>M</v>
          </cell>
          <cell r="F720">
            <v>143.19999999999999</v>
          </cell>
          <cell r="G720">
            <v>5500</v>
          </cell>
          <cell r="H720">
            <v>23300</v>
          </cell>
          <cell r="I720">
            <v>500</v>
          </cell>
        </row>
        <row r="721">
          <cell r="A721" t="str">
            <v>A</v>
          </cell>
          <cell r="B721" t="str">
            <v>UMB28119</v>
          </cell>
          <cell r="C721" t="str">
            <v>주철관배관(NO HUB,도장포함)</v>
          </cell>
          <cell r="D721" t="str">
            <v>D100 MM(84m2이상)</v>
          </cell>
          <cell r="E721" t="str">
            <v>M</v>
          </cell>
          <cell r="F721">
            <v>642.4</v>
          </cell>
          <cell r="G721">
            <v>7610</v>
          </cell>
          <cell r="H721">
            <v>25182</v>
          </cell>
          <cell r="I721">
            <v>502</v>
          </cell>
        </row>
        <row r="722">
          <cell r="A722" t="str">
            <v>A</v>
          </cell>
          <cell r="B722" t="str">
            <v>UMB28120</v>
          </cell>
          <cell r="C722" t="str">
            <v>주철관배관(NO HUB,도장포함)</v>
          </cell>
          <cell r="D722" t="str">
            <v>D125 MM(84m2이상)</v>
          </cell>
          <cell r="E722" t="str">
            <v>M</v>
          </cell>
          <cell r="F722">
            <v>268</v>
          </cell>
          <cell r="G722">
            <v>9500</v>
          </cell>
          <cell r="H722">
            <v>26800</v>
          </cell>
          <cell r="I722">
            <v>500</v>
          </cell>
        </row>
        <row r="723">
          <cell r="A723" t="str">
            <v>A</v>
          </cell>
          <cell r="B723" t="str">
            <v>UMB28121</v>
          </cell>
          <cell r="C723" t="str">
            <v>주철관배관(NO HUB,도장포함)</v>
          </cell>
          <cell r="D723" t="str">
            <v>D150 MM(84m2이상)</v>
          </cell>
          <cell r="E723" t="str">
            <v>M</v>
          </cell>
          <cell r="F723">
            <v>60.8</v>
          </cell>
          <cell r="G723">
            <v>11200</v>
          </cell>
          <cell r="H723">
            <v>34000</v>
          </cell>
          <cell r="I723">
            <v>700</v>
          </cell>
        </row>
        <row r="724">
          <cell r="A724" t="str">
            <v>A</v>
          </cell>
          <cell r="B724" t="str">
            <v>UMB30311</v>
          </cell>
          <cell r="C724" t="str">
            <v>오배수PVC 배관</v>
          </cell>
          <cell r="D724" t="str">
            <v>D35 MM(VG2)</v>
          </cell>
          <cell r="E724" t="str">
            <v>M</v>
          </cell>
          <cell r="F724">
            <v>760.56</v>
          </cell>
          <cell r="G724">
            <v>400</v>
          </cell>
          <cell r="H724">
            <v>1700</v>
          </cell>
          <cell r="I724">
            <v>0</v>
          </cell>
        </row>
        <row r="725">
          <cell r="A725" t="str">
            <v>A</v>
          </cell>
          <cell r="B725" t="str">
            <v>UMB30312</v>
          </cell>
          <cell r="C725" t="str">
            <v>오배수PVC 배관</v>
          </cell>
          <cell r="D725" t="str">
            <v>D40 MM(VG2)</v>
          </cell>
          <cell r="E725" t="str">
            <v>M</v>
          </cell>
          <cell r="F725">
            <v>875.12</v>
          </cell>
          <cell r="G725">
            <v>500</v>
          </cell>
          <cell r="H725">
            <v>1800</v>
          </cell>
          <cell r="I725">
            <v>0</v>
          </cell>
        </row>
        <row r="726">
          <cell r="A726" t="str">
            <v>A</v>
          </cell>
          <cell r="B726" t="str">
            <v>UMB30313</v>
          </cell>
          <cell r="C726" t="str">
            <v>오배수PVC 배관</v>
          </cell>
          <cell r="D726" t="str">
            <v>D50 MM(VG2)</v>
          </cell>
          <cell r="E726" t="str">
            <v>M</v>
          </cell>
          <cell r="F726">
            <v>2894.92</v>
          </cell>
          <cell r="G726">
            <v>600</v>
          </cell>
          <cell r="H726">
            <v>2400</v>
          </cell>
          <cell r="I726">
            <v>0</v>
          </cell>
        </row>
        <row r="727">
          <cell r="A727" t="str">
            <v>A</v>
          </cell>
          <cell r="B727" t="str">
            <v>UMB30314</v>
          </cell>
          <cell r="C727" t="str">
            <v>오배수PVC 배관(도장+비닐)</v>
          </cell>
          <cell r="D727" t="str">
            <v>D50 MM(VG2)</v>
          </cell>
          <cell r="E727" t="str">
            <v>M</v>
          </cell>
          <cell r="F727">
            <v>1266.8</v>
          </cell>
          <cell r="G727">
            <v>694</v>
          </cell>
          <cell r="H727">
            <v>3132</v>
          </cell>
          <cell r="I727">
            <v>62</v>
          </cell>
        </row>
        <row r="728">
          <cell r="A728" t="str">
            <v>A</v>
          </cell>
          <cell r="B728" t="str">
            <v>UMB30316</v>
          </cell>
          <cell r="C728" t="str">
            <v>오배수PVC 배관</v>
          </cell>
          <cell r="D728" t="str">
            <v>D75 MM(VG2)</v>
          </cell>
          <cell r="E728" t="str">
            <v>M</v>
          </cell>
          <cell r="F728">
            <v>4386.3500000000004</v>
          </cell>
          <cell r="G728">
            <v>1271</v>
          </cell>
          <cell r="H728">
            <v>2920</v>
          </cell>
          <cell r="I728">
            <v>58</v>
          </cell>
        </row>
        <row r="729">
          <cell r="A729" t="str">
            <v>A</v>
          </cell>
          <cell r="B729" t="str">
            <v>UMB30317</v>
          </cell>
          <cell r="C729" t="str">
            <v>오배수PVC 배관(도장+비닐)</v>
          </cell>
          <cell r="D729" t="str">
            <v>D75 MM(VG2)</v>
          </cell>
          <cell r="E729" t="str">
            <v>M</v>
          </cell>
          <cell r="F729">
            <v>166.4</v>
          </cell>
          <cell r="G729">
            <v>1400</v>
          </cell>
          <cell r="H729">
            <v>4000</v>
          </cell>
          <cell r="I729">
            <v>100</v>
          </cell>
        </row>
        <row r="730">
          <cell r="A730" t="str">
            <v>A</v>
          </cell>
          <cell r="B730" t="str">
            <v>UMB30318</v>
          </cell>
          <cell r="C730" t="str">
            <v>오배수PVC 배관</v>
          </cell>
          <cell r="D730" t="str">
            <v>D100 MM(VG2)</v>
          </cell>
          <cell r="E730" t="str">
            <v>M</v>
          </cell>
          <cell r="F730">
            <v>5900.38</v>
          </cell>
          <cell r="G730">
            <v>1900</v>
          </cell>
          <cell r="H730">
            <v>3600</v>
          </cell>
          <cell r="I730">
            <v>100</v>
          </cell>
        </row>
        <row r="731">
          <cell r="A731" t="str">
            <v>A</v>
          </cell>
          <cell r="B731" t="str">
            <v>UMB30411</v>
          </cell>
          <cell r="C731" t="str">
            <v>이중PVC 배관</v>
          </cell>
          <cell r="D731" t="str">
            <v>D35 MM</v>
          </cell>
          <cell r="E731" t="str">
            <v>M</v>
          </cell>
          <cell r="F731">
            <v>787.32</v>
          </cell>
          <cell r="G731">
            <v>824</v>
          </cell>
          <cell r="H731">
            <v>1655</v>
          </cell>
          <cell r="I731">
            <v>32</v>
          </cell>
        </row>
        <row r="732">
          <cell r="A732" t="str">
            <v>A</v>
          </cell>
          <cell r="B732" t="str">
            <v>UMB30412</v>
          </cell>
          <cell r="C732" t="str">
            <v>이중PVC 배관</v>
          </cell>
          <cell r="D732" t="str">
            <v>D40 MM</v>
          </cell>
          <cell r="E732" t="str">
            <v>M</v>
          </cell>
          <cell r="F732">
            <v>340.92</v>
          </cell>
          <cell r="G732">
            <v>1038</v>
          </cell>
          <cell r="H732">
            <v>1750</v>
          </cell>
          <cell r="I732">
            <v>35</v>
          </cell>
        </row>
        <row r="733">
          <cell r="A733" t="str">
            <v>A</v>
          </cell>
          <cell r="B733" t="str">
            <v>UMB30413</v>
          </cell>
          <cell r="C733" t="str">
            <v>이중PVC 배관</v>
          </cell>
          <cell r="D733" t="str">
            <v>D50 MM</v>
          </cell>
          <cell r="E733" t="str">
            <v>M</v>
          </cell>
          <cell r="F733">
            <v>2761.36</v>
          </cell>
          <cell r="G733">
            <v>1210</v>
          </cell>
          <cell r="H733">
            <v>2434</v>
          </cell>
          <cell r="I733">
            <v>48</v>
          </cell>
        </row>
        <row r="734">
          <cell r="A734" t="str">
            <v>A</v>
          </cell>
          <cell r="B734" t="str">
            <v>UMB30414</v>
          </cell>
          <cell r="C734" t="str">
            <v>이중PVC 배관(도장+비닐감기)</v>
          </cell>
          <cell r="D734" t="str">
            <v>D50 MM</v>
          </cell>
          <cell r="E734" t="str">
            <v>M</v>
          </cell>
          <cell r="F734">
            <v>166.4</v>
          </cell>
          <cell r="G734">
            <v>1300</v>
          </cell>
          <cell r="H734">
            <v>3100</v>
          </cell>
          <cell r="I734">
            <v>100</v>
          </cell>
        </row>
        <row r="735">
          <cell r="A735" t="str">
            <v>A</v>
          </cell>
          <cell r="B735" t="str">
            <v>UMB30416</v>
          </cell>
          <cell r="C735" t="str">
            <v>이중PVC 배관</v>
          </cell>
          <cell r="D735" t="str">
            <v>D75 MM</v>
          </cell>
          <cell r="E735" t="str">
            <v>M</v>
          </cell>
          <cell r="F735">
            <v>64</v>
          </cell>
          <cell r="G735">
            <v>2015</v>
          </cell>
          <cell r="H735">
            <v>2920</v>
          </cell>
          <cell r="I735">
            <v>58</v>
          </cell>
        </row>
        <row r="736">
          <cell r="A736" t="str">
            <v>A</v>
          </cell>
          <cell r="B736" t="str">
            <v>UMB30417</v>
          </cell>
          <cell r="C736" t="str">
            <v>이중PVC 배관(도장+비닐감기)</v>
          </cell>
          <cell r="D736" t="str">
            <v>D75 MM</v>
          </cell>
          <cell r="E736" t="str">
            <v>M</v>
          </cell>
          <cell r="F736">
            <v>2246.4</v>
          </cell>
          <cell r="G736">
            <v>2200</v>
          </cell>
          <cell r="H736">
            <v>4000</v>
          </cell>
          <cell r="I736">
            <v>100</v>
          </cell>
        </row>
        <row r="737">
          <cell r="A737" t="str">
            <v>A</v>
          </cell>
          <cell r="B737" t="str">
            <v>UMB30419</v>
          </cell>
          <cell r="C737" t="str">
            <v>이중PVC 배관</v>
          </cell>
          <cell r="D737" t="str">
            <v>D100 MM</v>
          </cell>
          <cell r="E737" t="str">
            <v>M</v>
          </cell>
          <cell r="F737">
            <v>1939.92</v>
          </cell>
          <cell r="G737">
            <v>2930</v>
          </cell>
          <cell r="H737">
            <v>3604</v>
          </cell>
          <cell r="I737">
            <v>72</v>
          </cell>
        </row>
        <row r="738">
          <cell r="A738" t="str">
            <v>A</v>
          </cell>
          <cell r="B738" t="str">
            <v>UMC15106</v>
          </cell>
          <cell r="C738" t="str">
            <v>강판 절단 (가스)(수동식)</v>
          </cell>
          <cell r="D738" t="str">
            <v>T= 6MM</v>
          </cell>
          <cell r="E738" t="str">
            <v>M</v>
          </cell>
          <cell r="F738">
            <v>535.79999999999995</v>
          </cell>
          <cell r="G738">
            <v>200</v>
          </cell>
          <cell r="H738">
            <v>300</v>
          </cell>
          <cell r="I738">
            <v>0</v>
          </cell>
        </row>
        <row r="739">
          <cell r="A739" t="str">
            <v>A</v>
          </cell>
          <cell r="B739" t="str">
            <v>UMC28206</v>
          </cell>
          <cell r="C739" t="str">
            <v>강판 전기아크용접(V형)(횡향)(수동)</v>
          </cell>
          <cell r="D739" t="str">
            <v>T= 6 MM</v>
          </cell>
          <cell r="E739" t="str">
            <v>M</v>
          </cell>
          <cell r="F739">
            <v>290.39999999999998</v>
          </cell>
          <cell r="G739">
            <v>400</v>
          </cell>
          <cell r="H739">
            <v>9300</v>
          </cell>
          <cell r="I739">
            <v>200</v>
          </cell>
        </row>
        <row r="740">
          <cell r="A740" t="str">
            <v>A</v>
          </cell>
          <cell r="B740" t="str">
            <v>UME38316</v>
          </cell>
          <cell r="C740" t="str">
            <v>오배수 방음보온(은박)</v>
          </cell>
          <cell r="D740" t="str">
            <v>D=75MM, T=25MM</v>
          </cell>
          <cell r="E740" t="str">
            <v>M</v>
          </cell>
          <cell r="F740">
            <v>2469.6</v>
          </cell>
          <cell r="G740">
            <v>1400</v>
          </cell>
          <cell r="H740">
            <v>2700</v>
          </cell>
          <cell r="I740">
            <v>100</v>
          </cell>
        </row>
        <row r="741">
          <cell r="A741" t="str">
            <v>A</v>
          </cell>
          <cell r="B741" t="str">
            <v>UME38319</v>
          </cell>
          <cell r="C741" t="str">
            <v>오배수 방음보온(은박)</v>
          </cell>
          <cell r="D741" t="str">
            <v>D=100MM, T=25MM</v>
          </cell>
          <cell r="E741" t="str">
            <v>M</v>
          </cell>
          <cell r="F741">
            <v>3206.4</v>
          </cell>
          <cell r="G741">
            <v>1676</v>
          </cell>
          <cell r="H741">
            <v>3504</v>
          </cell>
          <cell r="I741">
            <v>70</v>
          </cell>
        </row>
        <row r="742">
          <cell r="A742" t="str">
            <v>A</v>
          </cell>
          <cell r="B742" t="str">
            <v>UME38413</v>
          </cell>
          <cell r="C742" t="str">
            <v>오배수 방동보온(아스팔트휄트)</v>
          </cell>
          <cell r="D742" t="str">
            <v>D=50MM, T=50MM</v>
          </cell>
          <cell r="E742" t="str">
            <v>M</v>
          </cell>
          <cell r="F742">
            <v>118.2</v>
          </cell>
          <cell r="G742">
            <v>2700</v>
          </cell>
          <cell r="H742">
            <v>3800</v>
          </cell>
          <cell r="I742">
            <v>100</v>
          </cell>
        </row>
        <row r="743">
          <cell r="A743" t="str">
            <v>A</v>
          </cell>
          <cell r="B743" t="str">
            <v>UME38416</v>
          </cell>
          <cell r="C743" t="str">
            <v>오배수 방동보온(아스팔트휄트)</v>
          </cell>
          <cell r="D743" t="str">
            <v>D=75MM, T=50MM</v>
          </cell>
          <cell r="E743" t="str">
            <v>M</v>
          </cell>
          <cell r="F743">
            <v>101.4</v>
          </cell>
          <cell r="G743">
            <v>3400</v>
          </cell>
          <cell r="H743">
            <v>4400</v>
          </cell>
          <cell r="I743">
            <v>100</v>
          </cell>
        </row>
        <row r="744">
          <cell r="A744" t="str">
            <v>A</v>
          </cell>
          <cell r="B744" t="str">
            <v>UMF22010</v>
          </cell>
          <cell r="C744" t="str">
            <v>배수용수중펌프설치(배관,충격완화C.V포함)</v>
          </cell>
          <cell r="D744" t="str">
            <v>1HP-1대,D50,탈착無,덮개有</v>
          </cell>
          <cell r="E744" t="str">
            <v>조</v>
          </cell>
          <cell r="F744">
            <v>14</v>
          </cell>
          <cell r="G744">
            <v>574946</v>
          </cell>
          <cell r="H744">
            <v>81380</v>
          </cell>
          <cell r="I744">
            <v>3887</v>
          </cell>
        </row>
        <row r="745">
          <cell r="A745" t="str">
            <v>A</v>
          </cell>
          <cell r="B745" t="str">
            <v>UMG10105</v>
          </cell>
          <cell r="C745" t="str">
            <v>양변기설치(유색,대형)</v>
          </cell>
          <cell r="D745" t="str">
            <v>KSVC-1210CR(휴지걸이제외)</v>
          </cell>
          <cell r="E745" t="str">
            <v>조</v>
          </cell>
          <cell r="F745">
            <v>10</v>
          </cell>
          <cell r="G745">
            <v>54989</v>
          </cell>
          <cell r="H745">
            <v>25649</v>
          </cell>
          <cell r="I745">
            <v>513</v>
          </cell>
        </row>
        <row r="746">
          <cell r="A746" t="str">
            <v>A</v>
          </cell>
          <cell r="B746" t="str">
            <v>UMG10113</v>
          </cell>
          <cell r="C746" t="str">
            <v>원피스형투피스 양변기설치(유색)</v>
          </cell>
          <cell r="D746" t="str">
            <v>KSVC-1210CR(대형,휴지걸이제외)</v>
          </cell>
          <cell r="E746" t="str">
            <v>조</v>
          </cell>
          <cell r="F746">
            <v>876</v>
          </cell>
          <cell r="G746">
            <v>78303</v>
          </cell>
          <cell r="H746">
            <v>25649</v>
          </cell>
          <cell r="I746">
            <v>513</v>
          </cell>
        </row>
        <row r="747">
          <cell r="A747" t="str">
            <v>A</v>
          </cell>
          <cell r="B747" t="str">
            <v>UMG13104</v>
          </cell>
          <cell r="C747" t="str">
            <v>일반세면기설치(백색)</v>
          </cell>
          <cell r="D747" t="str">
            <v>KSVL-610(수전제외)</v>
          </cell>
          <cell r="E747" t="str">
            <v>조</v>
          </cell>
          <cell r="F747">
            <v>4</v>
          </cell>
          <cell r="G747">
            <v>20160</v>
          </cell>
          <cell r="H747">
            <v>9161</v>
          </cell>
          <cell r="I747">
            <v>183</v>
          </cell>
        </row>
        <row r="748">
          <cell r="A748" t="str">
            <v>A</v>
          </cell>
          <cell r="B748" t="str">
            <v>UMG13211</v>
          </cell>
          <cell r="C748" t="str">
            <v>SMC카운터세면기설치</v>
          </cell>
          <cell r="D748" t="str">
            <v>L=1040(유색,수전제외)</v>
          </cell>
          <cell r="E748" t="str">
            <v>조</v>
          </cell>
          <cell r="F748">
            <v>2</v>
          </cell>
          <cell r="G748">
            <v>100027</v>
          </cell>
          <cell r="H748">
            <v>12216</v>
          </cell>
          <cell r="I748">
            <v>244</v>
          </cell>
        </row>
        <row r="749">
          <cell r="A749" t="str">
            <v>A</v>
          </cell>
          <cell r="B749" t="str">
            <v>UMG13231</v>
          </cell>
          <cell r="C749" t="str">
            <v>아크릴카운터세면기설치</v>
          </cell>
          <cell r="D749" t="str">
            <v>L=1300(대리석무늬,수전제외)</v>
          </cell>
          <cell r="E749" t="str">
            <v>조</v>
          </cell>
          <cell r="F749">
            <v>90</v>
          </cell>
          <cell r="G749">
            <v>91430</v>
          </cell>
          <cell r="H749">
            <v>10182</v>
          </cell>
          <cell r="I749">
            <v>203</v>
          </cell>
        </row>
        <row r="750">
          <cell r="A750" t="str">
            <v>A</v>
          </cell>
          <cell r="B750" t="str">
            <v>UMG13234</v>
          </cell>
          <cell r="C750" t="str">
            <v>아크릴카운터세면기설치</v>
          </cell>
          <cell r="D750" t="str">
            <v>L=1400(대리석무늬,수전제외)</v>
          </cell>
          <cell r="E750" t="str">
            <v>조</v>
          </cell>
          <cell r="F750">
            <v>348</v>
          </cell>
          <cell r="G750">
            <v>93014</v>
          </cell>
          <cell r="H750">
            <v>10182</v>
          </cell>
          <cell r="I750">
            <v>203</v>
          </cell>
        </row>
        <row r="751">
          <cell r="A751" t="str">
            <v>A</v>
          </cell>
          <cell r="B751" t="str">
            <v>UMG13600</v>
          </cell>
          <cell r="C751" t="str">
            <v>청소용수채설치</v>
          </cell>
          <cell r="D751" t="str">
            <v>460X560X660</v>
          </cell>
          <cell r="E751" t="str">
            <v>조</v>
          </cell>
          <cell r="F751">
            <v>2</v>
          </cell>
          <cell r="G751">
            <v>102672</v>
          </cell>
          <cell r="H751">
            <v>12128</v>
          </cell>
          <cell r="I751">
            <v>242</v>
          </cell>
        </row>
        <row r="752">
          <cell r="A752" t="str">
            <v>A</v>
          </cell>
          <cell r="B752" t="str">
            <v>UMG16715</v>
          </cell>
          <cell r="C752" t="str">
            <v>아크릴욕조설치 및 보양</v>
          </cell>
          <cell r="D752" t="str">
            <v>L=1,600 MM(대리석무늬)</v>
          </cell>
          <cell r="E752" t="str">
            <v>조</v>
          </cell>
          <cell r="F752">
            <v>436</v>
          </cell>
          <cell r="G752">
            <v>131028</v>
          </cell>
          <cell r="H752">
            <v>30862</v>
          </cell>
          <cell r="I752">
            <v>611</v>
          </cell>
        </row>
        <row r="753">
          <cell r="A753" t="str">
            <v>A</v>
          </cell>
          <cell r="B753" t="str">
            <v>UMG19202</v>
          </cell>
          <cell r="C753" t="str">
            <v>소변기설치</v>
          </cell>
          <cell r="D753" t="str">
            <v>KSEU-320(전자감응)</v>
          </cell>
          <cell r="E753" t="str">
            <v>조</v>
          </cell>
          <cell r="F753">
            <v>4</v>
          </cell>
          <cell r="G753">
            <v>68400</v>
          </cell>
          <cell r="H753">
            <v>34625</v>
          </cell>
          <cell r="I753">
            <v>692</v>
          </cell>
        </row>
        <row r="754">
          <cell r="A754" t="str">
            <v>A</v>
          </cell>
          <cell r="B754" t="str">
            <v>UMG43201</v>
          </cell>
          <cell r="C754" t="str">
            <v>화장경설치(무늬형)</v>
          </cell>
          <cell r="D754" t="str">
            <v>850X700X5T</v>
          </cell>
          <cell r="E754" t="str">
            <v>개</v>
          </cell>
          <cell r="F754">
            <v>6</v>
          </cell>
          <cell r="G754">
            <v>13178</v>
          </cell>
          <cell r="H754">
            <v>7471</v>
          </cell>
          <cell r="I754">
            <v>149</v>
          </cell>
        </row>
        <row r="755">
          <cell r="A755" t="str">
            <v>A</v>
          </cell>
          <cell r="B755" t="str">
            <v>UMG43217</v>
          </cell>
          <cell r="C755" t="str">
            <v>화장경설치(테두리형)</v>
          </cell>
          <cell r="D755" t="str">
            <v>1000X850X5T</v>
          </cell>
          <cell r="E755" t="str">
            <v>개</v>
          </cell>
          <cell r="F755">
            <v>876</v>
          </cell>
          <cell r="G755">
            <v>25382</v>
          </cell>
          <cell r="H755">
            <v>7471</v>
          </cell>
          <cell r="I755">
            <v>149</v>
          </cell>
        </row>
        <row r="756">
          <cell r="A756" t="str">
            <v>A</v>
          </cell>
          <cell r="B756" t="str">
            <v>UMG43221</v>
          </cell>
          <cell r="C756" t="str">
            <v>화장경설치(테두리형)</v>
          </cell>
          <cell r="D756" t="str">
            <v>770-800x950X5T</v>
          </cell>
          <cell r="E756" t="str">
            <v>조</v>
          </cell>
          <cell r="F756">
            <v>438</v>
          </cell>
          <cell r="G756">
            <v>25382</v>
          </cell>
          <cell r="H756">
            <v>7471</v>
          </cell>
          <cell r="I756">
            <v>149</v>
          </cell>
        </row>
        <row r="757">
          <cell r="A757" t="str">
            <v>A</v>
          </cell>
          <cell r="B757" t="str">
            <v>UMG43301</v>
          </cell>
          <cell r="C757" t="str">
            <v>휴지걸이설치</v>
          </cell>
          <cell r="D757" t="str">
            <v>고급형</v>
          </cell>
          <cell r="E757" t="str">
            <v>개</v>
          </cell>
          <cell r="F757">
            <v>886</v>
          </cell>
          <cell r="G757">
            <v>5890</v>
          </cell>
          <cell r="H757">
            <v>4535</v>
          </cell>
          <cell r="I757">
            <v>90</v>
          </cell>
        </row>
        <row r="758">
          <cell r="A758" t="str">
            <v>A</v>
          </cell>
          <cell r="B758" t="str">
            <v>UMG43400</v>
          </cell>
          <cell r="C758" t="str">
            <v>수건걸이설치(고급형)</v>
          </cell>
          <cell r="D758" t="str">
            <v>1BAR</v>
          </cell>
          <cell r="E758" t="str">
            <v>개</v>
          </cell>
          <cell r="F758">
            <v>876</v>
          </cell>
          <cell r="G758">
            <v>6545</v>
          </cell>
          <cell r="H758">
            <v>4535</v>
          </cell>
          <cell r="I758">
            <v>90</v>
          </cell>
        </row>
        <row r="759">
          <cell r="A759" t="str">
            <v>A</v>
          </cell>
          <cell r="B759" t="str">
            <v>UMG43403</v>
          </cell>
          <cell r="C759" t="str">
            <v>다용도 수건걸이설치(STS제)</v>
          </cell>
          <cell r="D759" t="str">
            <v>선반형</v>
          </cell>
          <cell r="E759" t="str">
            <v>개</v>
          </cell>
          <cell r="F759">
            <v>438</v>
          </cell>
          <cell r="G759">
            <v>12240</v>
          </cell>
          <cell r="H759">
            <v>4535</v>
          </cell>
          <cell r="I759">
            <v>90</v>
          </cell>
        </row>
        <row r="760">
          <cell r="A760" t="str">
            <v>A</v>
          </cell>
          <cell r="B760" t="str">
            <v>UMG43435</v>
          </cell>
          <cell r="C760" t="str">
            <v>옷걸이 설치</v>
          </cell>
          <cell r="D760" t="str">
            <v>고급형</v>
          </cell>
          <cell r="E760" t="str">
            <v>개</v>
          </cell>
          <cell r="F760">
            <v>438</v>
          </cell>
          <cell r="G760">
            <v>1296</v>
          </cell>
          <cell r="H760">
            <v>4535</v>
          </cell>
          <cell r="I760">
            <v>90</v>
          </cell>
        </row>
        <row r="761">
          <cell r="A761" t="str">
            <v>A</v>
          </cell>
          <cell r="B761" t="str">
            <v>UMG43503</v>
          </cell>
          <cell r="C761" t="str">
            <v>욕조용 손잡이 설치(STS제)</v>
          </cell>
          <cell r="D761" t="str">
            <v>D25MMx400MM</v>
          </cell>
          <cell r="E761" t="str">
            <v>개</v>
          </cell>
          <cell r="F761">
            <v>436</v>
          </cell>
          <cell r="G761">
            <v>5832</v>
          </cell>
          <cell r="H761">
            <v>4535</v>
          </cell>
          <cell r="I761">
            <v>90</v>
          </cell>
        </row>
        <row r="762">
          <cell r="A762" t="str">
            <v>A</v>
          </cell>
          <cell r="B762" t="str">
            <v>UMG43505</v>
          </cell>
          <cell r="C762" t="str">
            <v>욕실용 장애자 손잡이 설치(STS)</v>
          </cell>
          <cell r="D762" t="str">
            <v>D32x350x900(L자형)</v>
          </cell>
          <cell r="E762" t="str">
            <v>개</v>
          </cell>
          <cell r="F762">
            <v>2</v>
          </cell>
          <cell r="G762">
            <v>37440</v>
          </cell>
          <cell r="H762">
            <v>7434</v>
          </cell>
          <cell r="I762">
            <v>148</v>
          </cell>
        </row>
        <row r="763">
          <cell r="A763" t="str">
            <v>A</v>
          </cell>
          <cell r="B763" t="str">
            <v>UMG43506</v>
          </cell>
          <cell r="C763" t="str">
            <v>욕실용 장애자 손잡이 설치(STS)</v>
          </cell>
          <cell r="D763" t="str">
            <v>D32x700x900(L자형)</v>
          </cell>
          <cell r="E763" t="str">
            <v>개</v>
          </cell>
          <cell r="F763">
            <v>2</v>
          </cell>
          <cell r="G763">
            <v>43200</v>
          </cell>
          <cell r="H763">
            <v>7434</v>
          </cell>
          <cell r="I763">
            <v>148</v>
          </cell>
        </row>
        <row r="764">
          <cell r="A764" t="str">
            <v>A</v>
          </cell>
          <cell r="B764" t="str">
            <v>UMG43507</v>
          </cell>
          <cell r="C764" t="str">
            <v>욕실용 장애자 손잡이 설치(STS)</v>
          </cell>
          <cell r="D764" t="str">
            <v>D32x500(I자형)</v>
          </cell>
          <cell r="E764" t="str">
            <v>개</v>
          </cell>
          <cell r="F764">
            <v>2</v>
          </cell>
          <cell r="G764">
            <v>7560</v>
          </cell>
          <cell r="H764">
            <v>4535</v>
          </cell>
          <cell r="I764">
            <v>90</v>
          </cell>
        </row>
        <row r="765">
          <cell r="A765" t="str">
            <v>A</v>
          </cell>
          <cell r="B765" t="str">
            <v>UMG43701</v>
          </cell>
          <cell r="C765" t="str">
            <v>에어타올설치</v>
          </cell>
          <cell r="D765" t="str">
            <v>센서식</v>
          </cell>
          <cell r="E765" t="str">
            <v>개</v>
          </cell>
          <cell r="F765">
            <v>6</v>
          </cell>
          <cell r="G765">
            <v>79200</v>
          </cell>
          <cell r="H765">
            <v>4535</v>
          </cell>
          <cell r="I765">
            <v>90</v>
          </cell>
        </row>
        <row r="766">
          <cell r="A766" t="str">
            <v>A</v>
          </cell>
          <cell r="B766" t="str">
            <v>UMJ30302</v>
          </cell>
          <cell r="C766" t="str">
            <v>배기휀설치(벽식)</v>
          </cell>
          <cell r="D766" t="str">
            <v>1/8HP,93W이하</v>
          </cell>
          <cell r="E766" t="str">
            <v>대</v>
          </cell>
          <cell r="F766">
            <v>1</v>
          </cell>
          <cell r="G766">
            <v>102334</v>
          </cell>
          <cell r="H766">
            <v>23376</v>
          </cell>
          <cell r="I766">
            <v>467</v>
          </cell>
        </row>
        <row r="767">
          <cell r="A767" t="str">
            <v>A</v>
          </cell>
          <cell r="B767" t="str">
            <v>UMJ30303</v>
          </cell>
          <cell r="C767" t="str">
            <v>배기휀설치(벽식)</v>
          </cell>
          <cell r="D767" t="str">
            <v>1/12HP,62W이하</v>
          </cell>
          <cell r="E767" t="str">
            <v>대</v>
          </cell>
          <cell r="F767">
            <v>1</v>
          </cell>
          <cell r="G767">
            <v>84679</v>
          </cell>
          <cell r="H767">
            <v>19480</v>
          </cell>
          <cell r="I767">
            <v>390</v>
          </cell>
        </row>
        <row r="768">
          <cell r="A768" t="str">
            <v>A</v>
          </cell>
          <cell r="B768" t="str">
            <v>UMJ30305</v>
          </cell>
          <cell r="C768" t="str">
            <v>배기휀설치(벽식)</v>
          </cell>
          <cell r="D768" t="str">
            <v>33W이하</v>
          </cell>
          <cell r="E768" t="str">
            <v>대</v>
          </cell>
          <cell r="F768">
            <v>11</v>
          </cell>
          <cell r="G768">
            <v>11709</v>
          </cell>
          <cell r="H768">
            <v>15584</v>
          </cell>
          <cell r="I768">
            <v>311</v>
          </cell>
        </row>
        <row r="769">
          <cell r="A769" t="str">
            <v>A</v>
          </cell>
          <cell r="B769" t="str">
            <v>UMJ30313</v>
          </cell>
          <cell r="C769" t="str">
            <v>승강기실 배기휀설치(벽식)</v>
          </cell>
          <cell r="D769" t="str">
            <v>1/12HP,62W이하</v>
          </cell>
          <cell r="E769" t="str">
            <v>대</v>
          </cell>
          <cell r="F769">
            <v>15</v>
          </cell>
          <cell r="G769">
            <v>84266</v>
          </cell>
          <cell r="H769">
            <v>19480</v>
          </cell>
          <cell r="I769">
            <v>390</v>
          </cell>
        </row>
        <row r="770">
          <cell r="A770" t="str">
            <v>A</v>
          </cell>
          <cell r="B770" t="str">
            <v>UMJ30315</v>
          </cell>
          <cell r="C770" t="str">
            <v>승강기실 배기휀설치(벽식)</v>
          </cell>
          <cell r="D770" t="str">
            <v>1/8HP,93W이하(530W x 530H)</v>
          </cell>
          <cell r="E770" t="str">
            <v>대</v>
          </cell>
          <cell r="F770">
            <v>4</v>
          </cell>
          <cell r="G770">
            <v>101771</v>
          </cell>
          <cell r="H770">
            <v>23376</v>
          </cell>
          <cell r="I770">
            <v>467</v>
          </cell>
        </row>
        <row r="771">
          <cell r="A771" t="str">
            <v>A</v>
          </cell>
          <cell r="B771" t="str">
            <v>UMJ34100</v>
          </cell>
          <cell r="C771" t="str">
            <v>배기휀설치(욕실용)(방화담파포함)</v>
          </cell>
          <cell r="D771" t="str">
            <v>15W이하, (담파 옹벽 설치)</v>
          </cell>
          <cell r="E771" t="str">
            <v>대</v>
          </cell>
          <cell r="F771">
            <v>438</v>
          </cell>
          <cell r="G771">
            <v>7963</v>
          </cell>
          <cell r="H771">
            <v>9705</v>
          </cell>
          <cell r="I771">
            <v>193</v>
          </cell>
        </row>
        <row r="772">
          <cell r="A772" t="str">
            <v>A</v>
          </cell>
          <cell r="B772" t="str">
            <v>UMJ34101</v>
          </cell>
          <cell r="C772" t="str">
            <v>배기휀설치(욕실용)(방화담파포함)</v>
          </cell>
          <cell r="D772" t="str">
            <v>15W이하, (담파 조적 설치)</v>
          </cell>
          <cell r="E772" t="str">
            <v>대</v>
          </cell>
          <cell r="F772">
            <v>442</v>
          </cell>
          <cell r="G772">
            <v>8018</v>
          </cell>
          <cell r="H772">
            <v>9807</v>
          </cell>
          <cell r="I772">
            <v>195</v>
          </cell>
        </row>
        <row r="773">
          <cell r="A773" t="str">
            <v>A</v>
          </cell>
          <cell r="B773" t="str">
            <v>UMJ34501</v>
          </cell>
          <cell r="C773" t="str">
            <v>레인지후드설치</v>
          </cell>
          <cell r="D773" t="str">
            <v>고급형</v>
          </cell>
          <cell r="E773" t="str">
            <v>대</v>
          </cell>
          <cell r="F773">
            <v>2</v>
          </cell>
          <cell r="G773">
            <v>39600</v>
          </cell>
          <cell r="H773">
            <v>5084</v>
          </cell>
          <cell r="I773">
            <v>102</v>
          </cell>
        </row>
        <row r="774">
          <cell r="A774" t="str">
            <v>A</v>
          </cell>
          <cell r="B774" t="str">
            <v>UMJ34503</v>
          </cell>
          <cell r="C774" t="str">
            <v>레인지후드설치(방화담파포함)</v>
          </cell>
          <cell r="D774" t="str">
            <v>슬림형, 담파옹벽설치</v>
          </cell>
          <cell r="E774" t="str">
            <v>대</v>
          </cell>
          <cell r="F774">
            <v>438</v>
          </cell>
          <cell r="G774">
            <v>41544</v>
          </cell>
          <cell r="H774">
            <v>9860</v>
          </cell>
          <cell r="I774">
            <v>197</v>
          </cell>
        </row>
        <row r="775">
          <cell r="A775" t="str">
            <v>A</v>
          </cell>
          <cell r="B775" t="str">
            <v>UMJ34505</v>
          </cell>
          <cell r="C775" t="str">
            <v>레인지후드설치(방화담파포함)</v>
          </cell>
          <cell r="D775" t="str">
            <v>슬림형, 담파조적벽설치</v>
          </cell>
          <cell r="E775" t="str">
            <v>대</v>
          </cell>
          <cell r="F775">
            <v>490</v>
          </cell>
          <cell r="G775">
            <v>41599</v>
          </cell>
          <cell r="H775">
            <v>9963</v>
          </cell>
          <cell r="I775">
            <v>199</v>
          </cell>
        </row>
        <row r="776">
          <cell r="A776" t="str">
            <v>A</v>
          </cell>
          <cell r="B776" t="str">
            <v>UMJ50322</v>
          </cell>
          <cell r="C776" t="str">
            <v>스파이럴덕트설치(AIR DUCT용)</v>
          </cell>
          <cell r="D776" t="str">
            <v>D125 MM</v>
          </cell>
          <cell r="E776" t="str">
            <v>M</v>
          </cell>
          <cell r="F776">
            <v>239.4</v>
          </cell>
          <cell r="G776">
            <v>7300</v>
          </cell>
          <cell r="H776">
            <v>6500</v>
          </cell>
          <cell r="I776">
            <v>100</v>
          </cell>
        </row>
        <row r="777">
          <cell r="A777" t="str">
            <v>A</v>
          </cell>
          <cell r="B777" t="str">
            <v>UMJ50323</v>
          </cell>
          <cell r="C777" t="str">
            <v>스파이럴덕트설치(AIR DUCT용)</v>
          </cell>
          <cell r="D777" t="str">
            <v>D150 MM</v>
          </cell>
          <cell r="E777" t="str">
            <v>M</v>
          </cell>
          <cell r="F777">
            <v>3396.8</v>
          </cell>
          <cell r="G777">
            <v>7700</v>
          </cell>
          <cell r="H777">
            <v>6500</v>
          </cell>
          <cell r="I777">
            <v>100</v>
          </cell>
        </row>
        <row r="778">
          <cell r="A778" t="str">
            <v>A</v>
          </cell>
          <cell r="B778" t="str">
            <v>UMJ50324</v>
          </cell>
          <cell r="C778" t="str">
            <v>스파이럴덕트설치(AIR DUCT용)</v>
          </cell>
          <cell r="D778" t="str">
            <v>D200 MM</v>
          </cell>
          <cell r="E778" t="str">
            <v>M</v>
          </cell>
          <cell r="F778">
            <v>2470.4</v>
          </cell>
          <cell r="G778">
            <v>8400</v>
          </cell>
          <cell r="H778">
            <v>8600</v>
          </cell>
          <cell r="I778">
            <v>200</v>
          </cell>
        </row>
        <row r="779">
          <cell r="A779" t="str">
            <v>A</v>
          </cell>
          <cell r="B779" t="str">
            <v>UMJ61620</v>
          </cell>
          <cell r="C779" t="str">
            <v>방화담파설치(조적벽)</v>
          </cell>
          <cell r="D779" t="str">
            <v>D100 MM</v>
          </cell>
          <cell r="E779" t="str">
            <v>개</v>
          </cell>
          <cell r="F779">
            <v>490</v>
          </cell>
          <cell r="G779">
            <v>1279</v>
          </cell>
          <cell r="H779">
            <v>4879</v>
          </cell>
          <cell r="I779">
            <v>97</v>
          </cell>
        </row>
        <row r="780">
          <cell r="A780" t="str">
            <v>A</v>
          </cell>
          <cell r="B780" t="str">
            <v>UMO21010</v>
          </cell>
          <cell r="C780" t="str">
            <v>앵글가대제작(광명단2회)</v>
          </cell>
          <cell r="D780" t="str">
            <v>50X50X6T</v>
          </cell>
          <cell r="E780" t="str">
            <v>M</v>
          </cell>
          <cell r="F780">
            <v>2322.9499999999998</v>
          </cell>
          <cell r="G780">
            <v>1200</v>
          </cell>
          <cell r="H780">
            <v>5100</v>
          </cell>
          <cell r="I780">
            <v>100</v>
          </cell>
        </row>
        <row r="781">
          <cell r="A781" t="str">
            <v>A</v>
          </cell>
          <cell r="B781" t="str">
            <v>UMO21012</v>
          </cell>
          <cell r="C781" t="str">
            <v>앵글가대제작(광명단1,유성2회)</v>
          </cell>
          <cell r="D781" t="str">
            <v>50X50X6T</v>
          </cell>
          <cell r="E781" t="str">
            <v>M</v>
          </cell>
          <cell r="F781">
            <v>359.04</v>
          </cell>
          <cell r="G781">
            <v>1300</v>
          </cell>
          <cell r="H781">
            <v>5500</v>
          </cell>
          <cell r="I781">
            <v>100</v>
          </cell>
        </row>
        <row r="782">
          <cell r="A782" t="str">
            <v>A</v>
          </cell>
          <cell r="B782" t="str">
            <v>UMO21020</v>
          </cell>
          <cell r="C782" t="str">
            <v>찬넬가대제작(광명단1,유성2회)</v>
          </cell>
          <cell r="D782" t="str">
            <v>100X50X5T</v>
          </cell>
          <cell r="E782" t="str">
            <v>M</v>
          </cell>
          <cell r="F782">
            <v>165.2</v>
          </cell>
          <cell r="G782">
            <v>3100</v>
          </cell>
          <cell r="H782">
            <v>11400</v>
          </cell>
          <cell r="I782">
            <v>200</v>
          </cell>
        </row>
        <row r="783">
          <cell r="A783" t="str">
            <v>A</v>
          </cell>
          <cell r="B783" t="str">
            <v>UMO28501</v>
          </cell>
          <cell r="C783" t="str">
            <v>인서트플레이트(ST)</v>
          </cell>
          <cell r="D783" t="str">
            <v>150X150X6T</v>
          </cell>
          <cell r="E783" t="str">
            <v>개</v>
          </cell>
          <cell r="F783">
            <v>484</v>
          </cell>
          <cell r="G783">
            <v>1419</v>
          </cell>
          <cell r="H783">
            <v>636</v>
          </cell>
          <cell r="I783">
            <v>12</v>
          </cell>
        </row>
        <row r="784">
          <cell r="A784" t="str">
            <v>A</v>
          </cell>
          <cell r="B784" t="str">
            <v>UMO31155</v>
          </cell>
          <cell r="C784" t="str">
            <v>스리브강관제작(200H)</v>
          </cell>
          <cell r="D784" t="str">
            <v>D50 M/M</v>
          </cell>
          <cell r="E784" t="str">
            <v>개소</v>
          </cell>
          <cell r="F784">
            <v>408</v>
          </cell>
          <cell r="G784">
            <v>492</v>
          </cell>
          <cell r="H784">
            <v>1321</v>
          </cell>
          <cell r="I784">
            <v>26</v>
          </cell>
        </row>
        <row r="785">
          <cell r="A785" t="str">
            <v>A</v>
          </cell>
          <cell r="B785" t="str">
            <v>UMO31157</v>
          </cell>
          <cell r="C785" t="str">
            <v>스리브강관제작(200H)</v>
          </cell>
          <cell r="D785" t="str">
            <v>D65 M/M</v>
          </cell>
          <cell r="E785" t="str">
            <v>개소</v>
          </cell>
          <cell r="F785">
            <v>565</v>
          </cell>
          <cell r="G785">
            <v>637</v>
          </cell>
          <cell r="H785">
            <v>1841</v>
          </cell>
          <cell r="I785">
            <v>36</v>
          </cell>
        </row>
        <row r="786">
          <cell r="A786" t="str">
            <v>A</v>
          </cell>
          <cell r="B786" t="str">
            <v>UMO31160</v>
          </cell>
          <cell r="C786" t="str">
            <v>스리브강관제작(200H)</v>
          </cell>
          <cell r="D786" t="str">
            <v>D100 M/M</v>
          </cell>
          <cell r="E786" t="str">
            <v>개소</v>
          </cell>
          <cell r="F786">
            <v>94</v>
          </cell>
          <cell r="G786">
            <v>1159</v>
          </cell>
          <cell r="H786">
            <v>3154</v>
          </cell>
          <cell r="I786">
            <v>62</v>
          </cell>
        </row>
        <row r="787">
          <cell r="A787" t="str">
            <v>A</v>
          </cell>
          <cell r="B787" t="str">
            <v>UMO31161</v>
          </cell>
          <cell r="C787" t="str">
            <v>스리브강관제작(200H)</v>
          </cell>
          <cell r="D787" t="str">
            <v>D125 M/M</v>
          </cell>
          <cell r="E787" t="str">
            <v>개소</v>
          </cell>
          <cell r="F787">
            <v>422</v>
          </cell>
          <cell r="G787">
            <v>1585</v>
          </cell>
          <cell r="H787">
            <v>3941</v>
          </cell>
          <cell r="I787">
            <v>78</v>
          </cell>
        </row>
        <row r="788">
          <cell r="A788" t="str">
            <v>A</v>
          </cell>
          <cell r="B788" t="str">
            <v>UMO31163</v>
          </cell>
          <cell r="C788" t="str">
            <v>스리브강관제작(200H)</v>
          </cell>
          <cell r="D788" t="str">
            <v>D150 M/M</v>
          </cell>
          <cell r="E788" t="str">
            <v>개소</v>
          </cell>
          <cell r="F788">
            <v>16</v>
          </cell>
          <cell r="G788">
            <v>1901</v>
          </cell>
          <cell r="H788">
            <v>4832</v>
          </cell>
          <cell r="I788">
            <v>96</v>
          </cell>
        </row>
        <row r="789">
          <cell r="A789" t="str">
            <v>A</v>
          </cell>
          <cell r="B789" t="str">
            <v>UMO31164</v>
          </cell>
          <cell r="C789" t="str">
            <v>스리브강관제작(300H)</v>
          </cell>
          <cell r="D789" t="str">
            <v>D200 M/M</v>
          </cell>
          <cell r="E789" t="str">
            <v>개소</v>
          </cell>
          <cell r="F789">
            <v>6</v>
          </cell>
          <cell r="G789">
            <v>4544</v>
          </cell>
          <cell r="H789">
            <v>17146</v>
          </cell>
          <cell r="I789">
            <v>341</v>
          </cell>
        </row>
        <row r="790">
          <cell r="A790" t="str">
            <v>A</v>
          </cell>
          <cell r="B790" t="str">
            <v>UMO31705</v>
          </cell>
          <cell r="C790" t="str">
            <v>지수판스리브강관제작</v>
          </cell>
          <cell r="D790" t="str">
            <v>D65 M/M</v>
          </cell>
          <cell r="E790" t="str">
            <v>개소</v>
          </cell>
          <cell r="F790">
            <v>17</v>
          </cell>
          <cell r="G790">
            <v>1351</v>
          </cell>
          <cell r="H790">
            <v>7499</v>
          </cell>
          <cell r="I790">
            <v>148</v>
          </cell>
        </row>
        <row r="791">
          <cell r="A791" t="str">
            <v>A</v>
          </cell>
          <cell r="B791" t="str">
            <v>UMO31707</v>
          </cell>
          <cell r="C791" t="str">
            <v>지수판스리브강관제작</v>
          </cell>
          <cell r="D791" t="str">
            <v>D100 M/M</v>
          </cell>
          <cell r="E791" t="str">
            <v>개소</v>
          </cell>
          <cell r="F791">
            <v>2</v>
          </cell>
          <cell r="G791">
            <v>2201</v>
          </cell>
          <cell r="H791">
            <v>9294</v>
          </cell>
          <cell r="I791">
            <v>184</v>
          </cell>
        </row>
        <row r="792">
          <cell r="A792" t="str">
            <v>A</v>
          </cell>
          <cell r="B792" t="str">
            <v>UMO31708</v>
          </cell>
          <cell r="C792" t="str">
            <v>지수판스리브강관제작</v>
          </cell>
          <cell r="D792" t="str">
            <v>D125 M/M</v>
          </cell>
          <cell r="E792" t="str">
            <v>개소</v>
          </cell>
          <cell r="F792">
            <v>7</v>
          </cell>
          <cell r="G792">
            <v>2802</v>
          </cell>
          <cell r="H792">
            <v>11083</v>
          </cell>
          <cell r="I792">
            <v>220</v>
          </cell>
        </row>
        <row r="793">
          <cell r="A793" t="str">
            <v>A</v>
          </cell>
          <cell r="B793" t="str">
            <v>UMO31709</v>
          </cell>
          <cell r="C793" t="str">
            <v>지수판스리브강관제작</v>
          </cell>
          <cell r="D793" t="str">
            <v>D150 M/M</v>
          </cell>
          <cell r="E793" t="str">
            <v>개소</v>
          </cell>
          <cell r="F793">
            <v>31</v>
          </cell>
          <cell r="G793">
            <v>3688</v>
          </cell>
          <cell r="H793">
            <v>13960</v>
          </cell>
          <cell r="I793">
            <v>277</v>
          </cell>
        </row>
        <row r="794">
          <cell r="A794" t="str">
            <v>A</v>
          </cell>
          <cell r="B794" t="str">
            <v>UMO31710</v>
          </cell>
          <cell r="C794" t="str">
            <v>지수판스리브강관제작</v>
          </cell>
          <cell r="D794" t="str">
            <v>D200 M/M</v>
          </cell>
          <cell r="E794" t="str">
            <v>개소</v>
          </cell>
          <cell r="F794">
            <v>20</v>
          </cell>
          <cell r="G794">
            <v>5507</v>
          </cell>
          <cell r="H794">
            <v>19238</v>
          </cell>
          <cell r="I794">
            <v>383</v>
          </cell>
        </row>
        <row r="795">
          <cell r="A795" t="str">
            <v>A</v>
          </cell>
          <cell r="B795" t="str">
            <v>UMO31711</v>
          </cell>
          <cell r="C795" t="str">
            <v>지수판스리브강관제작</v>
          </cell>
          <cell r="D795" t="str">
            <v>D250 M/M</v>
          </cell>
          <cell r="E795" t="str">
            <v>개소</v>
          </cell>
          <cell r="F795">
            <v>2</v>
          </cell>
          <cell r="G795">
            <v>6985</v>
          </cell>
          <cell r="H795">
            <v>23666</v>
          </cell>
          <cell r="I795">
            <v>471</v>
          </cell>
        </row>
        <row r="796">
          <cell r="A796" t="str">
            <v>A</v>
          </cell>
          <cell r="B796" t="str">
            <v>UMO33300</v>
          </cell>
          <cell r="C796" t="str">
            <v>가스스리브설치(옹벽, PVC)</v>
          </cell>
          <cell r="D796" t="str">
            <v>D35 X 300L</v>
          </cell>
          <cell r="E796" t="str">
            <v>개소</v>
          </cell>
          <cell r="F796">
            <v>786</v>
          </cell>
          <cell r="G796">
            <v>133</v>
          </cell>
          <cell r="H796">
            <v>672</v>
          </cell>
          <cell r="I796">
            <v>13</v>
          </cell>
        </row>
        <row r="797">
          <cell r="A797" t="str">
            <v>A</v>
          </cell>
          <cell r="B797" t="str">
            <v>UMO33310</v>
          </cell>
          <cell r="C797" t="str">
            <v>가스스리브설치 및 석고판 천공</v>
          </cell>
          <cell r="D797" t="str">
            <v>(세대인입용)</v>
          </cell>
          <cell r="E797" t="str">
            <v>개소</v>
          </cell>
          <cell r="F797">
            <v>1418</v>
          </cell>
          <cell r="G797">
            <v>133</v>
          </cell>
          <cell r="H797">
            <v>1513</v>
          </cell>
          <cell r="I797">
            <v>30</v>
          </cell>
        </row>
        <row r="798">
          <cell r="A798" t="str">
            <v>A</v>
          </cell>
          <cell r="B798" t="str">
            <v>UMO33903</v>
          </cell>
          <cell r="C798" t="str">
            <v>세면기용 거푸집설치(옹벽)</v>
          </cell>
          <cell r="D798" t="str">
            <v>15회</v>
          </cell>
          <cell r="E798" t="str">
            <v>개소</v>
          </cell>
          <cell r="F798">
            <v>348</v>
          </cell>
          <cell r="G798">
            <v>139</v>
          </cell>
          <cell r="H798">
            <v>249</v>
          </cell>
          <cell r="I798">
            <v>4</v>
          </cell>
        </row>
        <row r="799">
          <cell r="A799" t="str">
            <v>A</v>
          </cell>
          <cell r="B799" t="str">
            <v>UMO42111</v>
          </cell>
          <cell r="C799" t="str">
            <v>발코니바닥배수트랩설치(통합형)(세탁)</v>
          </cell>
          <cell r="D799" t="str">
            <v>D50 x 200 x 300</v>
          </cell>
          <cell r="E799" t="str">
            <v>개소</v>
          </cell>
          <cell r="F799">
            <v>128</v>
          </cell>
          <cell r="G799">
            <v>9360</v>
          </cell>
          <cell r="H799">
            <v>7394</v>
          </cell>
          <cell r="I799">
            <v>148</v>
          </cell>
        </row>
        <row r="800">
          <cell r="A800" t="str">
            <v>A</v>
          </cell>
          <cell r="B800" t="str">
            <v>UMO42113</v>
          </cell>
          <cell r="C800" t="str">
            <v>발코니바닥배수트랩설치(통합형)(세탁)</v>
          </cell>
          <cell r="D800" t="str">
            <v>D75 x 200 x 300</v>
          </cell>
          <cell r="E800" t="str">
            <v>개소</v>
          </cell>
          <cell r="F800">
            <v>800</v>
          </cell>
          <cell r="G800">
            <v>9720</v>
          </cell>
          <cell r="H800">
            <v>7394</v>
          </cell>
          <cell r="I800">
            <v>148</v>
          </cell>
        </row>
        <row r="801">
          <cell r="A801" t="str">
            <v>A</v>
          </cell>
          <cell r="B801" t="str">
            <v>UMO42151</v>
          </cell>
          <cell r="C801" t="str">
            <v>발코니바닥배수트랩설치(통합형)(일반)</v>
          </cell>
          <cell r="D801" t="str">
            <v>D50 x 200 x 300</v>
          </cell>
          <cell r="E801" t="str">
            <v>개소</v>
          </cell>
          <cell r="F801">
            <v>438</v>
          </cell>
          <cell r="G801">
            <v>8640</v>
          </cell>
          <cell r="H801">
            <v>7394</v>
          </cell>
          <cell r="I801">
            <v>148</v>
          </cell>
        </row>
        <row r="802">
          <cell r="A802" t="str">
            <v>A</v>
          </cell>
          <cell r="B802" t="str">
            <v>UMO42193</v>
          </cell>
          <cell r="C802" t="str">
            <v>욕실배수 트렌치트랩 설치(스텐)</v>
          </cell>
          <cell r="D802" t="str">
            <v>D50 x70W x 1200L</v>
          </cell>
          <cell r="E802" t="str">
            <v>개소</v>
          </cell>
          <cell r="F802">
            <v>2</v>
          </cell>
          <cell r="G802">
            <v>24300</v>
          </cell>
          <cell r="H802">
            <v>7394</v>
          </cell>
          <cell r="I802">
            <v>148</v>
          </cell>
        </row>
        <row r="803">
          <cell r="A803" t="str">
            <v>A</v>
          </cell>
          <cell r="B803" t="str">
            <v>UMO42303</v>
          </cell>
          <cell r="C803" t="str">
            <v>욕실 배수트랩 설치(스텐)</v>
          </cell>
          <cell r="D803" t="str">
            <v>D50 x 200 x 200</v>
          </cell>
          <cell r="E803" t="str">
            <v>개소</v>
          </cell>
          <cell r="F803">
            <v>881</v>
          </cell>
          <cell r="G803">
            <v>8640</v>
          </cell>
          <cell r="H803">
            <v>7394</v>
          </cell>
          <cell r="I803">
            <v>148</v>
          </cell>
        </row>
        <row r="804">
          <cell r="C804" t="str">
            <v>소  계</v>
          </cell>
        </row>
        <row r="806">
          <cell r="C806" t="str">
            <v>*  난방공사</v>
          </cell>
        </row>
        <row r="807">
          <cell r="A807" t="str">
            <v>A</v>
          </cell>
          <cell r="B807" t="str">
            <v>MGF11251</v>
          </cell>
          <cell r="C807" t="str">
            <v>행가지지봉</v>
          </cell>
          <cell r="D807" t="str">
            <v>9MM(3/8")</v>
          </cell>
          <cell r="E807" t="str">
            <v>M</v>
          </cell>
          <cell r="F807">
            <v>208</v>
          </cell>
          <cell r="G807">
            <v>225</v>
          </cell>
          <cell r="H807">
            <v>0</v>
          </cell>
          <cell r="I807">
            <v>0</v>
          </cell>
        </row>
        <row r="808">
          <cell r="A808" t="str">
            <v>A</v>
          </cell>
          <cell r="B808" t="str">
            <v>MGF30505</v>
          </cell>
          <cell r="C808" t="str">
            <v>인서트</v>
          </cell>
          <cell r="D808" t="str">
            <v>D9</v>
          </cell>
          <cell r="E808" t="str">
            <v>개</v>
          </cell>
          <cell r="F808">
            <v>416</v>
          </cell>
          <cell r="G808">
            <v>26</v>
          </cell>
          <cell r="H808">
            <v>0</v>
          </cell>
          <cell r="I808">
            <v>0</v>
          </cell>
        </row>
        <row r="809">
          <cell r="A809" t="str">
            <v>A</v>
          </cell>
          <cell r="B809" t="str">
            <v>MMB40105</v>
          </cell>
          <cell r="C809" t="str">
            <v>동 엘보</v>
          </cell>
          <cell r="D809" t="str">
            <v>D15 MM</v>
          </cell>
          <cell r="E809" t="str">
            <v>개</v>
          </cell>
          <cell r="F809">
            <v>392</v>
          </cell>
          <cell r="G809">
            <v>112</v>
          </cell>
          <cell r="H809">
            <v>0</v>
          </cell>
          <cell r="I809">
            <v>0</v>
          </cell>
        </row>
        <row r="810">
          <cell r="A810" t="str">
            <v>A</v>
          </cell>
          <cell r="B810" t="str">
            <v>MMB40107</v>
          </cell>
          <cell r="C810" t="str">
            <v>동 엘보</v>
          </cell>
          <cell r="D810" t="str">
            <v>D20 MM</v>
          </cell>
          <cell r="E810" t="str">
            <v>개</v>
          </cell>
          <cell r="F810">
            <v>2125</v>
          </cell>
          <cell r="G810">
            <v>228</v>
          </cell>
          <cell r="H810">
            <v>0</v>
          </cell>
          <cell r="I810">
            <v>0</v>
          </cell>
        </row>
        <row r="811">
          <cell r="A811" t="str">
            <v>A</v>
          </cell>
          <cell r="B811" t="str">
            <v>MMB40108</v>
          </cell>
          <cell r="C811" t="str">
            <v>동 엘보</v>
          </cell>
          <cell r="D811" t="str">
            <v>D25 MM</v>
          </cell>
          <cell r="E811" t="str">
            <v>개</v>
          </cell>
          <cell r="F811">
            <v>57</v>
          </cell>
          <cell r="G811">
            <v>395</v>
          </cell>
          <cell r="H811">
            <v>0</v>
          </cell>
          <cell r="I811">
            <v>0</v>
          </cell>
        </row>
        <row r="812">
          <cell r="A812" t="str">
            <v>A</v>
          </cell>
          <cell r="B812" t="str">
            <v>MMB40207</v>
          </cell>
          <cell r="C812" t="str">
            <v>동 티</v>
          </cell>
          <cell r="D812" t="str">
            <v>D20 MM</v>
          </cell>
          <cell r="E812" t="str">
            <v>개</v>
          </cell>
          <cell r="F812">
            <v>68</v>
          </cell>
          <cell r="G812">
            <v>359</v>
          </cell>
          <cell r="H812">
            <v>0</v>
          </cell>
          <cell r="I812">
            <v>0</v>
          </cell>
        </row>
        <row r="813">
          <cell r="A813" t="str">
            <v>A</v>
          </cell>
          <cell r="B813" t="str">
            <v>MMB40208</v>
          </cell>
          <cell r="C813" t="str">
            <v>동 티</v>
          </cell>
          <cell r="D813" t="str">
            <v>D25 MM</v>
          </cell>
          <cell r="E813" t="str">
            <v>개</v>
          </cell>
          <cell r="F813">
            <v>58</v>
          </cell>
          <cell r="G813">
            <v>553</v>
          </cell>
          <cell r="H813">
            <v>0</v>
          </cell>
          <cell r="I813">
            <v>0</v>
          </cell>
        </row>
        <row r="814">
          <cell r="A814" t="str">
            <v>A</v>
          </cell>
          <cell r="B814" t="str">
            <v>MMB40308</v>
          </cell>
          <cell r="C814" t="str">
            <v>동 레듀샤</v>
          </cell>
          <cell r="D814" t="str">
            <v>D25 MM</v>
          </cell>
          <cell r="E814" t="str">
            <v>개</v>
          </cell>
          <cell r="F814">
            <v>24</v>
          </cell>
          <cell r="G814">
            <v>212</v>
          </cell>
          <cell r="H814">
            <v>0</v>
          </cell>
          <cell r="I814">
            <v>0</v>
          </cell>
        </row>
        <row r="815">
          <cell r="A815" t="str">
            <v>A</v>
          </cell>
          <cell r="B815" t="str">
            <v>MMB40405</v>
          </cell>
          <cell r="C815" t="str">
            <v>동 소켓</v>
          </cell>
          <cell r="D815" t="str">
            <v>D15 MM</v>
          </cell>
          <cell r="E815" t="str">
            <v>개</v>
          </cell>
          <cell r="F815">
            <v>48</v>
          </cell>
          <cell r="G815">
            <v>73</v>
          </cell>
          <cell r="H815">
            <v>0</v>
          </cell>
          <cell r="I815">
            <v>0</v>
          </cell>
        </row>
        <row r="816">
          <cell r="A816" t="str">
            <v>A</v>
          </cell>
          <cell r="B816" t="str">
            <v>MMB40407</v>
          </cell>
          <cell r="C816" t="str">
            <v>동 소켓</v>
          </cell>
          <cell r="D816" t="str">
            <v>D20 MM</v>
          </cell>
          <cell r="E816" t="str">
            <v>개</v>
          </cell>
          <cell r="F816">
            <v>1677</v>
          </cell>
          <cell r="G816">
            <v>110</v>
          </cell>
          <cell r="H816">
            <v>0</v>
          </cell>
          <cell r="I816">
            <v>0</v>
          </cell>
        </row>
        <row r="817">
          <cell r="A817" t="str">
            <v>A</v>
          </cell>
          <cell r="B817" t="str">
            <v>MMB40408</v>
          </cell>
          <cell r="C817" t="str">
            <v>동 소켓</v>
          </cell>
          <cell r="D817" t="str">
            <v>D25 MM</v>
          </cell>
          <cell r="E817" t="str">
            <v>개</v>
          </cell>
          <cell r="F817">
            <v>1</v>
          </cell>
          <cell r="G817">
            <v>166</v>
          </cell>
          <cell r="H817">
            <v>0</v>
          </cell>
          <cell r="I817">
            <v>0</v>
          </cell>
        </row>
        <row r="818">
          <cell r="A818" t="str">
            <v>A</v>
          </cell>
          <cell r="B818" t="str">
            <v>MMB40507</v>
          </cell>
          <cell r="C818" t="str">
            <v>동 캡</v>
          </cell>
          <cell r="D818" t="str">
            <v>D20 MM</v>
          </cell>
          <cell r="E818" t="str">
            <v>개</v>
          </cell>
          <cell r="F818">
            <v>12</v>
          </cell>
          <cell r="G818">
            <v>133</v>
          </cell>
          <cell r="H818">
            <v>0</v>
          </cell>
          <cell r="I818">
            <v>0</v>
          </cell>
        </row>
        <row r="819">
          <cell r="A819" t="str">
            <v>A</v>
          </cell>
          <cell r="B819" t="str">
            <v>MMB50105</v>
          </cell>
          <cell r="C819" t="str">
            <v>CM아답타</v>
          </cell>
          <cell r="D819" t="str">
            <v>D15 MM</v>
          </cell>
          <cell r="E819" t="str">
            <v>개</v>
          </cell>
          <cell r="F819">
            <v>176</v>
          </cell>
          <cell r="G819">
            <v>176</v>
          </cell>
          <cell r="H819">
            <v>0</v>
          </cell>
          <cell r="I819">
            <v>0</v>
          </cell>
        </row>
        <row r="820">
          <cell r="A820" t="str">
            <v>A</v>
          </cell>
          <cell r="B820" t="str">
            <v>MMB50107</v>
          </cell>
          <cell r="C820" t="str">
            <v>CM아답타</v>
          </cell>
          <cell r="D820" t="str">
            <v>D20 MM</v>
          </cell>
          <cell r="E820" t="str">
            <v>개</v>
          </cell>
          <cell r="F820">
            <v>8</v>
          </cell>
          <cell r="G820">
            <v>351</v>
          </cell>
          <cell r="H820">
            <v>0</v>
          </cell>
          <cell r="I820">
            <v>0</v>
          </cell>
        </row>
        <row r="821">
          <cell r="A821" t="str">
            <v>A</v>
          </cell>
          <cell r="B821" t="str">
            <v>MMB50507</v>
          </cell>
          <cell r="C821" t="str">
            <v>CM유니온</v>
          </cell>
          <cell r="D821" t="str">
            <v>D20 MM</v>
          </cell>
          <cell r="E821" t="str">
            <v>개</v>
          </cell>
          <cell r="F821">
            <v>1872</v>
          </cell>
          <cell r="G821">
            <v>1248</v>
          </cell>
          <cell r="H821">
            <v>0</v>
          </cell>
          <cell r="I821">
            <v>0</v>
          </cell>
        </row>
        <row r="822">
          <cell r="A822" t="str">
            <v>A</v>
          </cell>
          <cell r="B822" t="str">
            <v>MMB50508</v>
          </cell>
          <cell r="C822" t="str">
            <v>CM유니온</v>
          </cell>
          <cell r="D822" t="str">
            <v>D25 MM</v>
          </cell>
          <cell r="E822" t="str">
            <v>개</v>
          </cell>
          <cell r="F822">
            <v>12</v>
          </cell>
          <cell r="G822">
            <v>2229</v>
          </cell>
          <cell r="H822">
            <v>0</v>
          </cell>
          <cell r="I822">
            <v>0</v>
          </cell>
        </row>
        <row r="823">
          <cell r="A823" t="str">
            <v>A</v>
          </cell>
          <cell r="B823" t="str">
            <v>MMC71505</v>
          </cell>
          <cell r="C823" t="str">
            <v>XL용 땜엘보</v>
          </cell>
          <cell r="D823" t="str">
            <v>D15 MM</v>
          </cell>
          <cell r="E823" t="str">
            <v>개</v>
          </cell>
          <cell r="F823">
            <v>1190</v>
          </cell>
          <cell r="G823">
            <v>685</v>
          </cell>
          <cell r="H823">
            <v>0</v>
          </cell>
          <cell r="I823">
            <v>0</v>
          </cell>
        </row>
        <row r="824">
          <cell r="A824" t="str">
            <v>A</v>
          </cell>
          <cell r="B824" t="str">
            <v>MMC71602</v>
          </cell>
          <cell r="C824" t="str">
            <v>U핀</v>
          </cell>
          <cell r="D824" t="str">
            <v>D15 MM</v>
          </cell>
          <cell r="E824" t="str">
            <v>개</v>
          </cell>
          <cell r="F824">
            <v>483503</v>
          </cell>
          <cell r="G824">
            <v>6</v>
          </cell>
          <cell r="H824">
            <v>0</v>
          </cell>
          <cell r="I824">
            <v>0</v>
          </cell>
        </row>
        <row r="825">
          <cell r="A825" t="str">
            <v>A</v>
          </cell>
          <cell r="B825" t="str">
            <v>MMO10505</v>
          </cell>
          <cell r="C825" t="str">
            <v>절연 행가</v>
          </cell>
          <cell r="D825" t="str">
            <v>D15 MM</v>
          </cell>
          <cell r="E825" t="str">
            <v>개</v>
          </cell>
          <cell r="F825">
            <v>88</v>
          </cell>
          <cell r="G825">
            <v>360</v>
          </cell>
          <cell r="H825">
            <v>0</v>
          </cell>
          <cell r="I825">
            <v>0</v>
          </cell>
        </row>
        <row r="826">
          <cell r="A826" t="str">
            <v>A</v>
          </cell>
          <cell r="B826" t="str">
            <v>MMO10507</v>
          </cell>
          <cell r="C826" t="str">
            <v>절연 행가</v>
          </cell>
          <cell r="D826" t="str">
            <v>D20 MM</v>
          </cell>
          <cell r="E826" t="str">
            <v>개</v>
          </cell>
          <cell r="F826">
            <v>191</v>
          </cell>
          <cell r="G826">
            <v>396</v>
          </cell>
          <cell r="H826">
            <v>0</v>
          </cell>
          <cell r="I826">
            <v>0</v>
          </cell>
        </row>
        <row r="827">
          <cell r="A827" t="str">
            <v>A</v>
          </cell>
          <cell r="B827" t="str">
            <v>MMO10508</v>
          </cell>
          <cell r="C827" t="str">
            <v>절연 행가</v>
          </cell>
          <cell r="D827" t="str">
            <v>D25 MM</v>
          </cell>
          <cell r="E827" t="str">
            <v>개</v>
          </cell>
          <cell r="F827">
            <v>137</v>
          </cell>
          <cell r="G827">
            <v>432</v>
          </cell>
          <cell r="H827">
            <v>0</v>
          </cell>
          <cell r="I827">
            <v>0</v>
          </cell>
        </row>
        <row r="828">
          <cell r="A828" t="str">
            <v>A</v>
          </cell>
          <cell r="B828" t="str">
            <v>MMO22505</v>
          </cell>
          <cell r="C828" t="str">
            <v>유니온 엘보</v>
          </cell>
          <cell r="D828" t="str">
            <v>D15 MM</v>
          </cell>
          <cell r="E828" t="str">
            <v>개</v>
          </cell>
          <cell r="F828">
            <v>1296</v>
          </cell>
          <cell r="G828">
            <v>792</v>
          </cell>
          <cell r="H828">
            <v>0</v>
          </cell>
          <cell r="I828">
            <v>0</v>
          </cell>
        </row>
        <row r="829">
          <cell r="A829" t="str">
            <v>A</v>
          </cell>
          <cell r="B829" t="str">
            <v>MMO31207</v>
          </cell>
          <cell r="C829" t="str">
            <v>스리브(PVC제)</v>
          </cell>
          <cell r="D829" t="str">
            <v>D20 MM</v>
          </cell>
          <cell r="E829" t="str">
            <v>M</v>
          </cell>
          <cell r="F829">
            <v>1709.61</v>
          </cell>
          <cell r="G829">
            <v>200</v>
          </cell>
          <cell r="H829">
            <v>0</v>
          </cell>
          <cell r="I829">
            <v>0</v>
          </cell>
        </row>
        <row r="830">
          <cell r="A830" t="str">
            <v>A</v>
          </cell>
          <cell r="B830" t="str">
            <v>MMO31208</v>
          </cell>
          <cell r="C830" t="str">
            <v>스리브(PVC제)</v>
          </cell>
          <cell r="D830" t="str">
            <v>D25 MM</v>
          </cell>
          <cell r="E830" t="str">
            <v>M</v>
          </cell>
          <cell r="F830">
            <v>35.28</v>
          </cell>
          <cell r="G830">
            <v>300</v>
          </cell>
          <cell r="H830">
            <v>0</v>
          </cell>
          <cell r="I830">
            <v>0</v>
          </cell>
        </row>
        <row r="831">
          <cell r="A831" t="str">
            <v>A</v>
          </cell>
          <cell r="B831" t="str">
            <v>MMO31211</v>
          </cell>
          <cell r="C831" t="str">
            <v>스리브(PVC제)</v>
          </cell>
          <cell r="D831" t="str">
            <v>D35 MM</v>
          </cell>
          <cell r="E831" t="str">
            <v>M</v>
          </cell>
          <cell r="F831">
            <v>449.4</v>
          </cell>
          <cell r="G831">
            <v>400</v>
          </cell>
          <cell r="H831">
            <v>0</v>
          </cell>
          <cell r="I831">
            <v>0</v>
          </cell>
        </row>
        <row r="832">
          <cell r="A832" t="str">
            <v>A</v>
          </cell>
          <cell r="B832" t="str">
            <v>MMO31220</v>
          </cell>
          <cell r="C832" t="str">
            <v>스리브(PVC제)</v>
          </cell>
          <cell r="D832" t="str">
            <v>D125 MM</v>
          </cell>
          <cell r="E832" t="str">
            <v>M</v>
          </cell>
          <cell r="F832">
            <v>115.52</v>
          </cell>
          <cell r="G832">
            <v>3700</v>
          </cell>
          <cell r="H832">
            <v>0</v>
          </cell>
          <cell r="I832">
            <v>0</v>
          </cell>
        </row>
        <row r="833">
          <cell r="A833" t="str">
            <v>A</v>
          </cell>
          <cell r="B833" t="str">
            <v>MMO31611</v>
          </cell>
          <cell r="C833" t="str">
            <v>방열기용 스리브(S형)</v>
          </cell>
          <cell r="D833" t="str">
            <v>D25(28) x 150 - 200MM</v>
          </cell>
          <cell r="E833" t="str">
            <v>개</v>
          </cell>
          <cell r="F833">
            <v>1190</v>
          </cell>
          <cell r="G833">
            <v>490</v>
          </cell>
          <cell r="H833">
            <v>0</v>
          </cell>
          <cell r="I833">
            <v>0</v>
          </cell>
        </row>
        <row r="834">
          <cell r="A834" t="str">
            <v>A</v>
          </cell>
          <cell r="B834" t="str">
            <v>MMZ52115</v>
          </cell>
          <cell r="C834" t="str">
            <v>난방구획도</v>
          </cell>
          <cell r="D834" t="str">
            <v>210x150mm</v>
          </cell>
          <cell r="E834" t="str">
            <v>개</v>
          </cell>
          <cell r="F834">
            <v>932</v>
          </cell>
          <cell r="G834">
            <v>166</v>
          </cell>
          <cell r="H834">
            <v>0</v>
          </cell>
          <cell r="I834">
            <v>0</v>
          </cell>
        </row>
        <row r="835">
          <cell r="A835" t="str">
            <v>A</v>
          </cell>
          <cell r="B835" t="str">
            <v>MMZ80100</v>
          </cell>
          <cell r="C835" t="str">
            <v>세척용 수도료(하수요금포함)</v>
          </cell>
          <cell r="D835" t="str">
            <v>가정용</v>
          </cell>
          <cell r="E835" t="str">
            <v>M3</v>
          </cell>
          <cell r="F835">
            <v>1392</v>
          </cell>
          <cell r="G835">
            <v>855</v>
          </cell>
          <cell r="H835">
            <v>0</v>
          </cell>
          <cell r="I835">
            <v>0</v>
          </cell>
        </row>
        <row r="836">
          <cell r="A836" t="str">
            <v>A</v>
          </cell>
          <cell r="B836" t="str">
            <v>UAS80050</v>
          </cell>
          <cell r="C836" t="str">
            <v>와이어메쉬 깔기</v>
          </cell>
          <cell r="E836" t="str">
            <v>M2</v>
          </cell>
          <cell r="F836">
            <v>42</v>
          </cell>
          <cell r="G836">
            <v>600</v>
          </cell>
          <cell r="H836">
            <v>300</v>
          </cell>
          <cell r="I836">
            <v>0</v>
          </cell>
        </row>
        <row r="837">
          <cell r="A837" t="str">
            <v>A</v>
          </cell>
          <cell r="B837" t="str">
            <v>UEA04160</v>
          </cell>
          <cell r="C837" t="str">
            <v>합성수지제가요전선관</v>
          </cell>
          <cell r="D837" t="str">
            <v>CD 16MM</v>
          </cell>
          <cell r="E837" t="str">
            <v>M</v>
          </cell>
          <cell r="F837">
            <v>6518.32</v>
          </cell>
          <cell r="G837">
            <v>100</v>
          </cell>
          <cell r="H837">
            <v>1000</v>
          </cell>
          <cell r="I837">
            <v>0</v>
          </cell>
        </row>
        <row r="838">
          <cell r="A838" t="str">
            <v>A</v>
          </cell>
          <cell r="B838" t="str">
            <v>UEH01080</v>
          </cell>
          <cell r="C838" t="str">
            <v>조인트박스설치(카바부)</v>
          </cell>
          <cell r="D838" t="str">
            <v>100X60X40</v>
          </cell>
          <cell r="E838" t="str">
            <v>식</v>
          </cell>
          <cell r="F838">
            <v>934</v>
          </cell>
          <cell r="G838">
            <v>353</v>
          </cell>
          <cell r="H838">
            <v>4259</v>
          </cell>
          <cell r="I838">
            <v>85</v>
          </cell>
        </row>
        <row r="839">
          <cell r="A839" t="str">
            <v>A</v>
          </cell>
          <cell r="B839" t="str">
            <v>UMA52305</v>
          </cell>
          <cell r="C839" t="str">
            <v>동관 옥내 배관</v>
          </cell>
          <cell r="D839" t="str">
            <v>D15 MM,  (M TYPE)</v>
          </cell>
          <cell r="E839" t="str">
            <v>M</v>
          </cell>
          <cell r="F839">
            <v>881.6</v>
          </cell>
          <cell r="G839">
            <v>700</v>
          </cell>
          <cell r="H839">
            <v>1600</v>
          </cell>
          <cell r="I839">
            <v>0</v>
          </cell>
        </row>
        <row r="840">
          <cell r="A840" t="str">
            <v>A</v>
          </cell>
          <cell r="B840" t="str">
            <v>UMA52307</v>
          </cell>
          <cell r="C840" t="str">
            <v>동관 옥내 배관</v>
          </cell>
          <cell r="D840" t="str">
            <v>D20 MM,  (M TYPE)</v>
          </cell>
          <cell r="E840" t="str">
            <v>M</v>
          </cell>
          <cell r="F840">
            <v>9390.74</v>
          </cell>
          <cell r="G840">
            <v>1200</v>
          </cell>
          <cell r="H840">
            <v>1700</v>
          </cell>
          <cell r="I840">
            <v>0</v>
          </cell>
        </row>
        <row r="841">
          <cell r="A841" t="str">
            <v>A</v>
          </cell>
          <cell r="B841" t="str">
            <v>UMA52308</v>
          </cell>
          <cell r="C841" t="str">
            <v>동관 옥내 배관</v>
          </cell>
          <cell r="D841" t="str">
            <v>D25 MM,  (M TYPE)</v>
          </cell>
          <cell r="E841" t="str">
            <v>M</v>
          </cell>
          <cell r="F841">
            <v>206.05</v>
          </cell>
          <cell r="G841">
            <v>1700</v>
          </cell>
          <cell r="H841">
            <v>2000</v>
          </cell>
          <cell r="I841">
            <v>0</v>
          </cell>
        </row>
        <row r="842">
          <cell r="A842" t="str">
            <v>A</v>
          </cell>
          <cell r="B842" t="str">
            <v>UMB52105</v>
          </cell>
          <cell r="C842" t="str">
            <v>XL관 난방코일배관</v>
          </cell>
          <cell r="D842" t="str">
            <v>D15 MM</v>
          </cell>
          <cell r="E842" t="str">
            <v>M</v>
          </cell>
          <cell r="F842">
            <v>201635.31</v>
          </cell>
          <cell r="G842">
            <v>174</v>
          </cell>
          <cell r="H842">
            <v>1380</v>
          </cell>
          <cell r="I842">
            <v>27</v>
          </cell>
        </row>
        <row r="843">
          <cell r="A843" t="str">
            <v>A</v>
          </cell>
          <cell r="B843" t="str">
            <v>UMC24108</v>
          </cell>
          <cell r="C843" t="str">
            <v>동관용접 (BRAZING)</v>
          </cell>
          <cell r="D843" t="str">
            <v>D25 MM</v>
          </cell>
          <cell r="E843" t="str">
            <v>개소</v>
          </cell>
          <cell r="F843">
            <v>292</v>
          </cell>
          <cell r="G843">
            <v>174</v>
          </cell>
          <cell r="H843">
            <v>1455</v>
          </cell>
          <cell r="I843">
            <v>29</v>
          </cell>
        </row>
        <row r="844">
          <cell r="A844" t="str">
            <v>A</v>
          </cell>
          <cell r="B844" t="str">
            <v>UMC24305</v>
          </cell>
          <cell r="C844" t="str">
            <v>동관용접 (SOLDERING)</v>
          </cell>
          <cell r="D844" t="str">
            <v>D15 MM</v>
          </cell>
          <cell r="E844" t="str">
            <v>개소</v>
          </cell>
          <cell r="F844">
            <v>1160</v>
          </cell>
          <cell r="G844">
            <v>30</v>
          </cell>
          <cell r="H844">
            <v>960</v>
          </cell>
          <cell r="I844">
            <v>19</v>
          </cell>
        </row>
        <row r="845">
          <cell r="A845" t="str">
            <v>A</v>
          </cell>
          <cell r="B845" t="str">
            <v>UMC24307</v>
          </cell>
          <cell r="C845" t="str">
            <v>동관용접 (SOLDERING)</v>
          </cell>
          <cell r="D845" t="str">
            <v>D20 MM</v>
          </cell>
          <cell r="E845" t="str">
            <v>개소</v>
          </cell>
          <cell r="F845">
            <v>11510</v>
          </cell>
          <cell r="G845">
            <v>47</v>
          </cell>
          <cell r="H845">
            <v>1108</v>
          </cell>
          <cell r="I845">
            <v>22</v>
          </cell>
        </row>
        <row r="846">
          <cell r="A846" t="str">
            <v>A</v>
          </cell>
          <cell r="B846" t="str">
            <v>UMD46402</v>
          </cell>
          <cell r="C846" t="str">
            <v>목긴볼밸브(CM유니온) 설치</v>
          </cell>
          <cell r="D846" t="str">
            <v>D20 MM, (10KG/CM2)</v>
          </cell>
          <cell r="E846" t="str">
            <v>개소</v>
          </cell>
          <cell r="F846">
            <v>1856</v>
          </cell>
          <cell r="G846">
            <v>4320</v>
          </cell>
          <cell r="H846">
            <v>2119</v>
          </cell>
          <cell r="I846">
            <v>42</v>
          </cell>
        </row>
        <row r="847">
          <cell r="A847" t="str">
            <v>A</v>
          </cell>
          <cell r="B847" t="str">
            <v>UMD46405</v>
          </cell>
          <cell r="C847" t="str">
            <v>목긴볼밸브 설치</v>
          </cell>
          <cell r="D847" t="str">
            <v>D15 MM, (10KG/CM2)</v>
          </cell>
          <cell r="E847" t="str">
            <v>개소</v>
          </cell>
          <cell r="F847">
            <v>12</v>
          </cell>
          <cell r="G847">
            <v>2664</v>
          </cell>
          <cell r="H847">
            <v>2119</v>
          </cell>
          <cell r="I847">
            <v>42</v>
          </cell>
        </row>
        <row r="848">
          <cell r="A848" t="str">
            <v>A</v>
          </cell>
          <cell r="B848" t="str">
            <v>UMD46407</v>
          </cell>
          <cell r="C848" t="str">
            <v>목긴볼밸브 설치</v>
          </cell>
          <cell r="D848" t="str">
            <v>D20 MM, (10KG/CM2)</v>
          </cell>
          <cell r="E848" t="str">
            <v>개소</v>
          </cell>
          <cell r="F848">
            <v>8</v>
          </cell>
          <cell r="G848">
            <v>3564</v>
          </cell>
          <cell r="H848">
            <v>2119</v>
          </cell>
          <cell r="I848">
            <v>42</v>
          </cell>
        </row>
        <row r="849">
          <cell r="A849" t="str">
            <v>A</v>
          </cell>
          <cell r="B849" t="str">
            <v>UMD46408</v>
          </cell>
          <cell r="C849" t="str">
            <v>목긴볼밸브 설치</v>
          </cell>
          <cell r="D849" t="str">
            <v>D25 MM, (10KG/CM2)</v>
          </cell>
          <cell r="E849" t="str">
            <v>개소</v>
          </cell>
          <cell r="F849">
            <v>12</v>
          </cell>
          <cell r="G849">
            <v>6772</v>
          </cell>
          <cell r="H849">
            <v>2119</v>
          </cell>
          <cell r="I849">
            <v>42</v>
          </cell>
        </row>
        <row r="850">
          <cell r="A850" t="str">
            <v>A</v>
          </cell>
          <cell r="B850" t="str">
            <v>UMD49105</v>
          </cell>
          <cell r="C850" t="str">
            <v>앵글밸브 설치</v>
          </cell>
          <cell r="D850" t="str">
            <v>D15 MM</v>
          </cell>
          <cell r="E850" t="str">
            <v>개소</v>
          </cell>
          <cell r="F850">
            <v>46</v>
          </cell>
          <cell r="G850">
            <v>2585</v>
          </cell>
          <cell r="H850">
            <v>2119</v>
          </cell>
          <cell r="I850">
            <v>42</v>
          </cell>
        </row>
        <row r="851">
          <cell r="A851" t="str">
            <v>A</v>
          </cell>
          <cell r="B851" t="str">
            <v>UMD52107</v>
          </cell>
          <cell r="C851" t="str">
            <v>자동공기변장치(난방용)</v>
          </cell>
          <cell r="D851" t="str">
            <v>D15MM</v>
          </cell>
          <cell r="E851" t="str">
            <v>조</v>
          </cell>
          <cell r="F851">
            <v>12</v>
          </cell>
          <cell r="G851">
            <v>37189</v>
          </cell>
          <cell r="H851">
            <v>15651</v>
          </cell>
          <cell r="I851">
            <v>309</v>
          </cell>
        </row>
        <row r="852">
          <cell r="A852" t="str">
            <v>A</v>
          </cell>
          <cell r="B852" t="str">
            <v>UME22205</v>
          </cell>
          <cell r="C852" t="str">
            <v>동관보온(은박)</v>
          </cell>
          <cell r="D852" t="str">
            <v>D=15MM, T=25MM</v>
          </cell>
          <cell r="E852" t="str">
            <v>M</v>
          </cell>
          <cell r="F852">
            <v>499.44</v>
          </cell>
          <cell r="G852">
            <v>600</v>
          </cell>
          <cell r="H852">
            <v>1200</v>
          </cell>
          <cell r="I852">
            <v>0</v>
          </cell>
        </row>
        <row r="853">
          <cell r="A853" t="str">
            <v>A</v>
          </cell>
          <cell r="B853" t="str">
            <v>UME22207</v>
          </cell>
          <cell r="C853" t="str">
            <v>동관보온(은박)</v>
          </cell>
          <cell r="D853" t="str">
            <v>D=20MM, T=25MM</v>
          </cell>
          <cell r="E853" t="str">
            <v>M</v>
          </cell>
          <cell r="F853">
            <v>309.10000000000002</v>
          </cell>
          <cell r="G853">
            <v>700</v>
          </cell>
          <cell r="H853">
            <v>1500</v>
          </cell>
          <cell r="I853">
            <v>0</v>
          </cell>
        </row>
        <row r="854">
          <cell r="A854" t="str">
            <v>A</v>
          </cell>
          <cell r="B854" t="str">
            <v>UME22208</v>
          </cell>
          <cell r="C854" t="str">
            <v>동관보온(은박)</v>
          </cell>
          <cell r="D854" t="str">
            <v>D=25MM, T=25MM</v>
          </cell>
          <cell r="E854" t="str">
            <v>M</v>
          </cell>
          <cell r="F854">
            <v>206.05</v>
          </cell>
          <cell r="G854">
            <v>800</v>
          </cell>
          <cell r="H854">
            <v>1800</v>
          </cell>
          <cell r="I854">
            <v>0</v>
          </cell>
        </row>
        <row r="855">
          <cell r="A855" t="str">
            <v>A</v>
          </cell>
          <cell r="B855" t="str">
            <v>UME80205</v>
          </cell>
          <cell r="C855" t="str">
            <v>발포폴리에틸렌 보온</v>
          </cell>
          <cell r="D855" t="str">
            <v>D=15MM, T=5MM</v>
          </cell>
          <cell r="E855" t="str">
            <v>M</v>
          </cell>
          <cell r="F855">
            <v>378.96</v>
          </cell>
          <cell r="G855">
            <v>100</v>
          </cell>
          <cell r="H855">
            <v>300</v>
          </cell>
          <cell r="I855">
            <v>0</v>
          </cell>
        </row>
        <row r="856">
          <cell r="A856" t="str">
            <v>A</v>
          </cell>
          <cell r="B856" t="str">
            <v>UME80206</v>
          </cell>
          <cell r="C856" t="str">
            <v>발포폴리에틸렌 보온</v>
          </cell>
          <cell r="D856" t="str">
            <v>D=18MM, T=5MM</v>
          </cell>
          <cell r="E856" t="str">
            <v>M</v>
          </cell>
          <cell r="F856">
            <v>4955.62</v>
          </cell>
          <cell r="G856">
            <v>200</v>
          </cell>
          <cell r="H856">
            <v>400</v>
          </cell>
          <cell r="I856">
            <v>0</v>
          </cell>
        </row>
        <row r="857">
          <cell r="A857" t="str">
            <v>A</v>
          </cell>
          <cell r="B857" t="str">
            <v>UME80207</v>
          </cell>
          <cell r="C857" t="str">
            <v>발포폴리에틸렌 보온</v>
          </cell>
          <cell r="D857" t="str">
            <v>D=20MM, T=5MM</v>
          </cell>
          <cell r="E857" t="str">
            <v>M</v>
          </cell>
          <cell r="F857">
            <v>7039.79</v>
          </cell>
          <cell r="G857">
            <v>200</v>
          </cell>
          <cell r="H857">
            <v>500</v>
          </cell>
          <cell r="I857">
            <v>0</v>
          </cell>
        </row>
        <row r="858">
          <cell r="A858" t="str">
            <v>A</v>
          </cell>
          <cell r="B858" t="str">
            <v>UME80247</v>
          </cell>
          <cell r="C858" t="str">
            <v>발포폴리에틸렌 보온</v>
          </cell>
          <cell r="D858" t="str">
            <v>D=20MM, T=15MM</v>
          </cell>
          <cell r="E858" t="str">
            <v>M</v>
          </cell>
          <cell r="F858">
            <v>2041.6</v>
          </cell>
          <cell r="G858">
            <v>400</v>
          </cell>
          <cell r="H858">
            <v>800</v>
          </cell>
          <cell r="I858">
            <v>0</v>
          </cell>
        </row>
        <row r="859">
          <cell r="A859" t="str">
            <v>A</v>
          </cell>
          <cell r="B859" t="str">
            <v>UMH23315</v>
          </cell>
          <cell r="C859" t="str">
            <v>가스보일러설치(배관카바(점검구))</v>
          </cell>
          <cell r="D859" t="str">
            <v>16,000(KCAL/HR)(FF)</v>
          </cell>
          <cell r="E859" t="str">
            <v>개소</v>
          </cell>
          <cell r="F859">
            <v>490</v>
          </cell>
          <cell r="G859">
            <v>275760</v>
          </cell>
          <cell r="H859">
            <v>48676</v>
          </cell>
          <cell r="I859">
            <v>958</v>
          </cell>
        </row>
        <row r="860">
          <cell r="A860" t="str">
            <v>A</v>
          </cell>
          <cell r="B860" t="str">
            <v>UMH23316</v>
          </cell>
          <cell r="C860" t="str">
            <v>가스보일러설치</v>
          </cell>
          <cell r="D860" t="str">
            <v>16,000(KCAL/HR)(FF)</v>
          </cell>
          <cell r="E860" t="str">
            <v>개소</v>
          </cell>
          <cell r="F860">
            <v>6</v>
          </cell>
          <cell r="G860">
            <v>259200</v>
          </cell>
          <cell r="H860">
            <v>44173</v>
          </cell>
          <cell r="I860">
            <v>868</v>
          </cell>
        </row>
        <row r="861">
          <cell r="A861" t="str">
            <v>A</v>
          </cell>
          <cell r="B861" t="str">
            <v>UMH23321</v>
          </cell>
          <cell r="C861" t="str">
            <v>가스보일러설치(배관카바(점검구))</v>
          </cell>
          <cell r="D861" t="str">
            <v>20,000(KCAL/HR)(FF)</v>
          </cell>
          <cell r="E861" t="str">
            <v>개소</v>
          </cell>
          <cell r="F861">
            <v>438</v>
          </cell>
          <cell r="G861">
            <v>282960</v>
          </cell>
          <cell r="H861">
            <v>52749</v>
          </cell>
          <cell r="I861">
            <v>1039</v>
          </cell>
        </row>
        <row r="862">
          <cell r="A862" t="str">
            <v>A</v>
          </cell>
          <cell r="B862" t="str">
            <v>UMI18100</v>
          </cell>
          <cell r="C862" t="str">
            <v>방열기설치</v>
          </cell>
          <cell r="D862" t="str">
            <v>1RX500X0.36</v>
          </cell>
          <cell r="E862" t="str">
            <v>조</v>
          </cell>
          <cell r="F862">
            <v>595</v>
          </cell>
          <cell r="G862">
            <v>15096</v>
          </cell>
          <cell r="H862">
            <v>26682</v>
          </cell>
          <cell r="I862">
            <v>534</v>
          </cell>
        </row>
        <row r="863">
          <cell r="A863" t="str">
            <v>A</v>
          </cell>
          <cell r="B863" t="str">
            <v>UMI18200</v>
          </cell>
          <cell r="C863" t="str">
            <v>방열기설치</v>
          </cell>
          <cell r="D863" t="str">
            <v>1RX600X0.36</v>
          </cell>
          <cell r="E863" t="str">
            <v>조</v>
          </cell>
          <cell r="F863">
            <v>4</v>
          </cell>
          <cell r="G863">
            <v>15821</v>
          </cell>
          <cell r="H863">
            <v>26682</v>
          </cell>
          <cell r="I863">
            <v>534</v>
          </cell>
        </row>
        <row r="864">
          <cell r="A864" t="str">
            <v>A</v>
          </cell>
          <cell r="B864" t="str">
            <v>UMI18602</v>
          </cell>
          <cell r="C864" t="str">
            <v>방열기설치</v>
          </cell>
          <cell r="D864" t="str">
            <v>3RX600X0.48</v>
          </cell>
          <cell r="E864" t="str">
            <v>조</v>
          </cell>
          <cell r="F864">
            <v>16</v>
          </cell>
          <cell r="G864">
            <v>62857</v>
          </cell>
          <cell r="H864">
            <v>26682</v>
          </cell>
          <cell r="I864">
            <v>534</v>
          </cell>
        </row>
        <row r="865">
          <cell r="A865" t="str">
            <v>A</v>
          </cell>
          <cell r="B865" t="str">
            <v>UMI18603</v>
          </cell>
          <cell r="C865" t="str">
            <v>방열기설치</v>
          </cell>
          <cell r="D865" t="str">
            <v>3RX600X0.60</v>
          </cell>
          <cell r="E865" t="str">
            <v>조</v>
          </cell>
          <cell r="F865">
            <v>8</v>
          </cell>
          <cell r="G865">
            <v>78530</v>
          </cell>
          <cell r="H865">
            <v>26682</v>
          </cell>
          <cell r="I865">
            <v>534</v>
          </cell>
        </row>
        <row r="866">
          <cell r="A866" t="str">
            <v>A</v>
          </cell>
          <cell r="B866" t="str">
            <v>UMI18607</v>
          </cell>
          <cell r="C866" t="str">
            <v>방열기설치</v>
          </cell>
          <cell r="D866" t="str">
            <v>3RX600X0.84</v>
          </cell>
          <cell r="E866" t="str">
            <v>조</v>
          </cell>
          <cell r="F866">
            <v>6</v>
          </cell>
          <cell r="G866">
            <v>109876</v>
          </cell>
          <cell r="H866">
            <v>26682</v>
          </cell>
          <cell r="I866">
            <v>534</v>
          </cell>
        </row>
        <row r="867">
          <cell r="A867" t="str">
            <v>A</v>
          </cell>
          <cell r="B867" t="str">
            <v>UMI18608</v>
          </cell>
          <cell r="C867" t="str">
            <v>방열기설치</v>
          </cell>
          <cell r="D867" t="str">
            <v>3RX600X0.96</v>
          </cell>
          <cell r="E867" t="str">
            <v>조</v>
          </cell>
          <cell r="F867">
            <v>41</v>
          </cell>
          <cell r="G867">
            <v>125549</v>
          </cell>
          <cell r="H867">
            <v>26682</v>
          </cell>
          <cell r="I867">
            <v>534</v>
          </cell>
        </row>
        <row r="868">
          <cell r="A868" t="str">
            <v>A</v>
          </cell>
          <cell r="B868" t="str">
            <v>UMI18609</v>
          </cell>
          <cell r="C868" t="str">
            <v>방열기설치</v>
          </cell>
          <cell r="D868" t="str">
            <v>3RX600X1.08</v>
          </cell>
          <cell r="E868" t="str">
            <v>조</v>
          </cell>
          <cell r="F868">
            <v>1</v>
          </cell>
          <cell r="G868">
            <v>141222</v>
          </cell>
          <cell r="H868">
            <v>36649</v>
          </cell>
          <cell r="I868">
            <v>733</v>
          </cell>
        </row>
        <row r="869">
          <cell r="A869" t="str">
            <v>A</v>
          </cell>
          <cell r="B869" t="str">
            <v>UMI20330</v>
          </cell>
          <cell r="C869" t="str">
            <v>PB온수분배기설치(X-L,수평)</v>
          </cell>
          <cell r="D869" t="str">
            <v>3구+드레인밸브</v>
          </cell>
          <cell r="E869" t="str">
            <v>SET</v>
          </cell>
          <cell r="F869">
            <v>366</v>
          </cell>
          <cell r="G869">
            <v>18720</v>
          </cell>
          <cell r="H869">
            <v>14766</v>
          </cell>
          <cell r="I869">
            <v>295</v>
          </cell>
        </row>
        <row r="870">
          <cell r="A870" t="str">
            <v>A</v>
          </cell>
          <cell r="B870" t="str">
            <v>UMI20340</v>
          </cell>
          <cell r="C870" t="str">
            <v>PB온수분배기설치(X-L,수평)</v>
          </cell>
          <cell r="D870" t="str">
            <v>4구+드레인밸브</v>
          </cell>
          <cell r="E870" t="str">
            <v>SET</v>
          </cell>
          <cell r="F870">
            <v>123</v>
          </cell>
          <cell r="G870">
            <v>24012</v>
          </cell>
          <cell r="H870">
            <v>17161</v>
          </cell>
          <cell r="I870">
            <v>343</v>
          </cell>
        </row>
        <row r="871">
          <cell r="A871" t="str">
            <v>A</v>
          </cell>
          <cell r="B871" t="str">
            <v>UMI20420</v>
          </cell>
          <cell r="C871" t="str">
            <v>온수분배기설치(X-L,수직)</v>
          </cell>
          <cell r="D871" t="str">
            <v>2구+드레인밸브</v>
          </cell>
          <cell r="E871" t="str">
            <v>SET</v>
          </cell>
          <cell r="F871">
            <v>2</v>
          </cell>
          <cell r="G871">
            <v>19728</v>
          </cell>
          <cell r="H871">
            <v>12339</v>
          </cell>
          <cell r="I871">
            <v>246</v>
          </cell>
        </row>
        <row r="872">
          <cell r="A872" t="str">
            <v>A</v>
          </cell>
          <cell r="B872" t="str">
            <v>UMI20430</v>
          </cell>
          <cell r="C872" t="str">
            <v>온수분배기설치(X-L,수직)</v>
          </cell>
          <cell r="D872" t="str">
            <v>3구+드레인밸브</v>
          </cell>
          <cell r="E872" t="str">
            <v>SET</v>
          </cell>
          <cell r="F872">
            <v>1</v>
          </cell>
          <cell r="G872">
            <v>26280</v>
          </cell>
          <cell r="H872">
            <v>14766</v>
          </cell>
          <cell r="I872">
            <v>295</v>
          </cell>
        </row>
        <row r="873">
          <cell r="A873" t="str">
            <v>A</v>
          </cell>
          <cell r="B873" t="str">
            <v>UMI20450</v>
          </cell>
          <cell r="C873" t="str">
            <v>온수분배기설치(X-L,수직)</v>
          </cell>
          <cell r="D873" t="str">
            <v>5구+드레인밸브</v>
          </cell>
          <cell r="E873" t="str">
            <v>SET</v>
          </cell>
          <cell r="F873">
            <v>2</v>
          </cell>
          <cell r="G873">
            <v>39384</v>
          </cell>
          <cell r="H873">
            <v>19558</v>
          </cell>
          <cell r="I873">
            <v>391</v>
          </cell>
        </row>
        <row r="874">
          <cell r="A874" t="str">
            <v>A</v>
          </cell>
          <cell r="B874" t="str">
            <v>UMI20470</v>
          </cell>
          <cell r="C874" t="str">
            <v>온수분배기설치(X-L,수직)</v>
          </cell>
          <cell r="D874" t="str">
            <v>7구+드레인밸브</v>
          </cell>
          <cell r="E874" t="str">
            <v>SET</v>
          </cell>
          <cell r="F874">
            <v>1</v>
          </cell>
          <cell r="G874">
            <v>52560</v>
          </cell>
          <cell r="H874">
            <v>24342</v>
          </cell>
          <cell r="I874">
            <v>487</v>
          </cell>
        </row>
        <row r="875">
          <cell r="A875" t="str">
            <v>A</v>
          </cell>
          <cell r="B875" t="str">
            <v>UMI20480</v>
          </cell>
          <cell r="C875" t="str">
            <v>온수분배기설치(X-L,수직)</v>
          </cell>
          <cell r="D875" t="str">
            <v>8구+드레인밸브</v>
          </cell>
          <cell r="E875" t="str">
            <v>SET</v>
          </cell>
          <cell r="F875">
            <v>1</v>
          </cell>
          <cell r="G875">
            <v>59112</v>
          </cell>
          <cell r="H875">
            <v>26740</v>
          </cell>
          <cell r="I875">
            <v>534</v>
          </cell>
        </row>
        <row r="876">
          <cell r="A876" t="str">
            <v>A</v>
          </cell>
          <cell r="B876" t="str">
            <v>UMI20560</v>
          </cell>
          <cell r="C876" t="str">
            <v>온수분배기설치(X-L,수평)</v>
          </cell>
          <cell r="D876" t="str">
            <v>6구+드레인밸브</v>
          </cell>
          <cell r="E876" t="str">
            <v>SET</v>
          </cell>
          <cell r="F876">
            <v>300</v>
          </cell>
          <cell r="G876">
            <v>47808</v>
          </cell>
          <cell r="H876">
            <v>21952</v>
          </cell>
          <cell r="I876">
            <v>438</v>
          </cell>
        </row>
        <row r="877">
          <cell r="A877" t="str">
            <v>A</v>
          </cell>
          <cell r="B877" t="str">
            <v>UMI20570</v>
          </cell>
          <cell r="C877" t="str">
            <v>온수분배기설치(X-L,수평)</v>
          </cell>
          <cell r="D877" t="str">
            <v>7구+드레인밸브</v>
          </cell>
          <cell r="E877" t="str">
            <v>SET</v>
          </cell>
          <cell r="F877">
            <v>125</v>
          </cell>
          <cell r="G877">
            <v>54576</v>
          </cell>
          <cell r="H877">
            <v>24342</v>
          </cell>
          <cell r="I877">
            <v>487</v>
          </cell>
        </row>
        <row r="878">
          <cell r="A878" t="str">
            <v>A</v>
          </cell>
          <cell r="B878" t="str">
            <v>UMI20580</v>
          </cell>
          <cell r="C878" t="str">
            <v>온수분배기설치(X-L,수평)</v>
          </cell>
          <cell r="D878" t="str">
            <v>8구+드레인밸브</v>
          </cell>
          <cell r="E878" t="str">
            <v>SET</v>
          </cell>
          <cell r="F878">
            <v>11</v>
          </cell>
          <cell r="G878">
            <v>61416</v>
          </cell>
          <cell r="H878">
            <v>26740</v>
          </cell>
          <cell r="I878">
            <v>534</v>
          </cell>
        </row>
        <row r="879">
          <cell r="A879" t="str">
            <v>A</v>
          </cell>
          <cell r="B879" t="str">
            <v>UMO28200</v>
          </cell>
          <cell r="C879" t="str">
            <v>크립바설치</v>
          </cell>
          <cell r="D879" t="str">
            <v>D15-D20 MM</v>
          </cell>
          <cell r="E879" t="str">
            <v>M</v>
          </cell>
          <cell r="F879">
            <v>46375.71</v>
          </cell>
          <cell r="G879">
            <v>200</v>
          </cell>
          <cell r="H879">
            <v>0</v>
          </cell>
          <cell r="I879">
            <v>0</v>
          </cell>
        </row>
        <row r="880">
          <cell r="C880" t="str">
            <v>소  계</v>
          </cell>
        </row>
        <row r="882">
          <cell r="C882" t="str">
            <v>판매시설</v>
          </cell>
        </row>
        <row r="883">
          <cell r="C883" t="str">
            <v>*  금수공사</v>
          </cell>
        </row>
        <row r="884">
          <cell r="A884" t="str">
            <v>B</v>
          </cell>
          <cell r="B884" t="str">
            <v>MGF11251</v>
          </cell>
          <cell r="C884" t="str">
            <v>행가지지봉</v>
          </cell>
          <cell r="D884" t="str">
            <v>9MM(3/8")</v>
          </cell>
          <cell r="E884" t="str">
            <v>M</v>
          </cell>
          <cell r="F884">
            <v>8.5</v>
          </cell>
          <cell r="G884">
            <v>225</v>
          </cell>
          <cell r="H884">
            <v>0</v>
          </cell>
          <cell r="I884">
            <v>0</v>
          </cell>
        </row>
        <row r="885">
          <cell r="A885" t="str">
            <v>B</v>
          </cell>
          <cell r="B885" t="str">
            <v>MGF11547</v>
          </cell>
          <cell r="C885" t="str">
            <v>절연U볼트</v>
          </cell>
          <cell r="D885" t="str">
            <v>D 40</v>
          </cell>
          <cell r="E885" t="str">
            <v>개</v>
          </cell>
          <cell r="F885">
            <v>1</v>
          </cell>
          <cell r="G885">
            <v>324</v>
          </cell>
          <cell r="H885">
            <v>0</v>
          </cell>
          <cell r="I885">
            <v>0</v>
          </cell>
        </row>
        <row r="886">
          <cell r="A886" t="str">
            <v>B</v>
          </cell>
          <cell r="B886" t="str">
            <v>MGF30505</v>
          </cell>
          <cell r="C886" t="str">
            <v>인서트</v>
          </cell>
          <cell r="D886" t="str">
            <v>D9</v>
          </cell>
          <cell r="E886" t="str">
            <v>개</v>
          </cell>
          <cell r="F886">
            <v>28</v>
          </cell>
          <cell r="G886">
            <v>26</v>
          </cell>
          <cell r="H886">
            <v>0</v>
          </cell>
          <cell r="I886">
            <v>0</v>
          </cell>
        </row>
        <row r="887">
          <cell r="A887" t="str">
            <v>B</v>
          </cell>
          <cell r="B887" t="str">
            <v>MMB40105</v>
          </cell>
          <cell r="C887" t="str">
            <v>동 엘보</v>
          </cell>
          <cell r="D887" t="str">
            <v>D15 MM</v>
          </cell>
          <cell r="E887" t="str">
            <v>개</v>
          </cell>
          <cell r="F887">
            <v>29</v>
          </cell>
          <cell r="G887">
            <v>112</v>
          </cell>
          <cell r="H887">
            <v>0</v>
          </cell>
          <cell r="I887">
            <v>0</v>
          </cell>
        </row>
        <row r="888">
          <cell r="A888" t="str">
            <v>B</v>
          </cell>
          <cell r="B888" t="str">
            <v>MMB40107</v>
          </cell>
          <cell r="C888" t="str">
            <v>동 엘보</v>
          </cell>
          <cell r="D888" t="str">
            <v>D20 MM</v>
          </cell>
          <cell r="E888" t="str">
            <v>개</v>
          </cell>
          <cell r="F888">
            <v>3</v>
          </cell>
          <cell r="G888">
            <v>228</v>
          </cell>
          <cell r="H888">
            <v>0</v>
          </cell>
          <cell r="I888">
            <v>0</v>
          </cell>
        </row>
        <row r="889">
          <cell r="A889" t="str">
            <v>B</v>
          </cell>
          <cell r="B889" t="str">
            <v>MMB40112</v>
          </cell>
          <cell r="C889" t="str">
            <v>동 엘보</v>
          </cell>
          <cell r="D889" t="str">
            <v>D40 MM</v>
          </cell>
          <cell r="E889" t="str">
            <v>개</v>
          </cell>
          <cell r="F889">
            <v>4</v>
          </cell>
          <cell r="G889">
            <v>919</v>
          </cell>
          <cell r="H889">
            <v>0</v>
          </cell>
          <cell r="I889">
            <v>0</v>
          </cell>
        </row>
        <row r="890">
          <cell r="A890" t="str">
            <v>B</v>
          </cell>
          <cell r="B890" t="str">
            <v>MMB40207</v>
          </cell>
          <cell r="C890" t="str">
            <v>동 티</v>
          </cell>
          <cell r="D890" t="str">
            <v>D20 MM</v>
          </cell>
          <cell r="E890" t="str">
            <v>개</v>
          </cell>
          <cell r="F890">
            <v>2</v>
          </cell>
          <cell r="G890">
            <v>359</v>
          </cell>
          <cell r="H890">
            <v>0</v>
          </cell>
          <cell r="I890">
            <v>0</v>
          </cell>
        </row>
        <row r="891">
          <cell r="A891" t="str">
            <v>B</v>
          </cell>
          <cell r="B891" t="str">
            <v>MMB40208</v>
          </cell>
          <cell r="C891" t="str">
            <v>동 티</v>
          </cell>
          <cell r="D891" t="str">
            <v>D25 MM</v>
          </cell>
          <cell r="E891" t="str">
            <v>개</v>
          </cell>
          <cell r="F891">
            <v>13</v>
          </cell>
          <cell r="G891">
            <v>553</v>
          </cell>
          <cell r="H891">
            <v>0</v>
          </cell>
          <cell r="I891">
            <v>0</v>
          </cell>
        </row>
        <row r="892">
          <cell r="A892" t="str">
            <v>B</v>
          </cell>
          <cell r="B892" t="str">
            <v>MMB40212</v>
          </cell>
          <cell r="C892" t="str">
            <v>동 티</v>
          </cell>
          <cell r="D892" t="str">
            <v>D40 MM</v>
          </cell>
          <cell r="E892" t="str">
            <v>개</v>
          </cell>
          <cell r="F892">
            <v>4</v>
          </cell>
          <cell r="G892">
            <v>1401</v>
          </cell>
          <cell r="H892">
            <v>0</v>
          </cell>
          <cell r="I892">
            <v>0</v>
          </cell>
        </row>
        <row r="893">
          <cell r="A893" t="str">
            <v>B</v>
          </cell>
          <cell r="B893" t="str">
            <v>MMB40307</v>
          </cell>
          <cell r="C893" t="str">
            <v>동 레듀샤</v>
          </cell>
          <cell r="D893" t="str">
            <v>D20 MM</v>
          </cell>
          <cell r="E893" t="str">
            <v>개</v>
          </cell>
          <cell r="F893">
            <v>1</v>
          </cell>
          <cell r="G893">
            <v>143</v>
          </cell>
          <cell r="H893">
            <v>0</v>
          </cell>
          <cell r="I893">
            <v>0</v>
          </cell>
        </row>
        <row r="894">
          <cell r="A894" t="str">
            <v>B</v>
          </cell>
          <cell r="B894" t="str">
            <v>MMB40308</v>
          </cell>
          <cell r="C894" t="str">
            <v>동 레듀샤</v>
          </cell>
          <cell r="D894" t="str">
            <v>D25 MM</v>
          </cell>
          <cell r="E894" t="str">
            <v>개</v>
          </cell>
          <cell r="F894">
            <v>2</v>
          </cell>
          <cell r="G894">
            <v>212</v>
          </cell>
          <cell r="H894">
            <v>0</v>
          </cell>
          <cell r="I894">
            <v>0</v>
          </cell>
        </row>
        <row r="895">
          <cell r="A895" t="str">
            <v>B</v>
          </cell>
          <cell r="B895" t="str">
            <v>MMB40310</v>
          </cell>
          <cell r="C895" t="str">
            <v>동 레듀샤</v>
          </cell>
          <cell r="D895" t="str">
            <v>D32 MM</v>
          </cell>
          <cell r="E895" t="str">
            <v>개</v>
          </cell>
          <cell r="F895">
            <v>1</v>
          </cell>
          <cell r="G895">
            <v>289</v>
          </cell>
          <cell r="H895">
            <v>0</v>
          </cell>
          <cell r="I895">
            <v>0</v>
          </cell>
        </row>
        <row r="896">
          <cell r="A896" t="str">
            <v>B</v>
          </cell>
          <cell r="B896" t="str">
            <v>MMB40312</v>
          </cell>
          <cell r="C896" t="str">
            <v>동 레듀샤</v>
          </cell>
          <cell r="D896" t="str">
            <v>D40 MM</v>
          </cell>
          <cell r="E896" t="str">
            <v>개</v>
          </cell>
          <cell r="F896">
            <v>3</v>
          </cell>
          <cell r="G896">
            <v>497</v>
          </cell>
          <cell r="H896">
            <v>0</v>
          </cell>
          <cell r="I896">
            <v>0</v>
          </cell>
        </row>
        <row r="897">
          <cell r="A897" t="str">
            <v>B</v>
          </cell>
          <cell r="B897" t="str">
            <v>MMB50105</v>
          </cell>
          <cell r="C897" t="str">
            <v>CM아답타</v>
          </cell>
          <cell r="D897" t="str">
            <v>D15 MM</v>
          </cell>
          <cell r="E897" t="str">
            <v>개</v>
          </cell>
          <cell r="F897">
            <v>10</v>
          </cell>
          <cell r="G897">
            <v>176</v>
          </cell>
          <cell r="H897">
            <v>0</v>
          </cell>
          <cell r="I897">
            <v>0</v>
          </cell>
        </row>
        <row r="898">
          <cell r="A898" t="str">
            <v>B</v>
          </cell>
          <cell r="B898" t="str">
            <v>MMB50112</v>
          </cell>
          <cell r="C898" t="str">
            <v>CM아답타</v>
          </cell>
          <cell r="D898" t="str">
            <v>D40 MM</v>
          </cell>
          <cell r="E898" t="str">
            <v>개</v>
          </cell>
          <cell r="F898">
            <v>3</v>
          </cell>
          <cell r="G898">
            <v>1656</v>
          </cell>
          <cell r="H898">
            <v>0</v>
          </cell>
          <cell r="I898">
            <v>0</v>
          </cell>
        </row>
        <row r="899">
          <cell r="A899" t="str">
            <v>B</v>
          </cell>
          <cell r="B899" t="str">
            <v>MMB50205</v>
          </cell>
          <cell r="C899" t="str">
            <v>CF아답타</v>
          </cell>
          <cell r="D899" t="str">
            <v>D15 MM</v>
          </cell>
          <cell r="E899" t="str">
            <v>개</v>
          </cell>
          <cell r="F899">
            <v>21</v>
          </cell>
          <cell r="G899">
            <v>246</v>
          </cell>
          <cell r="H899">
            <v>0</v>
          </cell>
          <cell r="I899">
            <v>0</v>
          </cell>
        </row>
        <row r="900">
          <cell r="A900" t="str">
            <v>B</v>
          </cell>
          <cell r="B900" t="str">
            <v>MMB50210</v>
          </cell>
          <cell r="C900" t="str">
            <v>CF아답타</v>
          </cell>
          <cell r="D900" t="str">
            <v>D32 MM</v>
          </cell>
          <cell r="E900" t="str">
            <v>개</v>
          </cell>
          <cell r="F900">
            <v>2</v>
          </cell>
          <cell r="G900">
            <v>1848</v>
          </cell>
          <cell r="H900">
            <v>0</v>
          </cell>
          <cell r="I900">
            <v>0</v>
          </cell>
        </row>
        <row r="901">
          <cell r="A901" t="str">
            <v>B</v>
          </cell>
          <cell r="B901" t="str">
            <v>MMB50212</v>
          </cell>
          <cell r="C901" t="str">
            <v>CF아답타</v>
          </cell>
          <cell r="D901" t="str">
            <v>D40 MM</v>
          </cell>
          <cell r="E901" t="str">
            <v>개</v>
          </cell>
          <cell r="F901">
            <v>6</v>
          </cell>
          <cell r="G901">
            <v>2392</v>
          </cell>
          <cell r="H901">
            <v>0</v>
          </cell>
          <cell r="I901">
            <v>0</v>
          </cell>
        </row>
        <row r="902">
          <cell r="A902" t="str">
            <v>B</v>
          </cell>
          <cell r="B902" t="str">
            <v>MMB50505</v>
          </cell>
          <cell r="C902" t="str">
            <v>CM유니온</v>
          </cell>
          <cell r="D902" t="str">
            <v>D15 MM</v>
          </cell>
          <cell r="E902" t="str">
            <v>개</v>
          </cell>
          <cell r="F902">
            <v>10</v>
          </cell>
          <cell r="G902">
            <v>712</v>
          </cell>
          <cell r="H902">
            <v>0</v>
          </cell>
          <cell r="I902">
            <v>0</v>
          </cell>
        </row>
        <row r="903">
          <cell r="A903" t="str">
            <v>B</v>
          </cell>
          <cell r="B903" t="str">
            <v>MMB50512</v>
          </cell>
          <cell r="C903" t="str">
            <v>CM유니온</v>
          </cell>
          <cell r="D903" t="str">
            <v>D40 MM</v>
          </cell>
          <cell r="E903" t="str">
            <v>개</v>
          </cell>
          <cell r="F903">
            <v>3</v>
          </cell>
          <cell r="G903">
            <v>4932</v>
          </cell>
          <cell r="H903">
            <v>0</v>
          </cell>
          <cell r="I903">
            <v>0</v>
          </cell>
        </row>
        <row r="904">
          <cell r="A904" t="str">
            <v>B</v>
          </cell>
          <cell r="B904" t="str">
            <v>MMB51505</v>
          </cell>
          <cell r="C904" t="str">
            <v>장암엘보아답타</v>
          </cell>
          <cell r="D904" t="str">
            <v>D15 MM</v>
          </cell>
          <cell r="E904" t="str">
            <v>개</v>
          </cell>
          <cell r="F904">
            <v>17</v>
          </cell>
          <cell r="G904">
            <v>487</v>
          </cell>
          <cell r="H904">
            <v>0</v>
          </cell>
          <cell r="I904">
            <v>0</v>
          </cell>
        </row>
        <row r="905">
          <cell r="A905" t="str">
            <v>B</v>
          </cell>
          <cell r="B905" t="str">
            <v>MMB51507</v>
          </cell>
          <cell r="C905" t="str">
            <v>장암엘보아답타</v>
          </cell>
          <cell r="D905" t="str">
            <v>D20 MM</v>
          </cell>
          <cell r="E905" t="str">
            <v>개</v>
          </cell>
          <cell r="F905">
            <v>1</v>
          </cell>
          <cell r="G905">
            <v>829</v>
          </cell>
          <cell r="H905">
            <v>0</v>
          </cell>
          <cell r="I905">
            <v>0</v>
          </cell>
        </row>
        <row r="906">
          <cell r="A906" t="str">
            <v>B</v>
          </cell>
          <cell r="B906" t="str">
            <v>MMK32900</v>
          </cell>
          <cell r="C906" t="str">
            <v>양수기보호통(A형)</v>
          </cell>
          <cell r="D906" t="str">
            <v>D15 MM</v>
          </cell>
          <cell r="E906" t="str">
            <v>개</v>
          </cell>
          <cell r="F906">
            <v>1</v>
          </cell>
          <cell r="G906">
            <v>18288</v>
          </cell>
          <cell r="H906">
            <v>0</v>
          </cell>
          <cell r="I906">
            <v>0</v>
          </cell>
        </row>
        <row r="907">
          <cell r="A907" t="str">
            <v>B</v>
          </cell>
          <cell r="B907" t="str">
            <v>MMO10505</v>
          </cell>
          <cell r="C907" t="str">
            <v>절연 행가</v>
          </cell>
          <cell r="D907" t="str">
            <v>D15 MM</v>
          </cell>
          <cell r="E907" t="str">
            <v>개</v>
          </cell>
          <cell r="F907">
            <v>1</v>
          </cell>
          <cell r="G907">
            <v>360</v>
          </cell>
          <cell r="H907">
            <v>0</v>
          </cell>
          <cell r="I907">
            <v>0</v>
          </cell>
        </row>
        <row r="908">
          <cell r="A908" t="str">
            <v>B</v>
          </cell>
          <cell r="B908" t="str">
            <v>MMO10507</v>
          </cell>
          <cell r="C908" t="str">
            <v>절연 행가</v>
          </cell>
          <cell r="D908" t="str">
            <v>D20 MM</v>
          </cell>
          <cell r="E908" t="str">
            <v>개</v>
          </cell>
          <cell r="F908">
            <v>5</v>
          </cell>
          <cell r="G908">
            <v>396</v>
          </cell>
          <cell r="H908">
            <v>0</v>
          </cell>
          <cell r="I908">
            <v>0</v>
          </cell>
        </row>
        <row r="909">
          <cell r="A909" t="str">
            <v>B</v>
          </cell>
          <cell r="B909" t="str">
            <v>MMO10508</v>
          </cell>
          <cell r="C909" t="str">
            <v>절연 행가</v>
          </cell>
          <cell r="D909" t="str">
            <v>D25 MM</v>
          </cell>
          <cell r="E909" t="str">
            <v>개</v>
          </cell>
          <cell r="F909">
            <v>16</v>
          </cell>
          <cell r="G909">
            <v>432</v>
          </cell>
          <cell r="H909">
            <v>0</v>
          </cell>
          <cell r="I909">
            <v>0</v>
          </cell>
        </row>
        <row r="910">
          <cell r="A910" t="str">
            <v>B</v>
          </cell>
          <cell r="B910" t="str">
            <v>MMO10512</v>
          </cell>
          <cell r="C910" t="str">
            <v>절연 행가</v>
          </cell>
          <cell r="D910" t="str">
            <v>D40 MM</v>
          </cell>
          <cell r="E910" t="str">
            <v>개</v>
          </cell>
          <cell r="F910">
            <v>4</v>
          </cell>
          <cell r="G910">
            <v>540</v>
          </cell>
          <cell r="H910">
            <v>0</v>
          </cell>
          <cell r="I910">
            <v>0</v>
          </cell>
        </row>
        <row r="911">
          <cell r="A911" t="str">
            <v>B</v>
          </cell>
          <cell r="B911" t="str">
            <v>MMO31818</v>
          </cell>
          <cell r="C911" t="str">
            <v>PD입상관 성형스리브</v>
          </cell>
          <cell r="D911" t="str">
            <v>D100 X 135H</v>
          </cell>
          <cell r="E911" t="str">
            <v>개</v>
          </cell>
          <cell r="F911">
            <v>1</v>
          </cell>
          <cell r="G911">
            <v>720</v>
          </cell>
          <cell r="H911">
            <v>0</v>
          </cell>
          <cell r="I911">
            <v>0</v>
          </cell>
        </row>
        <row r="912">
          <cell r="A912" t="str">
            <v>B</v>
          </cell>
          <cell r="B912" t="str">
            <v>UMA52305</v>
          </cell>
          <cell r="C912" t="str">
            <v>동관 옥내 배관</v>
          </cell>
          <cell r="D912" t="str">
            <v>D15 MM,  (M TYPE)</v>
          </cell>
          <cell r="E912" t="str">
            <v>M</v>
          </cell>
          <cell r="F912">
            <v>45</v>
          </cell>
          <cell r="G912">
            <v>700</v>
          </cell>
          <cell r="H912">
            <v>1600</v>
          </cell>
          <cell r="I912">
            <v>0</v>
          </cell>
        </row>
        <row r="913">
          <cell r="A913" t="str">
            <v>B</v>
          </cell>
          <cell r="B913" t="str">
            <v>UMA52307</v>
          </cell>
          <cell r="C913" t="str">
            <v>동관 옥내 배관</v>
          </cell>
          <cell r="D913" t="str">
            <v>D20 MM,  (M TYPE)</v>
          </cell>
          <cell r="E913" t="str">
            <v>M</v>
          </cell>
          <cell r="F913">
            <v>8</v>
          </cell>
          <cell r="G913">
            <v>1200</v>
          </cell>
          <cell r="H913">
            <v>1700</v>
          </cell>
          <cell r="I913">
            <v>0</v>
          </cell>
        </row>
        <row r="914">
          <cell r="A914" t="str">
            <v>B</v>
          </cell>
          <cell r="B914" t="str">
            <v>UMA52308</v>
          </cell>
          <cell r="C914" t="str">
            <v>동관 옥내 배관</v>
          </cell>
          <cell r="D914" t="str">
            <v>D25 MM,  (M TYPE)</v>
          </cell>
          <cell r="E914" t="str">
            <v>M</v>
          </cell>
          <cell r="F914">
            <v>24.8</v>
          </cell>
          <cell r="G914">
            <v>1700</v>
          </cell>
          <cell r="H914">
            <v>2000</v>
          </cell>
          <cell r="I914">
            <v>0</v>
          </cell>
        </row>
        <row r="915">
          <cell r="A915" t="str">
            <v>B</v>
          </cell>
          <cell r="B915" t="str">
            <v>UMA52310</v>
          </cell>
          <cell r="C915" t="str">
            <v>동관 옥내 배관</v>
          </cell>
          <cell r="D915" t="str">
            <v>D32 MM, (M TYPE)</v>
          </cell>
          <cell r="E915" t="str">
            <v>M</v>
          </cell>
          <cell r="F915">
            <v>9.6999999999999993</v>
          </cell>
          <cell r="G915">
            <v>2600</v>
          </cell>
          <cell r="H915">
            <v>2500</v>
          </cell>
          <cell r="I915">
            <v>100</v>
          </cell>
        </row>
        <row r="916">
          <cell r="A916" t="str">
            <v>B</v>
          </cell>
          <cell r="B916" t="str">
            <v>UMA52405</v>
          </cell>
          <cell r="C916" t="str">
            <v>동관 화장실 배관</v>
          </cell>
          <cell r="D916" t="str">
            <v>D15 MM,  (M TYPE)</v>
          </cell>
          <cell r="E916" t="str">
            <v>M</v>
          </cell>
          <cell r="F916">
            <v>18.649999999999999</v>
          </cell>
          <cell r="G916">
            <v>800</v>
          </cell>
          <cell r="H916">
            <v>1700</v>
          </cell>
          <cell r="I916">
            <v>0</v>
          </cell>
        </row>
        <row r="917">
          <cell r="A917" t="str">
            <v>B</v>
          </cell>
          <cell r="B917" t="str">
            <v>UMA52407</v>
          </cell>
          <cell r="C917" t="str">
            <v>동관 화장실 배관</v>
          </cell>
          <cell r="D917" t="str">
            <v>D20 MM,  (M TYPE)</v>
          </cell>
          <cell r="E917" t="str">
            <v>M</v>
          </cell>
          <cell r="F917">
            <v>6.6</v>
          </cell>
          <cell r="G917">
            <v>1200</v>
          </cell>
          <cell r="H917">
            <v>2000</v>
          </cell>
          <cell r="I917">
            <v>0</v>
          </cell>
        </row>
        <row r="918">
          <cell r="A918" t="str">
            <v>B</v>
          </cell>
          <cell r="B918" t="str">
            <v>UMA52408</v>
          </cell>
          <cell r="C918" t="str">
            <v>동관 화장실 배관</v>
          </cell>
          <cell r="D918" t="str">
            <v>D25 MM,  (M TYPE)</v>
          </cell>
          <cell r="E918" t="str">
            <v>M</v>
          </cell>
          <cell r="F918">
            <v>1.4</v>
          </cell>
          <cell r="G918">
            <v>1700</v>
          </cell>
          <cell r="H918">
            <v>2400</v>
          </cell>
          <cell r="I918">
            <v>0</v>
          </cell>
        </row>
        <row r="919">
          <cell r="A919" t="str">
            <v>B</v>
          </cell>
          <cell r="B919" t="str">
            <v>UMA52410</v>
          </cell>
          <cell r="C919" t="str">
            <v>동관 화장실 배관</v>
          </cell>
          <cell r="D919" t="str">
            <v>D32 MM,  (M TYPE)</v>
          </cell>
          <cell r="E919" t="str">
            <v>M</v>
          </cell>
          <cell r="F919">
            <v>2.1</v>
          </cell>
          <cell r="G919">
            <v>2552</v>
          </cell>
          <cell r="H919">
            <v>3035</v>
          </cell>
          <cell r="I919">
            <v>60</v>
          </cell>
        </row>
        <row r="920">
          <cell r="A920" t="str">
            <v>B</v>
          </cell>
          <cell r="B920" t="str">
            <v>UMA52412</v>
          </cell>
          <cell r="C920" t="str">
            <v>동관 화장실 배관</v>
          </cell>
          <cell r="D920" t="str">
            <v>D40 MM, (M TYPE)</v>
          </cell>
          <cell r="E920" t="str">
            <v>M</v>
          </cell>
          <cell r="F920">
            <v>4.0999999999999996</v>
          </cell>
          <cell r="G920">
            <v>3500</v>
          </cell>
          <cell r="H920">
            <v>3400</v>
          </cell>
          <cell r="I920">
            <v>100</v>
          </cell>
        </row>
        <row r="921">
          <cell r="A921" t="str">
            <v>B</v>
          </cell>
          <cell r="B921" t="str">
            <v>UMC24108</v>
          </cell>
          <cell r="C921" t="str">
            <v>동관용접 (BRAZING)</v>
          </cell>
          <cell r="D921" t="str">
            <v>D25 MM</v>
          </cell>
          <cell r="E921" t="str">
            <v>개소</v>
          </cell>
          <cell r="F921">
            <v>34</v>
          </cell>
          <cell r="G921">
            <v>174</v>
          </cell>
          <cell r="H921">
            <v>1455</v>
          </cell>
          <cell r="I921">
            <v>29</v>
          </cell>
        </row>
        <row r="922">
          <cell r="A922" t="str">
            <v>B</v>
          </cell>
          <cell r="B922" t="str">
            <v>UMC24110</v>
          </cell>
          <cell r="C922" t="str">
            <v>동관용접 (BRAZING)</v>
          </cell>
          <cell r="D922" t="str">
            <v>D32 MM</v>
          </cell>
          <cell r="E922" t="str">
            <v>개소</v>
          </cell>
          <cell r="F922">
            <v>9</v>
          </cell>
          <cell r="G922">
            <v>240</v>
          </cell>
          <cell r="H922">
            <v>1781</v>
          </cell>
          <cell r="I922">
            <v>35</v>
          </cell>
        </row>
        <row r="923">
          <cell r="A923" t="str">
            <v>B</v>
          </cell>
          <cell r="B923" t="str">
            <v>UMC24112</v>
          </cell>
          <cell r="C923" t="str">
            <v>동관용접 (BRAZING)</v>
          </cell>
          <cell r="D923" t="str">
            <v>D40 MM</v>
          </cell>
          <cell r="E923" t="str">
            <v>개소</v>
          </cell>
          <cell r="F923">
            <v>25</v>
          </cell>
          <cell r="G923">
            <v>314</v>
          </cell>
          <cell r="H923">
            <v>1958</v>
          </cell>
          <cell r="I923">
            <v>39</v>
          </cell>
        </row>
        <row r="924">
          <cell r="A924" t="str">
            <v>B</v>
          </cell>
          <cell r="B924" t="str">
            <v>UMC24305</v>
          </cell>
          <cell r="C924" t="str">
            <v>동관용접 (SOLDERING)</v>
          </cell>
          <cell r="D924" t="str">
            <v>D15 MM</v>
          </cell>
          <cell r="E924" t="str">
            <v>개소</v>
          </cell>
          <cell r="F924">
            <v>135</v>
          </cell>
          <cell r="G924">
            <v>30</v>
          </cell>
          <cell r="H924">
            <v>960</v>
          </cell>
          <cell r="I924">
            <v>19</v>
          </cell>
        </row>
        <row r="925">
          <cell r="A925" t="str">
            <v>B</v>
          </cell>
          <cell r="B925" t="str">
            <v>UMC24307</v>
          </cell>
          <cell r="C925" t="str">
            <v>동관용접 (SOLDERING)</v>
          </cell>
          <cell r="D925" t="str">
            <v>D20 MM</v>
          </cell>
          <cell r="E925" t="str">
            <v>개소</v>
          </cell>
          <cell r="F925">
            <v>10</v>
          </cell>
          <cell r="G925">
            <v>47</v>
          </cell>
          <cell r="H925">
            <v>1108</v>
          </cell>
          <cell r="I925">
            <v>22</v>
          </cell>
        </row>
        <row r="926">
          <cell r="A926" t="str">
            <v>B</v>
          </cell>
          <cell r="B926" t="str">
            <v>UMD10105</v>
          </cell>
          <cell r="C926" t="str">
            <v>게이트밸브 설치(청동제)</v>
          </cell>
          <cell r="D926" t="str">
            <v>D15 MM, (5KG/CM2)</v>
          </cell>
          <cell r="E926" t="str">
            <v>개소</v>
          </cell>
          <cell r="F926">
            <v>10</v>
          </cell>
          <cell r="G926">
            <v>1534</v>
          </cell>
          <cell r="H926">
            <v>2119</v>
          </cell>
          <cell r="I926">
            <v>42</v>
          </cell>
        </row>
        <row r="927">
          <cell r="A927" t="str">
            <v>B</v>
          </cell>
          <cell r="B927" t="str">
            <v>UMD10112</v>
          </cell>
          <cell r="C927" t="str">
            <v>게이트밸브 설치(청동제)</v>
          </cell>
          <cell r="D927" t="str">
            <v>D40 MM, (5KG/CM2)</v>
          </cell>
          <cell r="E927" t="str">
            <v>개소</v>
          </cell>
          <cell r="F927">
            <v>3</v>
          </cell>
          <cell r="G927">
            <v>5400</v>
          </cell>
          <cell r="H927">
            <v>2119</v>
          </cell>
          <cell r="I927">
            <v>42</v>
          </cell>
        </row>
        <row r="928">
          <cell r="A928" t="str">
            <v>B</v>
          </cell>
          <cell r="B928" t="str">
            <v>UME22205</v>
          </cell>
          <cell r="C928" t="str">
            <v>동관보온(은박)</v>
          </cell>
          <cell r="D928" t="str">
            <v>D=15MM, T=25MM</v>
          </cell>
          <cell r="E928" t="str">
            <v>M</v>
          </cell>
          <cell r="F928">
            <v>22</v>
          </cell>
          <cell r="G928">
            <v>600</v>
          </cell>
          <cell r="H928">
            <v>1200</v>
          </cell>
          <cell r="I928">
            <v>0</v>
          </cell>
        </row>
        <row r="929">
          <cell r="A929" t="str">
            <v>B</v>
          </cell>
          <cell r="B929" t="str">
            <v>UME22207</v>
          </cell>
          <cell r="C929" t="str">
            <v>동관보온(은박)</v>
          </cell>
          <cell r="D929" t="str">
            <v>D=20MM, T=25MM</v>
          </cell>
          <cell r="E929" t="str">
            <v>M</v>
          </cell>
          <cell r="F929">
            <v>13.1</v>
          </cell>
          <cell r="G929">
            <v>700</v>
          </cell>
          <cell r="H929">
            <v>1500</v>
          </cell>
          <cell r="I929">
            <v>0</v>
          </cell>
        </row>
        <row r="930">
          <cell r="A930" t="str">
            <v>B</v>
          </cell>
          <cell r="B930" t="str">
            <v>UME22208</v>
          </cell>
          <cell r="C930" t="str">
            <v>동관보온(은박)</v>
          </cell>
          <cell r="D930" t="str">
            <v>D=25MM, T=25MM</v>
          </cell>
          <cell r="E930" t="str">
            <v>M</v>
          </cell>
          <cell r="F930">
            <v>26.2</v>
          </cell>
          <cell r="G930">
            <v>800</v>
          </cell>
          <cell r="H930">
            <v>1800</v>
          </cell>
          <cell r="I930">
            <v>0</v>
          </cell>
        </row>
        <row r="931">
          <cell r="A931" t="str">
            <v>B</v>
          </cell>
          <cell r="B931" t="str">
            <v>UME22210</v>
          </cell>
          <cell r="C931" t="str">
            <v>동관보온(은박)</v>
          </cell>
          <cell r="D931" t="str">
            <v>D=32MM, T=25MM</v>
          </cell>
          <cell r="E931" t="str">
            <v>M</v>
          </cell>
          <cell r="F931">
            <v>2.1</v>
          </cell>
          <cell r="G931">
            <v>900</v>
          </cell>
          <cell r="H931">
            <v>2000</v>
          </cell>
          <cell r="I931">
            <v>0</v>
          </cell>
        </row>
        <row r="932">
          <cell r="A932" t="str">
            <v>B</v>
          </cell>
          <cell r="B932" t="str">
            <v>UME22212</v>
          </cell>
          <cell r="C932" t="str">
            <v>동관보온(은박)</v>
          </cell>
          <cell r="D932" t="str">
            <v>D=40MM, T=25MM</v>
          </cell>
          <cell r="E932" t="str">
            <v>M</v>
          </cell>
          <cell r="F932">
            <v>13.8</v>
          </cell>
          <cell r="G932">
            <v>1000</v>
          </cell>
          <cell r="H932">
            <v>2000</v>
          </cell>
          <cell r="I932">
            <v>0</v>
          </cell>
        </row>
        <row r="933">
          <cell r="A933" t="str">
            <v>B</v>
          </cell>
          <cell r="B933" t="str">
            <v>UME80205</v>
          </cell>
          <cell r="C933" t="str">
            <v>발포폴리에틸렌 보온</v>
          </cell>
          <cell r="D933" t="str">
            <v>D=15MM, T=5MM</v>
          </cell>
          <cell r="E933" t="str">
            <v>M</v>
          </cell>
          <cell r="F933">
            <v>41.65</v>
          </cell>
          <cell r="G933">
            <v>100</v>
          </cell>
          <cell r="H933">
            <v>300</v>
          </cell>
          <cell r="I933">
            <v>0</v>
          </cell>
        </row>
        <row r="934">
          <cell r="A934" t="str">
            <v>B</v>
          </cell>
          <cell r="B934" t="str">
            <v>UME80207</v>
          </cell>
          <cell r="C934" t="str">
            <v>발포폴리에틸렌 보온</v>
          </cell>
          <cell r="D934" t="str">
            <v>D=20MM, T=5MM</v>
          </cell>
          <cell r="E934" t="str">
            <v>M</v>
          </cell>
          <cell r="F934">
            <v>1.5</v>
          </cell>
          <cell r="G934">
            <v>200</v>
          </cell>
          <cell r="H934">
            <v>500</v>
          </cell>
          <cell r="I934">
            <v>0</v>
          </cell>
        </row>
        <row r="935">
          <cell r="A935" t="str">
            <v>B</v>
          </cell>
          <cell r="B935" t="str">
            <v>UME90104</v>
          </cell>
          <cell r="C935" t="str">
            <v>정온전선설치(센서,접지)</v>
          </cell>
          <cell r="D935" t="str">
            <v>4M</v>
          </cell>
          <cell r="E935" t="str">
            <v>조</v>
          </cell>
          <cell r="F935">
            <v>1</v>
          </cell>
          <cell r="G935">
            <v>26136</v>
          </cell>
          <cell r="H935">
            <v>5729</v>
          </cell>
          <cell r="I935">
            <v>114</v>
          </cell>
        </row>
        <row r="936">
          <cell r="A936" t="str">
            <v>B</v>
          </cell>
          <cell r="B936" t="str">
            <v>UMG25100</v>
          </cell>
          <cell r="C936" t="str">
            <v>세면기수전설치(다용도꼭지제외)</v>
          </cell>
          <cell r="D936" t="str">
            <v>니켈크롬도장</v>
          </cell>
          <cell r="E936" t="str">
            <v>개</v>
          </cell>
          <cell r="F936">
            <v>2</v>
          </cell>
          <cell r="G936">
            <v>36936</v>
          </cell>
          <cell r="H936">
            <v>6792</v>
          </cell>
          <cell r="I936">
            <v>135</v>
          </cell>
        </row>
        <row r="937">
          <cell r="A937" t="str">
            <v>B</v>
          </cell>
          <cell r="B937" t="str">
            <v>UMG40202</v>
          </cell>
          <cell r="C937" t="str">
            <v>가로꼭지 설치 (일반형)</v>
          </cell>
          <cell r="D937" t="str">
            <v>D15</v>
          </cell>
          <cell r="E937" t="str">
            <v>개</v>
          </cell>
          <cell r="F937">
            <v>10</v>
          </cell>
          <cell r="G937">
            <v>2160</v>
          </cell>
          <cell r="H937">
            <v>2323</v>
          </cell>
          <cell r="I937">
            <v>46</v>
          </cell>
        </row>
        <row r="938">
          <cell r="A938" t="str">
            <v>B</v>
          </cell>
          <cell r="B938" t="str">
            <v>UMG40225</v>
          </cell>
          <cell r="C938" t="str">
            <v>긴몸통 가로꼭지 설치</v>
          </cell>
          <cell r="D938" t="str">
            <v>D20</v>
          </cell>
          <cell r="E938" t="str">
            <v>개</v>
          </cell>
          <cell r="F938">
            <v>1</v>
          </cell>
          <cell r="G938">
            <v>3600</v>
          </cell>
          <cell r="H938">
            <v>2323</v>
          </cell>
          <cell r="I938">
            <v>46</v>
          </cell>
        </row>
        <row r="939">
          <cell r="A939" t="str">
            <v>B</v>
          </cell>
          <cell r="B939" t="str">
            <v>UMK32100</v>
          </cell>
          <cell r="C939" t="str">
            <v>양수기함설치(냉수용)</v>
          </cell>
          <cell r="D939" t="str">
            <v>430LX280HX200W</v>
          </cell>
          <cell r="E939" t="str">
            <v>개</v>
          </cell>
          <cell r="F939">
            <v>10</v>
          </cell>
          <cell r="G939">
            <v>21768</v>
          </cell>
          <cell r="H939">
            <v>8626</v>
          </cell>
          <cell r="I939">
            <v>172</v>
          </cell>
        </row>
        <row r="940">
          <cell r="A940" t="str">
            <v>B</v>
          </cell>
          <cell r="B940" t="str">
            <v>UMO31705</v>
          </cell>
          <cell r="C940" t="str">
            <v>지수판스리브강관제작</v>
          </cell>
          <cell r="D940" t="str">
            <v>D65 M/M</v>
          </cell>
          <cell r="E940" t="str">
            <v>개소</v>
          </cell>
          <cell r="F940">
            <v>1</v>
          </cell>
          <cell r="G940">
            <v>1351</v>
          </cell>
          <cell r="H940">
            <v>7499</v>
          </cell>
          <cell r="I940">
            <v>148</v>
          </cell>
        </row>
        <row r="941">
          <cell r="A941" t="str">
            <v>B</v>
          </cell>
          <cell r="B941" t="str">
            <v>UMP10204</v>
          </cell>
          <cell r="C941" t="str">
            <v>수도미터 설치 (급수용)</v>
          </cell>
          <cell r="D941" t="str">
            <v>D13 MM</v>
          </cell>
          <cell r="E941" t="str">
            <v>개</v>
          </cell>
          <cell r="F941">
            <v>10</v>
          </cell>
          <cell r="G941">
            <v>7920</v>
          </cell>
          <cell r="H941">
            <v>6646</v>
          </cell>
          <cell r="I941">
            <v>132</v>
          </cell>
        </row>
        <row r="942">
          <cell r="C942" t="str">
            <v>소  계</v>
          </cell>
        </row>
        <row r="944">
          <cell r="C944" t="str">
            <v>*  오배수공사</v>
          </cell>
        </row>
        <row r="945">
          <cell r="A945" t="str">
            <v>B</v>
          </cell>
          <cell r="B945" t="str">
            <v>MAH80709</v>
          </cell>
          <cell r="C945" t="str">
            <v>동망캡</v>
          </cell>
          <cell r="D945" t="str">
            <v>통기관용</v>
          </cell>
          <cell r="E945" t="str">
            <v>개</v>
          </cell>
          <cell r="F945">
            <v>1</v>
          </cell>
          <cell r="G945">
            <v>180</v>
          </cell>
          <cell r="H945">
            <v>0</v>
          </cell>
          <cell r="I945">
            <v>0</v>
          </cell>
        </row>
        <row r="946">
          <cell r="A946" t="str">
            <v>B</v>
          </cell>
          <cell r="B946" t="str">
            <v>MGF11251</v>
          </cell>
          <cell r="C946" t="str">
            <v>행가지지봉</v>
          </cell>
          <cell r="D946" t="str">
            <v>9MM(3/8")</v>
          </cell>
          <cell r="E946" t="str">
            <v>M</v>
          </cell>
          <cell r="F946">
            <v>10.1</v>
          </cell>
          <cell r="G946">
            <v>225</v>
          </cell>
          <cell r="H946">
            <v>0</v>
          </cell>
          <cell r="I946">
            <v>0</v>
          </cell>
        </row>
        <row r="947">
          <cell r="A947" t="str">
            <v>B</v>
          </cell>
          <cell r="B947" t="str">
            <v>MGF30505</v>
          </cell>
          <cell r="C947" t="str">
            <v>인서트</v>
          </cell>
          <cell r="D947" t="str">
            <v>D9</v>
          </cell>
          <cell r="E947" t="str">
            <v>개</v>
          </cell>
          <cell r="F947">
            <v>35</v>
          </cell>
          <cell r="G947">
            <v>26</v>
          </cell>
          <cell r="H947">
            <v>0</v>
          </cell>
          <cell r="I947">
            <v>0</v>
          </cell>
        </row>
        <row r="948">
          <cell r="A948" t="str">
            <v>B</v>
          </cell>
          <cell r="B948" t="str">
            <v>MMC37113</v>
          </cell>
          <cell r="C948" t="str">
            <v>PVC 45도 곡관</v>
          </cell>
          <cell r="D948" t="str">
            <v>D50 MM</v>
          </cell>
          <cell r="E948" t="str">
            <v>개</v>
          </cell>
          <cell r="F948">
            <v>1</v>
          </cell>
          <cell r="G948">
            <v>681</v>
          </cell>
          <cell r="H948">
            <v>0</v>
          </cell>
          <cell r="I948">
            <v>0</v>
          </cell>
        </row>
        <row r="949">
          <cell r="A949" t="str">
            <v>B</v>
          </cell>
          <cell r="B949" t="str">
            <v>MMC37119</v>
          </cell>
          <cell r="C949" t="str">
            <v>PVC 45도 곡관</v>
          </cell>
          <cell r="D949" t="str">
            <v>D100 MM</v>
          </cell>
          <cell r="E949" t="str">
            <v>개</v>
          </cell>
          <cell r="F949">
            <v>1</v>
          </cell>
          <cell r="G949">
            <v>2082</v>
          </cell>
          <cell r="H949">
            <v>0</v>
          </cell>
          <cell r="I949">
            <v>0</v>
          </cell>
        </row>
        <row r="950">
          <cell r="A950" t="str">
            <v>B</v>
          </cell>
          <cell r="B950" t="str">
            <v>MMC37211</v>
          </cell>
          <cell r="C950" t="str">
            <v>PVC 90도 곡관</v>
          </cell>
          <cell r="D950" t="str">
            <v>D35 MM</v>
          </cell>
          <cell r="E950" t="str">
            <v>개</v>
          </cell>
          <cell r="F950">
            <v>2</v>
          </cell>
          <cell r="G950">
            <v>437</v>
          </cell>
          <cell r="H950">
            <v>0</v>
          </cell>
          <cell r="I950">
            <v>0</v>
          </cell>
        </row>
        <row r="951">
          <cell r="A951" t="str">
            <v>B</v>
          </cell>
          <cell r="B951" t="str">
            <v>MMC37213</v>
          </cell>
          <cell r="C951" t="str">
            <v>PVC 90도 곡관</v>
          </cell>
          <cell r="D951" t="str">
            <v>D50 MM</v>
          </cell>
          <cell r="E951" t="str">
            <v>개</v>
          </cell>
          <cell r="F951">
            <v>3</v>
          </cell>
          <cell r="G951">
            <v>830</v>
          </cell>
          <cell r="H951">
            <v>0</v>
          </cell>
          <cell r="I951">
            <v>0</v>
          </cell>
        </row>
        <row r="952">
          <cell r="A952" t="str">
            <v>B</v>
          </cell>
          <cell r="B952" t="str">
            <v>MMC37216</v>
          </cell>
          <cell r="C952" t="str">
            <v>PVC 90도 곡관</v>
          </cell>
          <cell r="D952" t="str">
            <v>D75 MM</v>
          </cell>
          <cell r="E952" t="str">
            <v>개</v>
          </cell>
          <cell r="F952">
            <v>1</v>
          </cell>
          <cell r="G952">
            <v>1657</v>
          </cell>
          <cell r="H952">
            <v>0</v>
          </cell>
          <cell r="I952">
            <v>0</v>
          </cell>
        </row>
        <row r="953">
          <cell r="A953" t="str">
            <v>B</v>
          </cell>
          <cell r="B953" t="str">
            <v>MMC37219</v>
          </cell>
          <cell r="C953" t="str">
            <v>PVC 90도 곡관</v>
          </cell>
          <cell r="D953" t="str">
            <v>D100 MM</v>
          </cell>
          <cell r="E953" t="str">
            <v>개</v>
          </cell>
          <cell r="F953">
            <v>4</v>
          </cell>
          <cell r="G953">
            <v>3141</v>
          </cell>
          <cell r="H953">
            <v>0</v>
          </cell>
          <cell r="I953">
            <v>0</v>
          </cell>
        </row>
        <row r="954">
          <cell r="A954" t="str">
            <v>B</v>
          </cell>
          <cell r="B954" t="str">
            <v>MMC37347</v>
          </cell>
          <cell r="C954" t="str">
            <v>PVC Y 관</v>
          </cell>
          <cell r="D954" t="str">
            <v>D75 X 50</v>
          </cell>
          <cell r="E954" t="str">
            <v>개</v>
          </cell>
          <cell r="F954">
            <v>1</v>
          </cell>
          <cell r="G954">
            <v>1687</v>
          </cell>
          <cell r="H954">
            <v>0</v>
          </cell>
          <cell r="I954">
            <v>0</v>
          </cell>
        </row>
        <row r="955">
          <cell r="A955" t="str">
            <v>B</v>
          </cell>
          <cell r="B955" t="str">
            <v>MMC37351</v>
          </cell>
          <cell r="C955" t="str">
            <v>PVC Y 관</v>
          </cell>
          <cell r="D955" t="str">
            <v>D100X 50</v>
          </cell>
          <cell r="E955" t="str">
            <v>개</v>
          </cell>
          <cell r="F955">
            <v>4</v>
          </cell>
          <cell r="G955">
            <v>2453</v>
          </cell>
          <cell r="H955">
            <v>0</v>
          </cell>
          <cell r="I955">
            <v>0</v>
          </cell>
        </row>
        <row r="956">
          <cell r="A956" t="str">
            <v>B</v>
          </cell>
          <cell r="B956" t="str">
            <v>MMC37447</v>
          </cell>
          <cell r="C956" t="str">
            <v>PVC YT 관</v>
          </cell>
          <cell r="D956" t="str">
            <v>D75 X 50</v>
          </cell>
          <cell r="E956" t="str">
            <v>개</v>
          </cell>
          <cell r="F956">
            <v>4</v>
          </cell>
          <cell r="G956">
            <v>1795</v>
          </cell>
          <cell r="H956">
            <v>0</v>
          </cell>
          <cell r="I956">
            <v>0</v>
          </cell>
        </row>
        <row r="957">
          <cell r="A957" t="str">
            <v>B</v>
          </cell>
          <cell r="B957" t="str">
            <v>MMC37448</v>
          </cell>
          <cell r="C957" t="str">
            <v>PVC YT 관</v>
          </cell>
          <cell r="D957" t="str">
            <v>D75 X 75</v>
          </cell>
          <cell r="E957" t="str">
            <v>개</v>
          </cell>
          <cell r="F957">
            <v>1</v>
          </cell>
          <cell r="G957">
            <v>3213</v>
          </cell>
          <cell r="H957">
            <v>0</v>
          </cell>
          <cell r="I957">
            <v>0</v>
          </cell>
        </row>
        <row r="958">
          <cell r="A958" t="str">
            <v>B</v>
          </cell>
          <cell r="B958" t="str">
            <v>MMC37451</v>
          </cell>
          <cell r="C958" t="str">
            <v>PVC YT 관</v>
          </cell>
          <cell r="D958" t="str">
            <v>D100X 50</v>
          </cell>
          <cell r="E958" t="str">
            <v>개</v>
          </cell>
          <cell r="F958">
            <v>1</v>
          </cell>
          <cell r="G958">
            <v>2375</v>
          </cell>
          <cell r="H958">
            <v>0</v>
          </cell>
          <cell r="I958">
            <v>0</v>
          </cell>
        </row>
        <row r="959">
          <cell r="A959" t="str">
            <v>B</v>
          </cell>
          <cell r="B959" t="str">
            <v>MMC37453</v>
          </cell>
          <cell r="C959" t="str">
            <v>PVC YT 관</v>
          </cell>
          <cell r="D959" t="str">
            <v>D100X100</v>
          </cell>
          <cell r="E959" t="str">
            <v>개</v>
          </cell>
          <cell r="F959">
            <v>1</v>
          </cell>
          <cell r="G959">
            <v>3626</v>
          </cell>
          <cell r="H959">
            <v>0</v>
          </cell>
          <cell r="I959">
            <v>0</v>
          </cell>
        </row>
        <row r="960">
          <cell r="A960" t="str">
            <v>B</v>
          </cell>
          <cell r="B960" t="str">
            <v>MMC37744</v>
          </cell>
          <cell r="C960" t="str">
            <v>PVC C-YT 관</v>
          </cell>
          <cell r="D960" t="str">
            <v>D50 X 50</v>
          </cell>
          <cell r="E960" t="str">
            <v>개</v>
          </cell>
          <cell r="F960">
            <v>5</v>
          </cell>
          <cell r="G960">
            <v>1961</v>
          </cell>
          <cell r="H960">
            <v>0</v>
          </cell>
          <cell r="I960">
            <v>0</v>
          </cell>
        </row>
        <row r="961">
          <cell r="A961" t="str">
            <v>B</v>
          </cell>
          <cell r="B961" t="str">
            <v>MMC37747</v>
          </cell>
          <cell r="C961" t="str">
            <v>PVC C-YT 관</v>
          </cell>
          <cell r="D961" t="str">
            <v>D75 X 50</v>
          </cell>
          <cell r="E961" t="str">
            <v>개</v>
          </cell>
          <cell r="F961">
            <v>1</v>
          </cell>
          <cell r="G961">
            <v>2549</v>
          </cell>
          <cell r="H961">
            <v>0</v>
          </cell>
          <cell r="I961">
            <v>0</v>
          </cell>
        </row>
        <row r="962">
          <cell r="A962" t="str">
            <v>B</v>
          </cell>
          <cell r="B962" t="str">
            <v>MMC37752</v>
          </cell>
          <cell r="C962" t="str">
            <v>PVC C-YT 관</v>
          </cell>
          <cell r="D962" t="str">
            <v>D100X 75</v>
          </cell>
          <cell r="E962" t="str">
            <v>개</v>
          </cell>
          <cell r="F962">
            <v>1</v>
          </cell>
          <cell r="G962">
            <v>3665</v>
          </cell>
          <cell r="H962">
            <v>0</v>
          </cell>
          <cell r="I962">
            <v>0</v>
          </cell>
        </row>
        <row r="963">
          <cell r="A963" t="str">
            <v>B</v>
          </cell>
          <cell r="B963" t="str">
            <v>MMC37843</v>
          </cell>
          <cell r="C963" t="str">
            <v>PVC 레듀샤</v>
          </cell>
          <cell r="D963" t="str">
            <v>D50 X 40</v>
          </cell>
          <cell r="E963" t="str">
            <v>개</v>
          </cell>
          <cell r="F963">
            <v>1</v>
          </cell>
          <cell r="G963">
            <v>819</v>
          </cell>
          <cell r="H963">
            <v>0</v>
          </cell>
          <cell r="I963">
            <v>0</v>
          </cell>
        </row>
        <row r="964">
          <cell r="A964" t="str">
            <v>B</v>
          </cell>
          <cell r="B964" t="str">
            <v>MML31100</v>
          </cell>
          <cell r="C964" t="str">
            <v>분말소화기(ABC)</v>
          </cell>
          <cell r="D964" t="str">
            <v>1.5KG</v>
          </cell>
          <cell r="E964" t="str">
            <v>개</v>
          </cell>
          <cell r="F964">
            <v>2</v>
          </cell>
          <cell r="G964">
            <v>10080</v>
          </cell>
          <cell r="H964">
            <v>0</v>
          </cell>
          <cell r="I964">
            <v>0</v>
          </cell>
        </row>
        <row r="965">
          <cell r="A965" t="str">
            <v>B</v>
          </cell>
          <cell r="B965" t="str">
            <v>MMO10110</v>
          </cell>
          <cell r="C965" t="str">
            <v>파이프 행가</v>
          </cell>
          <cell r="D965" t="str">
            <v>D32 MM</v>
          </cell>
          <cell r="E965" t="str">
            <v>개</v>
          </cell>
          <cell r="F965">
            <v>1</v>
          </cell>
          <cell r="G965">
            <v>190</v>
          </cell>
          <cell r="H965">
            <v>0</v>
          </cell>
          <cell r="I965">
            <v>0</v>
          </cell>
        </row>
        <row r="966">
          <cell r="A966" t="str">
            <v>B</v>
          </cell>
          <cell r="B966" t="str">
            <v>MMO10113</v>
          </cell>
          <cell r="C966" t="str">
            <v>파이프 행가</v>
          </cell>
          <cell r="D966" t="str">
            <v>D50 MM</v>
          </cell>
          <cell r="E966" t="str">
            <v>개</v>
          </cell>
          <cell r="F966">
            <v>17</v>
          </cell>
          <cell r="G966">
            <v>288</v>
          </cell>
          <cell r="H966">
            <v>0</v>
          </cell>
          <cell r="I966">
            <v>0</v>
          </cell>
        </row>
        <row r="967">
          <cell r="A967" t="str">
            <v>B</v>
          </cell>
          <cell r="B967" t="str">
            <v>MMO10117</v>
          </cell>
          <cell r="C967" t="str">
            <v>파이프 행가</v>
          </cell>
          <cell r="D967" t="str">
            <v>D80 MM</v>
          </cell>
          <cell r="E967" t="str">
            <v>개</v>
          </cell>
          <cell r="F967">
            <v>8</v>
          </cell>
          <cell r="G967">
            <v>432</v>
          </cell>
          <cell r="H967">
            <v>0</v>
          </cell>
          <cell r="I967">
            <v>0</v>
          </cell>
        </row>
        <row r="968">
          <cell r="A968" t="str">
            <v>B</v>
          </cell>
          <cell r="B968" t="str">
            <v>MMO10119</v>
          </cell>
          <cell r="C968" t="str">
            <v>파이프 행가</v>
          </cell>
          <cell r="D968" t="str">
            <v>D100 MM</v>
          </cell>
          <cell r="E968" t="str">
            <v>개</v>
          </cell>
          <cell r="F968">
            <v>9</v>
          </cell>
          <cell r="G968">
            <v>576</v>
          </cell>
          <cell r="H968">
            <v>0</v>
          </cell>
          <cell r="I968">
            <v>0</v>
          </cell>
        </row>
        <row r="969">
          <cell r="A969" t="str">
            <v>B</v>
          </cell>
          <cell r="B969" t="str">
            <v>MMO31313</v>
          </cell>
          <cell r="C969" t="str">
            <v>스리브(PVC제)</v>
          </cell>
          <cell r="D969" t="str">
            <v>D50 X 120H</v>
          </cell>
          <cell r="E969" t="str">
            <v>개</v>
          </cell>
          <cell r="F969">
            <v>2</v>
          </cell>
          <cell r="G969">
            <v>504</v>
          </cell>
          <cell r="H969">
            <v>0</v>
          </cell>
          <cell r="I969">
            <v>0</v>
          </cell>
        </row>
        <row r="970">
          <cell r="A970" t="str">
            <v>B</v>
          </cell>
          <cell r="B970" t="str">
            <v>MMO31319</v>
          </cell>
          <cell r="C970" t="str">
            <v>스리브(PVC제)</v>
          </cell>
          <cell r="D970" t="str">
            <v>D100X 120H</v>
          </cell>
          <cell r="E970" t="str">
            <v>개</v>
          </cell>
          <cell r="F970">
            <v>2</v>
          </cell>
          <cell r="G970">
            <v>828</v>
          </cell>
          <cell r="H970">
            <v>0</v>
          </cell>
          <cell r="I970">
            <v>0</v>
          </cell>
        </row>
        <row r="971">
          <cell r="A971" t="str">
            <v>B</v>
          </cell>
          <cell r="B971" t="str">
            <v>MMO31321</v>
          </cell>
          <cell r="C971" t="str">
            <v>스리브(PVC제)</v>
          </cell>
          <cell r="D971" t="str">
            <v>D35 X 220H</v>
          </cell>
          <cell r="E971" t="str">
            <v>개</v>
          </cell>
          <cell r="F971">
            <v>1</v>
          </cell>
          <cell r="G971">
            <v>576</v>
          </cell>
          <cell r="H971">
            <v>0</v>
          </cell>
          <cell r="I971">
            <v>0</v>
          </cell>
        </row>
        <row r="972">
          <cell r="A972" t="str">
            <v>B</v>
          </cell>
          <cell r="B972" t="str">
            <v>MMO31516</v>
          </cell>
          <cell r="C972" t="str">
            <v>입상관스리브(합성수지제)</v>
          </cell>
          <cell r="D972" t="str">
            <v>D75 MM</v>
          </cell>
          <cell r="E972" t="str">
            <v>개</v>
          </cell>
          <cell r="F972">
            <v>1</v>
          </cell>
          <cell r="G972">
            <v>1224</v>
          </cell>
          <cell r="H972">
            <v>0</v>
          </cell>
          <cell r="I972">
            <v>0</v>
          </cell>
        </row>
        <row r="973">
          <cell r="A973" t="str">
            <v>B</v>
          </cell>
          <cell r="B973" t="str">
            <v>UMA13213</v>
          </cell>
          <cell r="C973" t="str">
            <v>백강관 옥내 배관(은분2회)</v>
          </cell>
          <cell r="D973" t="str">
            <v>D50 MM</v>
          </cell>
          <cell r="E973" t="str">
            <v>M</v>
          </cell>
          <cell r="F973">
            <v>6</v>
          </cell>
          <cell r="G973">
            <v>2396</v>
          </cell>
          <cell r="H973">
            <v>8540</v>
          </cell>
          <cell r="I973">
            <v>171</v>
          </cell>
        </row>
        <row r="974">
          <cell r="A974" t="str">
            <v>B</v>
          </cell>
          <cell r="B974" t="str">
            <v>UMB30311</v>
          </cell>
          <cell r="C974" t="str">
            <v>오배수PVC 배관</v>
          </cell>
          <cell r="D974" t="str">
            <v>D35 MM(VG2)</v>
          </cell>
          <cell r="E974" t="str">
            <v>M</v>
          </cell>
          <cell r="F974">
            <v>1.2</v>
          </cell>
          <cell r="G974">
            <v>400</v>
          </cell>
          <cell r="H974">
            <v>1700</v>
          </cell>
          <cell r="I974">
            <v>0</v>
          </cell>
        </row>
        <row r="975">
          <cell r="A975" t="str">
            <v>B</v>
          </cell>
          <cell r="B975" t="str">
            <v>UMB30312</v>
          </cell>
          <cell r="C975" t="str">
            <v>오배수PVC 배관</v>
          </cell>
          <cell r="D975" t="str">
            <v>D40 MM(VG2)</v>
          </cell>
          <cell r="E975" t="str">
            <v>M</v>
          </cell>
          <cell r="F975">
            <v>0.9</v>
          </cell>
          <cell r="G975">
            <v>500</v>
          </cell>
          <cell r="H975">
            <v>1800</v>
          </cell>
          <cell r="I975">
            <v>0</v>
          </cell>
        </row>
        <row r="976">
          <cell r="A976" t="str">
            <v>B</v>
          </cell>
          <cell r="B976" t="str">
            <v>UMB30313</v>
          </cell>
          <cell r="C976" t="str">
            <v>오배수PVC 배관</v>
          </cell>
          <cell r="D976" t="str">
            <v>D50 MM(VG2)</v>
          </cell>
          <cell r="E976" t="str">
            <v>M</v>
          </cell>
          <cell r="F976">
            <v>32.15</v>
          </cell>
          <cell r="G976">
            <v>600</v>
          </cell>
          <cell r="H976">
            <v>2400</v>
          </cell>
          <cell r="I976">
            <v>0</v>
          </cell>
        </row>
        <row r="977">
          <cell r="A977" t="str">
            <v>B</v>
          </cell>
          <cell r="B977" t="str">
            <v>UMB30316</v>
          </cell>
          <cell r="C977" t="str">
            <v>오배수PVC 배관</v>
          </cell>
          <cell r="D977" t="str">
            <v>D75 MM(VG2)</v>
          </cell>
          <cell r="E977" t="str">
            <v>M</v>
          </cell>
          <cell r="F977">
            <v>10.8</v>
          </cell>
          <cell r="G977">
            <v>1271</v>
          </cell>
          <cell r="H977">
            <v>2920</v>
          </cell>
          <cell r="I977">
            <v>58</v>
          </cell>
        </row>
        <row r="978">
          <cell r="A978" t="str">
            <v>B</v>
          </cell>
          <cell r="B978" t="str">
            <v>UMB30318</v>
          </cell>
          <cell r="C978" t="str">
            <v>오배수PVC 배관</v>
          </cell>
          <cell r="D978" t="str">
            <v>D100 MM(VG2)</v>
          </cell>
          <cell r="E978" t="str">
            <v>M</v>
          </cell>
          <cell r="F978">
            <v>13.36</v>
          </cell>
          <cell r="G978">
            <v>1900</v>
          </cell>
          <cell r="H978">
            <v>3600</v>
          </cell>
          <cell r="I978">
            <v>100</v>
          </cell>
        </row>
        <row r="979">
          <cell r="A979" t="str">
            <v>B</v>
          </cell>
          <cell r="B979" t="str">
            <v>UMF22014</v>
          </cell>
          <cell r="C979" t="str">
            <v>배수용수중펌프설치(배관,충격완화C.V포함)</v>
          </cell>
          <cell r="D979" t="str">
            <v>1HP-2대,D50,탈착장치有</v>
          </cell>
          <cell r="E979" t="str">
            <v>조</v>
          </cell>
          <cell r="F979">
            <v>1</v>
          </cell>
          <cell r="G979">
            <v>1033417</v>
          </cell>
          <cell r="H979">
            <v>189549</v>
          </cell>
          <cell r="I979">
            <v>3887</v>
          </cell>
        </row>
        <row r="980">
          <cell r="A980" t="str">
            <v>B</v>
          </cell>
          <cell r="B980" t="str">
            <v>UMG10105</v>
          </cell>
          <cell r="C980" t="str">
            <v>양변기설치(유색,대형)</v>
          </cell>
          <cell r="D980" t="str">
            <v>KSVC-1210CR(휴지걸이제외)</v>
          </cell>
          <cell r="E980" t="str">
            <v>조</v>
          </cell>
          <cell r="F980">
            <v>2</v>
          </cell>
          <cell r="G980">
            <v>54989</v>
          </cell>
          <cell r="H980">
            <v>25649</v>
          </cell>
          <cell r="I980">
            <v>513</v>
          </cell>
        </row>
        <row r="981">
          <cell r="A981" t="str">
            <v>B</v>
          </cell>
          <cell r="B981" t="str">
            <v>UMG10110</v>
          </cell>
          <cell r="C981" t="str">
            <v>장애자 양변기설치(핸드+푸드밸브)</v>
          </cell>
          <cell r="D981" t="str">
            <v>KSVC-1110CR(손잡이포함,휴지걸이제외)</v>
          </cell>
          <cell r="E981" t="str">
            <v>조</v>
          </cell>
          <cell r="F981">
            <v>2</v>
          </cell>
          <cell r="G981">
            <v>160692</v>
          </cell>
          <cell r="H981">
            <v>21905</v>
          </cell>
          <cell r="I981">
            <v>438</v>
          </cell>
        </row>
        <row r="982">
          <cell r="A982" t="str">
            <v>B</v>
          </cell>
          <cell r="B982" t="str">
            <v>UMG13104</v>
          </cell>
          <cell r="C982" t="str">
            <v>일반세면기설치(백색)</v>
          </cell>
          <cell r="D982" t="str">
            <v>KSVL-610(수전제외)</v>
          </cell>
          <cell r="E982" t="str">
            <v>조</v>
          </cell>
          <cell r="F982">
            <v>2</v>
          </cell>
          <cell r="G982">
            <v>20160</v>
          </cell>
          <cell r="H982">
            <v>9161</v>
          </cell>
          <cell r="I982">
            <v>183</v>
          </cell>
        </row>
        <row r="983">
          <cell r="A983" t="str">
            <v>B</v>
          </cell>
          <cell r="B983" t="str">
            <v>UMG13600</v>
          </cell>
          <cell r="C983" t="str">
            <v>청소용수채설치</v>
          </cell>
          <cell r="D983" t="str">
            <v>460X560X660</v>
          </cell>
          <cell r="E983" t="str">
            <v>조</v>
          </cell>
          <cell r="F983">
            <v>1</v>
          </cell>
          <cell r="G983">
            <v>102672</v>
          </cell>
          <cell r="H983">
            <v>12128</v>
          </cell>
          <cell r="I983">
            <v>242</v>
          </cell>
        </row>
        <row r="984">
          <cell r="A984" t="str">
            <v>B</v>
          </cell>
          <cell r="B984" t="str">
            <v>UMG19202</v>
          </cell>
          <cell r="C984" t="str">
            <v>소변기설치</v>
          </cell>
          <cell r="D984" t="str">
            <v>KSEU-320(전자감응)</v>
          </cell>
          <cell r="E984" t="str">
            <v>조</v>
          </cell>
          <cell r="F984">
            <v>1</v>
          </cell>
          <cell r="G984">
            <v>68400</v>
          </cell>
          <cell r="H984">
            <v>34625</v>
          </cell>
          <cell r="I984">
            <v>692</v>
          </cell>
        </row>
        <row r="985">
          <cell r="A985" t="str">
            <v>B</v>
          </cell>
          <cell r="B985" t="str">
            <v>UMG43201</v>
          </cell>
          <cell r="C985" t="str">
            <v>화장경설치(무늬형)</v>
          </cell>
          <cell r="D985" t="str">
            <v>850X700X5T</v>
          </cell>
          <cell r="E985" t="str">
            <v>개</v>
          </cell>
          <cell r="F985">
            <v>2</v>
          </cell>
          <cell r="G985">
            <v>13178</v>
          </cell>
          <cell r="H985">
            <v>7471</v>
          </cell>
          <cell r="I985">
            <v>149</v>
          </cell>
        </row>
        <row r="986">
          <cell r="A986" t="str">
            <v>B</v>
          </cell>
          <cell r="B986" t="str">
            <v>UMG43301</v>
          </cell>
          <cell r="C986" t="str">
            <v>휴지걸이설치</v>
          </cell>
          <cell r="D986" t="str">
            <v>고급형</v>
          </cell>
          <cell r="E986" t="str">
            <v>개</v>
          </cell>
          <cell r="F986">
            <v>4</v>
          </cell>
          <cell r="G986">
            <v>5890</v>
          </cell>
          <cell r="H986">
            <v>4535</v>
          </cell>
          <cell r="I986">
            <v>90</v>
          </cell>
        </row>
        <row r="987">
          <cell r="A987" t="str">
            <v>B</v>
          </cell>
          <cell r="B987" t="str">
            <v>UMG43400</v>
          </cell>
          <cell r="C987" t="str">
            <v>수건걸이설치(고급형)</v>
          </cell>
          <cell r="D987" t="str">
            <v>1BAR</v>
          </cell>
          <cell r="E987" t="str">
            <v>개</v>
          </cell>
          <cell r="F987">
            <v>2</v>
          </cell>
          <cell r="G987">
            <v>6545</v>
          </cell>
          <cell r="H987">
            <v>4535</v>
          </cell>
          <cell r="I987">
            <v>90</v>
          </cell>
        </row>
        <row r="988">
          <cell r="A988" t="str">
            <v>B</v>
          </cell>
          <cell r="B988" t="str">
            <v>UMG43500</v>
          </cell>
          <cell r="C988" t="str">
            <v>장애자용 세면기손잡이 설치</v>
          </cell>
          <cell r="E988" t="str">
            <v>개</v>
          </cell>
          <cell r="F988">
            <v>1</v>
          </cell>
          <cell r="G988">
            <v>76032</v>
          </cell>
          <cell r="H988">
            <v>7434</v>
          </cell>
          <cell r="I988">
            <v>148</v>
          </cell>
        </row>
        <row r="989">
          <cell r="A989" t="str">
            <v>B</v>
          </cell>
          <cell r="B989" t="str">
            <v>UMG43502</v>
          </cell>
          <cell r="C989" t="str">
            <v>장애자용 소변기손잡이 설치</v>
          </cell>
          <cell r="E989" t="str">
            <v>개</v>
          </cell>
          <cell r="F989">
            <v>1</v>
          </cell>
          <cell r="G989">
            <v>57600</v>
          </cell>
          <cell r="H989">
            <v>5575</v>
          </cell>
          <cell r="I989">
            <v>111</v>
          </cell>
        </row>
        <row r="990">
          <cell r="A990" t="str">
            <v>B</v>
          </cell>
          <cell r="B990" t="str">
            <v>UMJ30305</v>
          </cell>
          <cell r="C990" t="str">
            <v>배기휀설치(벽식)</v>
          </cell>
          <cell r="D990" t="str">
            <v>33W이하</v>
          </cell>
          <cell r="E990" t="str">
            <v>대</v>
          </cell>
          <cell r="F990">
            <v>2</v>
          </cell>
          <cell r="G990">
            <v>11709</v>
          </cell>
          <cell r="H990">
            <v>15584</v>
          </cell>
          <cell r="I990">
            <v>311</v>
          </cell>
        </row>
        <row r="991">
          <cell r="A991" t="str">
            <v>B</v>
          </cell>
          <cell r="B991" t="str">
            <v>UML30110</v>
          </cell>
          <cell r="C991" t="str">
            <v>소화기걸이설치</v>
          </cell>
          <cell r="E991" t="str">
            <v>개소</v>
          </cell>
          <cell r="F991">
            <v>2</v>
          </cell>
          <cell r="G991">
            <v>0</v>
          </cell>
          <cell r="H991">
            <v>1646</v>
          </cell>
          <cell r="I991">
            <v>32</v>
          </cell>
        </row>
        <row r="992">
          <cell r="A992" t="str">
            <v>B</v>
          </cell>
          <cell r="B992" t="str">
            <v>UMO31705</v>
          </cell>
          <cell r="C992" t="str">
            <v>지수판스리브강관제작</v>
          </cell>
          <cell r="D992" t="str">
            <v>D65 M/M</v>
          </cell>
          <cell r="E992" t="str">
            <v>개소</v>
          </cell>
          <cell r="F992">
            <v>5</v>
          </cell>
          <cell r="G992">
            <v>1351</v>
          </cell>
          <cell r="H992">
            <v>7499</v>
          </cell>
          <cell r="I992">
            <v>148</v>
          </cell>
        </row>
        <row r="993">
          <cell r="A993" t="str">
            <v>B</v>
          </cell>
          <cell r="B993" t="str">
            <v>UMO31706</v>
          </cell>
          <cell r="C993" t="str">
            <v>지수판스리브강관제작</v>
          </cell>
          <cell r="D993" t="str">
            <v>D80 M/M</v>
          </cell>
          <cell r="E993" t="str">
            <v>개소</v>
          </cell>
          <cell r="F993">
            <v>1</v>
          </cell>
          <cell r="G993">
            <v>1746</v>
          </cell>
          <cell r="H993">
            <v>9418</v>
          </cell>
          <cell r="I993">
            <v>186</v>
          </cell>
        </row>
        <row r="994">
          <cell r="A994" t="str">
            <v>B</v>
          </cell>
          <cell r="B994" t="str">
            <v>UMO31708</v>
          </cell>
          <cell r="C994" t="str">
            <v>지수판스리브강관제작</v>
          </cell>
          <cell r="D994" t="str">
            <v>D125 M/M</v>
          </cell>
          <cell r="E994" t="str">
            <v>개소</v>
          </cell>
          <cell r="F994">
            <v>1</v>
          </cell>
          <cell r="G994">
            <v>2802</v>
          </cell>
          <cell r="H994">
            <v>11083</v>
          </cell>
          <cell r="I994">
            <v>220</v>
          </cell>
        </row>
        <row r="995">
          <cell r="A995" t="str">
            <v>B</v>
          </cell>
          <cell r="B995" t="str">
            <v>UMO31709</v>
          </cell>
          <cell r="C995" t="str">
            <v>지수판스리브강관제작</v>
          </cell>
          <cell r="D995" t="str">
            <v>D150 M/M</v>
          </cell>
          <cell r="E995" t="str">
            <v>개소</v>
          </cell>
          <cell r="F995">
            <v>1</v>
          </cell>
          <cell r="G995">
            <v>3688</v>
          </cell>
          <cell r="H995">
            <v>13960</v>
          </cell>
          <cell r="I995">
            <v>277</v>
          </cell>
        </row>
        <row r="996">
          <cell r="A996" t="str">
            <v>B</v>
          </cell>
          <cell r="B996" t="str">
            <v>UMO42301</v>
          </cell>
          <cell r="C996" t="str">
            <v>바닥배수구설치(스텐,방동용)</v>
          </cell>
          <cell r="D996" t="str">
            <v>D50 x 200 x 200</v>
          </cell>
          <cell r="E996" t="str">
            <v>개소</v>
          </cell>
          <cell r="F996">
            <v>10</v>
          </cell>
          <cell r="G996">
            <v>8640</v>
          </cell>
          <cell r="H996">
            <v>7394</v>
          </cell>
          <cell r="I996">
            <v>148</v>
          </cell>
        </row>
        <row r="997">
          <cell r="A997" t="str">
            <v>B</v>
          </cell>
          <cell r="B997" t="str">
            <v>UMO42303</v>
          </cell>
          <cell r="C997" t="str">
            <v>욕실 배수트랩 설치(스텐)</v>
          </cell>
          <cell r="D997" t="str">
            <v>D50 x 200 x 200</v>
          </cell>
          <cell r="E997" t="str">
            <v>개소</v>
          </cell>
          <cell r="F997">
            <v>2</v>
          </cell>
          <cell r="G997">
            <v>8640</v>
          </cell>
          <cell r="H997">
            <v>7394</v>
          </cell>
          <cell r="I997">
            <v>148</v>
          </cell>
        </row>
        <row r="998">
          <cell r="A998" t="str">
            <v>B</v>
          </cell>
          <cell r="B998" t="str">
            <v>UMZ50223</v>
          </cell>
          <cell r="C998" t="str">
            <v>집수정덮개(스틸그레이팅)설치</v>
          </cell>
          <cell r="D998" t="str">
            <v>1,300 X 1,300</v>
          </cell>
          <cell r="E998" t="str">
            <v>개소</v>
          </cell>
          <cell r="F998">
            <v>1</v>
          </cell>
          <cell r="G998">
            <v>50220</v>
          </cell>
          <cell r="H998">
            <v>2159</v>
          </cell>
          <cell r="I998">
            <v>73</v>
          </cell>
        </row>
        <row r="999">
          <cell r="C999" t="str">
            <v>소  계</v>
          </cell>
        </row>
        <row r="1001">
          <cell r="C1001" t="str">
            <v>기타시설</v>
          </cell>
        </row>
        <row r="1002">
          <cell r="C1002" t="str">
            <v>*  급수공사</v>
          </cell>
        </row>
        <row r="1003">
          <cell r="A1003" t="str">
            <v>E</v>
          </cell>
          <cell r="B1003" t="str">
            <v>MGF11251</v>
          </cell>
          <cell r="C1003" t="str">
            <v>행가지지봉</v>
          </cell>
          <cell r="D1003" t="str">
            <v>9MM(3/8")</v>
          </cell>
          <cell r="E1003" t="str">
            <v>M</v>
          </cell>
          <cell r="F1003">
            <v>8.8000000000000007</v>
          </cell>
          <cell r="G1003">
            <v>225</v>
          </cell>
          <cell r="H1003">
            <v>0</v>
          </cell>
          <cell r="I1003">
            <v>0</v>
          </cell>
        </row>
        <row r="1004">
          <cell r="A1004" t="str">
            <v>E</v>
          </cell>
          <cell r="B1004" t="str">
            <v>MGF30505</v>
          </cell>
          <cell r="C1004" t="str">
            <v>인서트</v>
          </cell>
          <cell r="D1004" t="str">
            <v>D9</v>
          </cell>
          <cell r="E1004" t="str">
            <v>개</v>
          </cell>
          <cell r="F1004">
            <v>14</v>
          </cell>
          <cell r="G1004">
            <v>26</v>
          </cell>
          <cell r="H1004">
            <v>0</v>
          </cell>
          <cell r="I1004">
            <v>0</v>
          </cell>
        </row>
        <row r="1005">
          <cell r="A1005" t="str">
            <v>E</v>
          </cell>
          <cell r="B1005" t="str">
            <v>MMB40105</v>
          </cell>
          <cell r="C1005" t="str">
            <v>동 엘보</v>
          </cell>
          <cell r="D1005" t="str">
            <v>D15 MM</v>
          </cell>
          <cell r="E1005" t="str">
            <v>개</v>
          </cell>
          <cell r="F1005">
            <v>33</v>
          </cell>
          <cell r="G1005">
            <v>112</v>
          </cell>
          <cell r="H1005">
            <v>0</v>
          </cell>
          <cell r="I1005">
            <v>0</v>
          </cell>
        </row>
        <row r="1006">
          <cell r="A1006" t="str">
            <v>E</v>
          </cell>
          <cell r="B1006" t="str">
            <v>MMB40108</v>
          </cell>
          <cell r="C1006" t="str">
            <v>동 엘보</v>
          </cell>
          <cell r="D1006" t="str">
            <v>D25 MM</v>
          </cell>
          <cell r="E1006" t="str">
            <v>개</v>
          </cell>
          <cell r="F1006">
            <v>2</v>
          </cell>
          <cell r="G1006">
            <v>395</v>
          </cell>
          <cell r="H1006">
            <v>0</v>
          </cell>
          <cell r="I1006">
            <v>0</v>
          </cell>
        </row>
        <row r="1007">
          <cell r="A1007" t="str">
            <v>E</v>
          </cell>
          <cell r="B1007" t="str">
            <v>MMB40110</v>
          </cell>
          <cell r="C1007" t="str">
            <v>동 엘보</v>
          </cell>
          <cell r="D1007" t="str">
            <v>D32 MM</v>
          </cell>
          <cell r="E1007" t="str">
            <v>개</v>
          </cell>
          <cell r="F1007">
            <v>1</v>
          </cell>
          <cell r="G1007">
            <v>607</v>
          </cell>
          <cell r="H1007">
            <v>0</v>
          </cell>
          <cell r="I1007">
            <v>0</v>
          </cell>
        </row>
        <row r="1008">
          <cell r="A1008" t="str">
            <v>E</v>
          </cell>
          <cell r="B1008" t="str">
            <v>MMB40112</v>
          </cell>
          <cell r="C1008" t="str">
            <v>동 엘보</v>
          </cell>
          <cell r="D1008" t="str">
            <v>D40 MM</v>
          </cell>
          <cell r="E1008" t="str">
            <v>개</v>
          </cell>
          <cell r="F1008">
            <v>6</v>
          </cell>
          <cell r="G1008">
            <v>919</v>
          </cell>
          <cell r="H1008">
            <v>0</v>
          </cell>
          <cell r="I1008">
            <v>0</v>
          </cell>
        </row>
        <row r="1009">
          <cell r="A1009" t="str">
            <v>E</v>
          </cell>
          <cell r="B1009" t="str">
            <v>MMB40205</v>
          </cell>
          <cell r="C1009" t="str">
            <v>동 티</v>
          </cell>
          <cell r="D1009" t="str">
            <v>D15 MM</v>
          </cell>
          <cell r="E1009" t="str">
            <v>개</v>
          </cell>
          <cell r="F1009">
            <v>4</v>
          </cell>
          <cell r="G1009">
            <v>243</v>
          </cell>
          <cell r="H1009">
            <v>0</v>
          </cell>
          <cell r="I1009">
            <v>0</v>
          </cell>
        </row>
        <row r="1010">
          <cell r="A1010" t="str">
            <v>E</v>
          </cell>
          <cell r="B1010" t="str">
            <v>MMB40207</v>
          </cell>
          <cell r="C1010" t="str">
            <v>동 티</v>
          </cell>
          <cell r="D1010" t="str">
            <v>D20 MM</v>
          </cell>
          <cell r="E1010" t="str">
            <v>개</v>
          </cell>
          <cell r="F1010">
            <v>1</v>
          </cell>
          <cell r="G1010">
            <v>359</v>
          </cell>
          <cell r="H1010">
            <v>0</v>
          </cell>
          <cell r="I1010">
            <v>0</v>
          </cell>
        </row>
        <row r="1011">
          <cell r="A1011" t="str">
            <v>E</v>
          </cell>
          <cell r="B1011" t="str">
            <v>MMB40208</v>
          </cell>
          <cell r="C1011" t="str">
            <v>동 티</v>
          </cell>
          <cell r="D1011" t="str">
            <v>D25 MM</v>
          </cell>
          <cell r="E1011" t="str">
            <v>개</v>
          </cell>
          <cell r="F1011">
            <v>3</v>
          </cell>
          <cell r="G1011">
            <v>553</v>
          </cell>
          <cell r="H1011">
            <v>0</v>
          </cell>
          <cell r="I1011">
            <v>0</v>
          </cell>
        </row>
        <row r="1012">
          <cell r="A1012" t="str">
            <v>E</v>
          </cell>
          <cell r="B1012" t="str">
            <v>MMB40210</v>
          </cell>
          <cell r="C1012" t="str">
            <v>동 티</v>
          </cell>
          <cell r="D1012" t="str">
            <v>D32 MM</v>
          </cell>
          <cell r="E1012" t="str">
            <v>개</v>
          </cell>
          <cell r="F1012">
            <v>3</v>
          </cell>
          <cell r="G1012">
            <v>940</v>
          </cell>
          <cell r="H1012">
            <v>0</v>
          </cell>
          <cell r="I1012">
            <v>0</v>
          </cell>
        </row>
        <row r="1013">
          <cell r="A1013" t="str">
            <v>E</v>
          </cell>
          <cell r="B1013" t="str">
            <v>MMB40307</v>
          </cell>
          <cell r="C1013" t="str">
            <v>동 레듀샤</v>
          </cell>
          <cell r="D1013" t="str">
            <v>D20 MM</v>
          </cell>
          <cell r="E1013" t="str">
            <v>개</v>
          </cell>
          <cell r="F1013">
            <v>1</v>
          </cell>
          <cell r="G1013">
            <v>143</v>
          </cell>
          <cell r="H1013">
            <v>0</v>
          </cell>
          <cell r="I1013">
            <v>0</v>
          </cell>
        </row>
        <row r="1014">
          <cell r="A1014" t="str">
            <v>E</v>
          </cell>
          <cell r="B1014" t="str">
            <v>MMB40308</v>
          </cell>
          <cell r="C1014" t="str">
            <v>동 레듀샤</v>
          </cell>
          <cell r="D1014" t="str">
            <v>D25 MM</v>
          </cell>
          <cell r="E1014" t="str">
            <v>개</v>
          </cell>
          <cell r="F1014">
            <v>2</v>
          </cell>
          <cell r="G1014">
            <v>212</v>
          </cell>
          <cell r="H1014">
            <v>0</v>
          </cell>
          <cell r="I1014">
            <v>0</v>
          </cell>
        </row>
        <row r="1015">
          <cell r="A1015" t="str">
            <v>E</v>
          </cell>
          <cell r="B1015" t="str">
            <v>MMB40310</v>
          </cell>
          <cell r="C1015" t="str">
            <v>동 레듀샤</v>
          </cell>
          <cell r="D1015" t="str">
            <v>D32 MM</v>
          </cell>
          <cell r="E1015" t="str">
            <v>개</v>
          </cell>
          <cell r="F1015">
            <v>3</v>
          </cell>
          <cell r="G1015">
            <v>289</v>
          </cell>
          <cell r="H1015">
            <v>0</v>
          </cell>
          <cell r="I1015">
            <v>0</v>
          </cell>
        </row>
        <row r="1016">
          <cell r="A1016" t="str">
            <v>E</v>
          </cell>
          <cell r="B1016" t="str">
            <v>MMB40312</v>
          </cell>
          <cell r="C1016" t="str">
            <v>동 레듀샤</v>
          </cell>
          <cell r="D1016" t="str">
            <v>D40 MM</v>
          </cell>
          <cell r="E1016" t="str">
            <v>개</v>
          </cell>
          <cell r="F1016">
            <v>2</v>
          </cell>
          <cell r="G1016">
            <v>497</v>
          </cell>
          <cell r="H1016">
            <v>0</v>
          </cell>
          <cell r="I1016">
            <v>0</v>
          </cell>
        </row>
        <row r="1017">
          <cell r="A1017" t="str">
            <v>E</v>
          </cell>
          <cell r="B1017" t="str">
            <v>MMB50108</v>
          </cell>
          <cell r="C1017" t="str">
            <v>CM아답타</v>
          </cell>
          <cell r="D1017" t="str">
            <v>D25 MM</v>
          </cell>
          <cell r="E1017" t="str">
            <v>개</v>
          </cell>
          <cell r="F1017">
            <v>1</v>
          </cell>
          <cell r="G1017">
            <v>639</v>
          </cell>
          <cell r="H1017">
            <v>0</v>
          </cell>
          <cell r="I1017">
            <v>0</v>
          </cell>
        </row>
        <row r="1018">
          <cell r="A1018" t="str">
            <v>E</v>
          </cell>
          <cell r="B1018" t="str">
            <v>MMB50205</v>
          </cell>
          <cell r="C1018" t="str">
            <v>CF아답타</v>
          </cell>
          <cell r="D1018" t="str">
            <v>D15 MM</v>
          </cell>
          <cell r="E1018" t="str">
            <v>개</v>
          </cell>
          <cell r="F1018">
            <v>1</v>
          </cell>
          <cell r="G1018">
            <v>246</v>
          </cell>
          <cell r="H1018">
            <v>0</v>
          </cell>
          <cell r="I1018">
            <v>0</v>
          </cell>
        </row>
        <row r="1019">
          <cell r="A1019" t="str">
            <v>E</v>
          </cell>
          <cell r="B1019" t="str">
            <v>MMB50208</v>
          </cell>
          <cell r="C1019" t="str">
            <v>CF아답타</v>
          </cell>
          <cell r="D1019" t="str">
            <v>D25 MM</v>
          </cell>
          <cell r="E1019" t="str">
            <v>개</v>
          </cell>
          <cell r="F1019">
            <v>3</v>
          </cell>
          <cell r="G1019">
            <v>1105</v>
          </cell>
          <cell r="H1019">
            <v>0</v>
          </cell>
          <cell r="I1019">
            <v>0</v>
          </cell>
        </row>
        <row r="1020">
          <cell r="A1020" t="str">
            <v>E</v>
          </cell>
          <cell r="B1020" t="str">
            <v>MMB50508</v>
          </cell>
          <cell r="C1020" t="str">
            <v>CM유니온</v>
          </cell>
          <cell r="D1020" t="str">
            <v>D25 MM</v>
          </cell>
          <cell r="E1020" t="str">
            <v>개</v>
          </cell>
          <cell r="F1020">
            <v>1</v>
          </cell>
          <cell r="G1020">
            <v>2229</v>
          </cell>
          <cell r="H1020">
            <v>0</v>
          </cell>
          <cell r="I1020">
            <v>0</v>
          </cell>
        </row>
        <row r="1021">
          <cell r="A1021" t="str">
            <v>E</v>
          </cell>
          <cell r="B1021" t="str">
            <v>MMB51105</v>
          </cell>
          <cell r="C1021" t="str">
            <v>CF엘보 아답타</v>
          </cell>
          <cell r="D1021" t="str">
            <v>D15 MM</v>
          </cell>
          <cell r="E1021" t="str">
            <v>개</v>
          </cell>
          <cell r="F1021">
            <v>1</v>
          </cell>
          <cell r="G1021">
            <v>385</v>
          </cell>
          <cell r="H1021">
            <v>0</v>
          </cell>
          <cell r="I1021">
            <v>0</v>
          </cell>
        </row>
        <row r="1022">
          <cell r="A1022" t="str">
            <v>E</v>
          </cell>
          <cell r="B1022" t="str">
            <v>MMB51405</v>
          </cell>
          <cell r="C1022" t="str">
            <v>장티아답타</v>
          </cell>
          <cell r="D1022" t="str">
            <v>D15 MM</v>
          </cell>
          <cell r="E1022" t="str">
            <v>개</v>
          </cell>
          <cell r="F1022">
            <v>1</v>
          </cell>
          <cell r="G1022">
            <v>606</v>
          </cell>
          <cell r="H1022">
            <v>0</v>
          </cell>
          <cell r="I1022">
            <v>0</v>
          </cell>
        </row>
        <row r="1023">
          <cell r="A1023" t="str">
            <v>E</v>
          </cell>
          <cell r="B1023" t="str">
            <v>MMB51450</v>
          </cell>
          <cell r="C1023" t="str">
            <v>단티아답타</v>
          </cell>
          <cell r="D1023" t="str">
            <v>D15 MM</v>
          </cell>
          <cell r="E1023" t="str">
            <v>개</v>
          </cell>
          <cell r="F1023">
            <v>1</v>
          </cell>
          <cell r="G1023">
            <v>510</v>
          </cell>
          <cell r="H1023">
            <v>0</v>
          </cell>
          <cell r="I1023">
            <v>0</v>
          </cell>
        </row>
        <row r="1024">
          <cell r="A1024" t="str">
            <v>E</v>
          </cell>
          <cell r="B1024" t="str">
            <v>MMB51505</v>
          </cell>
          <cell r="C1024" t="str">
            <v>장암엘보아답타</v>
          </cell>
          <cell r="D1024" t="str">
            <v>D15 MM</v>
          </cell>
          <cell r="E1024" t="str">
            <v>개</v>
          </cell>
          <cell r="F1024">
            <v>13</v>
          </cell>
          <cell r="G1024">
            <v>487</v>
          </cell>
          <cell r="H1024">
            <v>0</v>
          </cell>
          <cell r="I1024">
            <v>0</v>
          </cell>
        </row>
        <row r="1025">
          <cell r="A1025" t="str">
            <v>E</v>
          </cell>
          <cell r="B1025" t="str">
            <v>MMK32900</v>
          </cell>
          <cell r="C1025" t="str">
            <v>양수기보호통(A형)</v>
          </cell>
          <cell r="D1025" t="str">
            <v>D15 MM</v>
          </cell>
          <cell r="E1025" t="str">
            <v>개</v>
          </cell>
          <cell r="F1025">
            <v>1</v>
          </cell>
          <cell r="G1025">
            <v>18288</v>
          </cell>
          <cell r="H1025">
            <v>0</v>
          </cell>
          <cell r="I1025">
            <v>0</v>
          </cell>
        </row>
        <row r="1026">
          <cell r="A1026" t="str">
            <v>E</v>
          </cell>
          <cell r="B1026" t="str">
            <v>MMO10505</v>
          </cell>
          <cell r="C1026" t="str">
            <v>절연 행가</v>
          </cell>
          <cell r="D1026" t="str">
            <v>D15 MM</v>
          </cell>
          <cell r="E1026" t="str">
            <v>개</v>
          </cell>
          <cell r="F1026">
            <v>3</v>
          </cell>
          <cell r="G1026">
            <v>360</v>
          </cell>
          <cell r="H1026">
            <v>0</v>
          </cell>
          <cell r="I1026">
            <v>0</v>
          </cell>
        </row>
        <row r="1027">
          <cell r="A1027" t="str">
            <v>E</v>
          </cell>
          <cell r="B1027" t="str">
            <v>MMO10508</v>
          </cell>
          <cell r="C1027" t="str">
            <v>절연 행가</v>
          </cell>
          <cell r="D1027" t="str">
            <v>D25 MM</v>
          </cell>
          <cell r="E1027" t="str">
            <v>개</v>
          </cell>
          <cell r="F1027">
            <v>2</v>
          </cell>
          <cell r="G1027">
            <v>432</v>
          </cell>
          <cell r="H1027">
            <v>0</v>
          </cell>
          <cell r="I1027">
            <v>0</v>
          </cell>
        </row>
        <row r="1028">
          <cell r="A1028" t="str">
            <v>E</v>
          </cell>
          <cell r="B1028" t="str">
            <v>MMO10510</v>
          </cell>
          <cell r="C1028" t="str">
            <v>절연 행가</v>
          </cell>
          <cell r="D1028" t="str">
            <v>D32 MM</v>
          </cell>
          <cell r="E1028" t="str">
            <v>개</v>
          </cell>
          <cell r="F1028">
            <v>3</v>
          </cell>
          <cell r="G1028">
            <v>504</v>
          </cell>
          <cell r="H1028">
            <v>0</v>
          </cell>
          <cell r="I1028">
            <v>0</v>
          </cell>
        </row>
        <row r="1029">
          <cell r="A1029" t="str">
            <v>E</v>
          </cell>
          <cell r="B1029" t="str">
            <v>MMO10512</v>
          </cell>
          <cell r="C1029" t="str">
            <v>절연 행가</v>
          </cell>
          <cell r="D1029" t="str">
            <v>D40 MM</v>
          </cell>
          <cell r="E1029" t="str">
            <v>개</v>
          </cell>
          <cell r="F1029">
            <v>6</v>
          </cell>
          <cell r="G1029">
            <v>540</v>
          </cell>
          <cell r="H1029">
            <v>0</v>
          </cell>
          <cell r="I1029">
            <v>0</v>
          </cell>
        </row>
        <row r="1030">
          <cell r="A1030" t="str">
            <v>E</v>
          </cell>
          <cell r="B1030" t="str">
            <v>MMO31813</v>
          </cell>
          <cell r="C1030" t="str">
            <v>PD입상관 성형스리브</v>
          </cell>
          <cell r="D1030" t="str">
            <v>D50 X 135H</v>
          </cell>
          <cell r="E1030" t="str">
            <v>개</v>
          </cell>
          <cell r="F1030">
            <v>1</v>
          </cell>
          <cell r="G1030">
            <v>468</v>
          </cell>
          <cell r="H1030">
            <v>0</v>
          </cell>
          <cell r="I1030">
            <v>0</v>
          </cell>
        </row>
        <row r="1031">
          <cell r="A1031" t="str">
            <v>E</v>
          </cell>
          <cell r="B1031" t="str">
            <v>UMA52310</v>
          </cell>
          <cell r="C1031" t="str">
            <v>동관 옥내 배관</v>
          </cell>
          <cell r="D1031" t="str">
            <v>D32 MM, (M TYPE)</v>
          </cell>
          <cell r="E1031" t="str">
            <v>M</v>
          </cell>
          <cell r="F1031">
            <v>7.4</v>
          </cell>
          <cell r="G1031">
            <v>2600</v>
          </cell>
          <cell r="H1031">
            <v>2500</v>
          </cell>
          <cell r="I1031">
            <v>100</v>
          </cell>
        </row>
        <row r="1032">
          <cell r="A1032" t="str">
            <v>E</v>
          </cell>
          <cell r="B1032" t="str">
            <v>UMA52312</v>
          </cell>
          <cell r="C1032" t="str">
            <v>동관 옥내 배관</v>
          </cell>
          <cell r="D1032" t="str">
            <v>D40 MM,  (M TYPE)</v>
          </cell>
          <cell r="E1032" t="str">
            <v>M</v>
          </cell>
          <cell r="F1032">
            <v>16.850000000000001</v>
          </cell>
          <cell r="G1032">
            <v>3500</v>
          </cell>
          <cell r="H1032">
            <v>2800</v>
          </cell>
          <cell r="I1032">
            <v>100</v>
          </cell>
        </row>
        <row r="1033">
          <cell r="A1033" t="str">
            <v>E</v>
          </cell>
          <cell r="B1033" t="str">
            <v>UMA52405</v>
          </cell>
          <cell r="C1033" t="str">
            <v>동관 화장실 배관</v>
          </cell>
          <cell r="D1033" t="str">
            <v>D15 MM,  (M TYPE)</v>
          </cell>
          <cell r="E1033" t="str">
            <v>M</v>
          </cell>
          <cell r="F1033">
            <v>26.3</v>
          </cell>
          <cell r="G1033">
            <v>800</v>
          </cell>
          <cell r="H1033">
            <v>1700</v>
          </cell>
          <cell r="I1033">
            <v>0</v>
          </cell>
        </row>
        <row r="1034">
          <cell r="A1034" t="str">
            <v>E</v>
          </cell>
          <cell r="B1034" t="str">
            <v>UMA52407</v>
          </cell>
          <cell r="C1034" t="str">
            <v>동관 화장실 배관</v>
          </cell>
          <cell r="D1034" t="str">
            <v>D20 MM,  (M TYPE)</v>
          </cell>
          <cell r="E1034" t="str">
            <v>M</v>
          </cell>
          <cell r="F1034">
            <v>1.9</v>
          </cell>
          <cell r="G1034">
            <v>1200</v>
          </cell>
          <cell r="H1034">
            <v>2000</v>
          </cell>
          <cell r="I1034">
            <v>0</v>
          </cell>
        </row>
        <row r="1035">
          <cell r="A1035" t="str">
            <v>E</v>
          </cell>
          <cell r="B1035" t="str">
            <v>UMA52408</v>
          </cell>
          <cell r="C1035" t="str">
            <v>동관 화장실 배관</v>
          </cell>
          <cell r="D1035" t="str">
            <v>D25 MM,  (M TYPE)</v>
          </cell>
          <cell r="E1035" t="str">
            <v>M</v>
          </cell>
          <cell r="F1035">
            <v>8.4</v>
          </cell>
          <cell r="G1035">
            <v>1700</v>
          </cell>
          <cell r="H1035">
            <v>2400</v>
          </cell>
          <cell r="I1035">
            <v>0</v>
          </cell>
        </row>
        <row r="1036">
          <cell r="A1036" t="str">
            <v>E</v>
          </cell>
          <cell r="B1036" t="str">
            <v>UMA52410</v>
          </cell>
          <cell r="C1036" t="str">
            <v>동관 화장실 배관</v>
          </cell>
          <cell r="D1036" t="str">
            <v>D32 MM,  (M TYPE)</v>
          </cell>
          <cell r="E1036" t="str">
            <v>M</v>
          </cell>
          <cell r="F1036">
            <v>1</v>
          </cell>
          <cell r="G1036">
            <v>2552</v>
          </cell>
          <cell r="H1036">
            <v>3035</v>
          </cell>
          <cell r="I1036">
            <v>60</v>
          </cell>
        </row>
        <row r="1037">
          <cell r="A1037" t="str">
            <v>E</v>
          </cell>
          <cell r="B1037" t="str">
            <v>UMC24108</v>
          </cell>
          <cell r="C1037" t="str">
            <v>동관용접 (BRAZING)</v>
          </cell>
          <cell r="D1037" t="str">
            <v>D25 MM</v>
          </cell>
          <cell r="E1037" t="str">
            <v>개소</v>
          </cell>
          <cell r="F1037">
            <v>21</v>
          </cell>
          <cell r="G1037">
            <v>174</v>
          </cell>
          <cell r="H1037">
            <v>1455</v>
          </cell>
          <cell r="I1037">
            <v>29</v>
          </cell>
        </row>
        <row r="1038">
          <cell r="A1038" t="str">
            <v>E</v>
          </cell>
          <cell r="B1038" t="str">
            <v>UMC24110</v>
          </cell>
          <cell r="C1038" t="str">
            <v>동관용접 (BRAZING)</v>
          </cell>
          <cell r="D1038" t="str">
            <v>D32 MM</v>
          </cell>
          <cell r="E1038" t="str">
            <v>개소</v>
          </cell>
          <cell r="F1038">
            <v>11</v>
          </cell>
          <cell r="G1038">
            <v>240</v>
          </cell>
          <cell r="H1038">
            <v>1781</v>
          </cell>
          <cell r="I1038">
            <v>35</v>
          </cell>
        </row>
        <row r="1039">
          <cell r="A1039" t="str">
            <v>E</v>
          </cell>
          <cell r="B1039" t="str">
            <v>UMC24305</v>
          </cell>
          <cell r="C1039" t="str">
            <v>동관용접 (SOLDERING)</v>
          </cell>
          <cell r="D1039" t="str">
            <v>D15 MM</v>
          </cell>
          <cell r="E1039" t="str">
            <v>개소</v>
          </cell>
          <cell r="F1039">
            <v>103</v>
          </cell>
          <cell r="G1039">
            <v>30</v>
          </cell>
          <cell r="H1039">
            <v>960</v>
          </cell>
          <cell r="I1039">
            <v>19</v>
          </cell>
        </row>
        <row r="1040">
          <cell r="A1040" t="str">
            <v>E</v>
          </cell>
          <cell r="B1040" t="str">
            <v>UMC24307</v>
          </cell>
          <cell r="C1040" t="str">
            <v>동관용접 (SOLDERING)</v>
          </cell>
          <cell r="D1040" t="str">
            <v>D20 MM</v>
          </cell>
          <cell r="E1040" t="str">
            <v>개소</v>
          </cell>
          <cell r="F1040">
            <v>5</v>
          </cell>
          <cell r="G1040">
            <v>47</v>
          </cell>
          <cell r="H1040">
            <v>1108</v>
          </cell>
          <cell r="I1040">
            <v>22</v>
          </cell>
        </row>
        <row r="1041">
          <cell r="A1041" t="str">
            <v>E</v>
          </cell>
          <cell r="B1041" t="str">
            <v>UMD10112</v>
          </cell>
          <cell r="C1041" t="str">
            <v>게이트밸브 설치(청동제)</v>
          </cell>
          <cell r="D1041" t="str">
            <v>D40 MM, (5KG/CM2)</v>
          </cell>
          <cell r="E1041" t="str">
            <v>개소</v>
          </cell>
          <cell r="F1041">
            <v>2</v>
          </cell>
          <cell r="G1041">
            <v>5400</v>
          </cell>
          <cell r="H1041">
            <v>2119</v>
          </cell>
          <cell r="I1041">
            <v>42</v>
          </cell>
        </row>
        <row r="1042">
          <cell r="A1042" t="str">
            <v>E</v>
          </cell>
          <cell r="B1042" t="str">
            <v>UMD46205</v>
          </cell>
          <cell r="C1042" t="str">
            <v>황동볼밸브 설치</v>
          </cell>
          <cell r="D1042" t="str">
            <v>D15 MM, (10KG/CM2)</v>
          </cell>
          <cell r="E1042" t="str">
            <v>개소</v>
          </cell>
          <cell r="F1042">
            <v>2</v>
          </cell>
          <cell r="G1042">
            <v>1166</v>
          </cell>
          <cell r="H1042">
            <v>2119</v>
          </cell>
          <cell r="I1042">
            <v>42</v>
          </cell>
        </row>
        <row r="1043">
          <cell r="A1043" t="str">
            <v>E</v>
          </cell>
          <cell r="B1043" t="str">
            <v>UME22205</v>
          </cell>
          <cell r="C1043" t="str">
            <v>동관보온(은박)</v>
          </cell>
          <cell r="D1043" t="str">
            <v>D=15MM, T=25MM</v>
          </cell>
          <cell r="E1043" t="str">
            <v>M</v>
          </cell>
          <cell r="F1043">
            <v>9.9499999999999993</v>
          </cell>
          <cell r="G1043">
            <v>600</v>
          </cell>
          <cell r="H1043">
            <v>1200</v>
          </cell>
          <cell r="I1043">
            <v>0</v>
          </cell>
        </row>
        <row r="1044">
          <cell r="A1044" t="str">
            <v>E</v>
          </cell>
          <cell r="B1044" t="str">
            <v>UME22207</v>
          </cell>
          <cell r="C1044" t="str">
            <v>동관보온(은박)</v>
          </cell>
          <cell r="D1044" t="str">
            <v>D=20MM, T=25MM</v>
          </cell>
          <cell r="E1044" t="str">
            <v>M</v>
          </cell>
          <cell r="F1044">
            <v>1.9</v>
          </cell>
          <cell r="G1044">
            <v>700</v>
          </cell>
          <cell r="H1044">
            <v>1500</v>
          </cell>
          <cell r="I1044">
            <v>0</v>
          </cell>
        </row>
        <row r="1045">
          <cell r="A1045" t="str">
            <v>E</v>
          </cell>
          <cell r="B1045" t="str">
            <v>UME22208</v>
          </cell>
          <cell r="C1045" t="str">
            <v>동관보온(은박)</v>
          </cell>
          <cell r="D1045" t="str">
            <v>D=25MM, T=25MM</v>
          </cell>
          <cell r="E1045" t="str">
            <v>M</v>
          </cell>
          <cell r="F1045">
            <v>5.7</v>
          </cell>
          <cell r="G1045">
            <v>800</v>
          </cell>
          <cell r="H1045">
            <v>1800</v>
          </cell>
          <cell r="I1045">
            <v>0</v>
          </cell>
        </row>
        <row r="1046">
          <cell r="A1046" t="str">
            <v>E</v>
          </cell>
          <cell r="B1046" t="str">
            <v>UME22210</v>
          </cell>
          <cell r="C1046" t="str">
            <v>동관보온(은박)</v>
          </cell>
          <cell r="D1046" t="str">
            <v>D=32MM, T=25MM</v>
          </cell>
          <cell r="E1046" t="str">
            <v>M</v>
          </cell>
          <cell r="F1046">
            <v>3.2</v>
          </cell>
          <cell r="G1046">
            <v>900</v>
          </cell>
          <cell r="H1046">
            <v>2000</v>
          </cell>
          <cell r="I1046">
            <v>0</v>
          </cell>
        </row>
        <row r="1047">
          <cell r="A1047" t="str">
            <v>E</v>
          </cell>
          <cell r="B1047" t="str">
            <v>UME22212</v>
          </cell>
          <cell r="C1047" t="str">
            <v>동관보온(은박)</v>
          </cell>
          <cell r="D1047" t="str">
            <v>D=40MM, T=25MM</v>
          </cell>
          <cell r="E1047" t="str">
            <v>M</v>
          </cell>
          <cell r="F1047">
            <v>16.850000000000001</v>
          </cell>
          <cell r="G1047">
            <v>1000</v>
          </cell>
          <cell r="H1047">
            <v>2000</v>
          </cell>
          <cell r="I1047">
            <v>0</v>
          </cell>
        </row>
        <row r="1048">
          <cell r="A1048" t="str">
            <v>E</v>
          </cell>
          <cell r="B1048" t="str">
            <v>UME80205</v>
          </cell>
          <cell r="C1048" t="str">
            <v>발포폴리에틸렌 보온</v>
          </cell>
          <cell r="D1048" t="str">
            <v>D=15MM, T=5MM</v>
          </cell>
          <cell r="E1048" t="str">
            <v>M</v>
          </cell>
          <cell r="F1048">
            <v>26.4</v>
          </cell>
          <cell r="G1048">
            <v>100</v>
          </cell>
          <cell r="H1048">
            <v>300</v>
          </cell>
          <cell r="I1048">
            <v>0</v>
          </cell>
        </row>
        <row r="1049">
          <cell r="A1049" t="str">
            <v>E</v>
          </cell>
          <cell r="B1049" t="str">
            <v>UMG25100</v>
          </cell>
          <cell r="C1049" t="str">
            <v>세면기수전설치(다용도꼭지제외)</v>
          </cell>
          <cell r="D1049" t="str">
            <v>니켈크롬도장</v>
          </cell>
          <cell r="E1049" t="str">
            <v>개</v>
          </cell>
          <cell r="F1049">
            <v>1</v>
          </cell>
          <cell r="G1049">
            <v>36936</v>
          </cell>
          <cell r="H1049">
            <v>6792</v>
          </cell>
          <cell r="I1049">
            <v>135</v>
          </cell>
        </row>
        <row r="1050">
          <cell r="A1050" t="str">
            <v>E</v>
          </cell>
          <cell r="B1050" t="str">
            <v>UMG37107</v>
          </cell>
          <cell r="C1050" t="str">
            <v>씽크수전 설치(벽붙이형,니켈크롬)</v>
          </cell>
          <cell r="D1050" t="str">
            <v>핸드스프레식</v>
          </cell>
          <cell r="E1050" t="str">
            <v>개</v>
          </cell>
          <cell r="F1050">
            <v>1</v>
          </cell>
          <cell r="G1050">
            <v>32810</v>
          </cell>
          <cell r="H1050">
            <v>4088</v>
          </cell>
          <cell r="I1050">
            <v>81</v>
          </cell>
        </row>
        <row r="1051">
          <cell r="A1051" t="str">
            <v>E</v>
          </cell>
          <cell r="B1051" t="str">
            <v>UMO28104</v>
          </cell>
          <cell r="C1051" t="str">
            <v>벽체내고정새들설치</v>
          </cell>
          <cell r="D1051" t="str">
            <v>D15 MM</v>
          </cell>
          <cell r="E1051" t="str">
            <v>조</v>
          </cell>
          <cell r="F1051">
            <v>9</v>
          </cell>
          <cell r="G1051">
            <v>27</v>
          </cell>
          <cell r="H1051">
            <v>0</v>
          </cell>
          <cell r="I1051">
            <v>0</v>
          </cell>
        </row>
        <row r="1052">
          <cell r="A1052" t="str">
            <v>E</v>
          </cell>
          <cell r="B1052" t="str">
            <v>UMO31150</v>
          </cell>
          <cell r="C1052" t="str">
            <v>스리브강관제작(200H)</v>
          </cell>
          <cell r="D1052" t="str">
            <v>D25 M/M</v>
          </cell>
          <cell r="E1052" t="str">
            <v>개소</v>
          </cell>
          <cell r="F1052">
            <v>4</v>
          </cell>
          <cell r="G1052">
            <v>257</v>
          </cell>
          <cell r="H1052">
            <v>606</v>
          </cell>
          <cell r="I1052">
            <v>12</v>
          </cell>
        </row>
        <row r="1053">
          <cell r="A1053" t="str">
            <v>E</v>
          </cell>
          <cell r="B1053" t="str">
            <v>UMO31704</v>
          </cell>
          <cell r="C1053" t="str">
            <v>지수판스리브강관제작</v>
          </cell>
          <cell r="D1053" t="str">
            <v>D50 M/M</v>
          </cell>
          <cell r="E1053" t="str">
            <v>개소</v>
          </cell>
          <cell r="F1053">
            <v>1</v>
          </cell>
          <cell r="G1053">
            <v>1191</v>
          </cell>
          <cell r="H1053">
            <v>5936</v>
          </cell>
          <cell r="I1053">
            <v>117</v>
          </cell>
        </row>
        <row r="1054">
          <cell r="A1054" t="str">
            <v>E</v>
          </cell>
          <cell r="B1054" t="str">
            <v>UMP10210</v>
          </cell>
          <cell r="C1054" t="str">
            <v>수도미터 설치 (급수용)</v>
          </cell>
          <cell r="D1054" t="str">
            <v>D32 MM</v>
          </cell>
          <cell r="E1054" t="str">
            <v>개</v>
          </cell>
          <cell r="F1054">
            <v>1</v>
          </cell>
          <cell r="G1054">
            <v>26640</v>
          </cell>
          <cell r="H1054">
            <v>8435</v>
          </cell>
          <cell r="I1054">
            <v>168</v>
          </cell>
        </row>
        <row r="1055">
          <cell r="C1055" t="str">
            <v>소  계</v>
          </cell>
        </row>
        <row r="1057">
          <cell r="C1057" t="str">
            <v>*  급탕공사</v>
          </cell>
        </row>
        <row r="1058">
          <cell r="A1058" t="str">
            <v>E</v>
          </cell>
          <cell r="B1058" t="str">
            <v>MGF11251</v>
          </cell>
          <cell r="C1058" t="str">
            <v>행가지지봉</v>
          </cell>
          <cell r="D1058" t="str">
            <v>9MM(3/8")</v>
          </cell>
          <cell r="E1058" t="str">
            <v>M</v>
          </cell>
          <cell r="F1058">
            <v>5.6</v>
          </cell>
          <cell r="G1058">
            <v>225</v>
          </cell>
          <cell r="H1058">
            <v>0</v>
          </cell>
          <cell r="I1058">
            <v>0</v>
          </cell>
        </row>
        <row r="1059">
          <cell r="A1059" t="str">
            <v>E</v>
          </cell>
          <cell r="B1059" t="str">
            <v>MGF30505</v>
          </cell>
          <cell r="C1059" t="str">
            <v>인서트</v>
          </cell>
          <cell r="D1059" t="str">
            <v>D9</v>
          </cell>
          <cell r="E1059" t="str">
            <v>개</v>
          </cell>
          <cell r="F1059">
            <v>7</v>
          </cell>
          <cell r="G1059">
            <v>26</v>
          </cell>
          <cell r="H1059">
            <v>0</v>
          </cell>
          <cell r="I1059">
            <v>0</v>
          </cell>
        </row>
        <row r="1060">
          <cell r="A1060" t="str">
            <v>E</v>
          </cell>
          <cell r="B1060" t="str">
            <v>MMB40105</v>
          </cell>
          <cell r="C1060" t="str">
            <v>동 엘보</v>
          </cell>
          <cell r="D1060" t="str">
            <v>D15 MM</v>
          </cell>
          <cell r="E1060" t="str">
            <v>개</v>
          </cell>
          <cell r="F1060">
            <v>7</v>
          </cell>
          <cell r="G1060">
            <v>112</v>
          </cell>
          <cell r="H1060">
            <v>0</v>
          </cell>
          <cell r="I1060">
            <v>0</v>
          </cell>
        </row>
        <row r="1061">
          <cell r="A1061" t="str">
            <v>E</v>
          </cell>
          <cell r="B1061" t="str">
            <v>MMB40107</v>
          </cell>
          <cell r="C1061" t="str">
            <v>동 엘보</v>
          </cell>
          <cell r="D1061" t="str">
            <v>D20 MM</v>
          </cell>
          <cell r="E1061" t="str">
            <v>개</v>
          </cell>
          <cell r="F1061">
            <v>4</v>
          </cell>
          <cell r="G1061">
            <v>228</v>
          </cell>
          <cell r="H1061">
            <v>0</v>
          </cell>
          <cell r="I1061">
            <v>0</v>
          </cell>
        </row>
        <row r="1062">
          <cell r="A1062" t="str">
            <v>E</v>
          </cell>
          <cell r="B1062" t="str">
            <v>MMB40108</v>
          </cell>
          <cell r="C1062" t="str">
            <v>동 엘보</v>
          </cell>
          <cell r="D1062" t="str">
            <v>D25 MM</v>
          </cell>
          <cell r="E1062" t="str">
            <v>개</v>
          </cell>
          <cell r="F1062">
            <v>1</v>
          </cell>
          <cell r="G1062">
            <v>395</v>
          </cell>
          <cell r="H1062">
            <v>0</v>
          </cell>
          <cell r="I1062">
            <v>0</v>
          </cell>
        </row>
        <row r="1063">
          <cell r="A1063" t="str">
            <v>E</v>
          </cell>
          <cell r="B1063" t="str">
            <v>MMB40207</v>
          </cell>
          <cell r="C1063" t="str">
            <v>동 티</v>
          </cell>
          <cell r="D1063" t="str">
            <v>D20 MM</v>
          </cell>
          <cell r="E1063" t="str">
            <v>개</v>
          </cell>
          <cell r="F1063">
            <v>1</v>
          </cell>
          <cell r="G1063">
            <v>359</v>
          </cell>
          <cell r="H1063">
            <v>0</v>
          </cell>
          <cell r="I1063">
            <v>0</v>
          </cell>
        </row>
        <row r="1064">
          <cell r="A1064" t="str">
            <v>E</v>
          </cell>
          <cell r="B1064" t="str">
            <v>MMB40208</v>
          </cell>
          <cell r="C1064" t="str">
            <v>동 티</v>
          </cell>
          <cell r="D1064" t="str">
            <v>D25 MM</v>
          </cell>
          <cell r="E1064" t="str">
            <v>개</v>
          </cell>
          <cell r="F1064">
            <v>1</v>
          </cell>
          <cell r="G1064">
            <v>553</v>
          </cell>
          <cell r="H1064">
            <v>0</v>
          </cell>
          <cell r="I1064">
            <v>0</v>
          </cell>
        </row>
        <row r="1065">
          <cell r="A1065" t="str">
            <v>E</v>
          </cell>
          <cell r="B1065" t="str">
            <v>MMB40307</v>
          </cell>
          <cell r="C1065" t="str">
            <v>동 레듀샤</v>
          </cell>
          <cell r="D1065" t="str">
            <v>D20 MM</v>
          </cell>
          <cell r="E1065" t="str">
            <v>개</v>
          </cell>
          <cell r="F1065">
            <v>1</v>
          </cell>
          <cell r="G1065">
            <v>143</v>
          </cell>
          <cell r="H1065">
            <v>0</v>
          </cell>
          <cell r="I1065">
            <v>0</v>
          </cell>
        </row>
        <row r="1066">
          <cell r="A1066" t="str">
            <v>E</v>
          </cell>
          <cell r="B1066" t="str">
            <v>MMB40308</v>
          </cell>
          <cell r="C1066" t="str">
            <v>동 레듀샤</v>
          </cell>
          <cell r="D1066" t="str">
            <v>D25 MM</v>
          </cell>
          <cell r="E1066" t="str">
            <v>개</v>
          </cell>
          <cell r="F1066">
            <v>1</v>
          </cell>
          <cell r="G1066">
            <v>212</v>
          </cell>
          <cell r="H1066">
            <v>0</v>
          </cell>
          <cell r="I1066">
            <v>0</v>
          </cell>
        </row>
        <row r="1067">
          <cell r="A1067" t="str">
            <v>E</v>
          </cell>
          <cell r="B1067" t="str">
            <v>MMB50205</v>
          </cell>
          <cell r="C1067" t="str">
            <v>CF아답타</v>
          </cell>
          <cell r="D1067" t="str">
            <v>D15 MM</v>
          </cell>
          <cell r="E1067" t="str">
            <v>개</v>
          </cell>
          <cell r="F1067">
            <v>1</v>
          </cell>
          <cell r="G1067">
            <v>246</v>
          </cell>
          <cell r="H1067">
            <v>0</v>
          </cell>
          <cell r="I1067">
            <v>0</v>
          </cell>
        </row>
        <row r="1068">
          <cell r="A1068" t="str">
            <v>E</v>
          </cell>
          <cell r="B1068" t="str">
            <v>MMB50508</v>
          </cell>
          <cell r="C1068" t="str">
            <v>CM유니온</v>
          </cell>
          <cell r="D1068" t="str">
            <v>D25 MM</v>
          </cell>
          <cell r="E1068" t="str">
            <v>개</v>
          </cell>
          <cell r="F1068">
            <v>1</v>
          </cell>
          <cell r="G1068">
            <v>2229</v>
          </cell>
          <cell r="H1068">
            <v>0</v>
          </cell>
          <cell r="I1068">
            <v>0</v>
          </cell>
        </row>
        <row r="1069">
          <cell r="A1069" t="str">
            <v>E</v>
          </cell>
          <cell r="B1069" t="str">
            <v>MMB51405</v>
          </cell>
          <cell r="C1069" t="str">
            <v>장티아답타</v>
          </cell>
          <cell r="D1069" t="str">
            <v>D15 MM</v>
          </cell>
          <cell r="E1069" t="str">
            <v>개</v>
          </cell>
          <cell r="F1069">
            <v>1</v>
          </cell>
          <cell r="G1069">
            <v>606</v>
          </cell>
          <cell r="H1069">
            <v>0</v>
          </cell>
          <cell r="I1069">
            <v>0</v>
          </cell>
        </row>
        <row r="1070">
          <cell r="A1070" t="str">
            <v>E</v>
          </cell>
          <cell r="B1070" t="str">
            <v>MMB51450</v>
          </cell>
          <cell r="C1070" t="str">
            <v>단티아답타</v>
          </cell>
          <cell r="D1070" t="str">
            <v>D15 MM</v>
          </cell>
          <cell r="E1070" t="str">
            <v>개</v>
          </cell>
          <cell r="F1070">
            <v>1</v>
          </cell>
          <cell r="G1070">
            <v>510</v>
          </cell>
          <cell r="H1070">
            <v>0</v>
          </cell>
          <cell r="I1070">
            <v>0</v>
          </cell>
        </row>
        <row r="1071">
          <cell r="A1071" t="str">
            <v>E</v>
          </cell>
          <cell r="B1071" t="str">
            <v>MMB51505</v>
          </cell>
          <cell r="C1071" t="str">
            <v>장암엘보아답타</v>
          </cell>
          <cell r="D1071" t="str">
            <v>D15 MM</v>
          </cell>
          <cell r="E1071" t="str">
            <v>개</v>
          </cell>
          <cell r="F1071">
            <v>2</v>
          </cell>
          <cell r="G1071">
            <v>487</v>
          </cell>
          <cell r="H1071">
            <v>0</v>
          </cell>
          <cell r="I1071">
            <v>0</v>
          </cell>
        </row>
        <row r="1072">
          <cell r="A1072" t="str">
            <v>E</v>
          </cell>
          <cell r="B1072" t="str">
            <v>MMO10505</v>
          </cell>
          <cell r="C1072" t="str">
            <v>절연 행가</v>
          </cell>
          <cell r="D1072" t="str">
            <v>D15 MM</v>
          </cell>
          <cell r="E1072" t="str">
            <v>개</v>
          </cell>
          <cell r="F1072">
            <v>3</v>
          </cell>
          <cell r="G1072">
            <v>360</v>
          </cell>
          <cell r="H1072">
            <v>0</v>
          </cell>
          <cell r="I1072">
            <v>0</v>
          </cell>
        </row>
        <row r="1073">
          <cell r="A1073" t="str">
            <v>E</v>
          </cell>
          <cell r="B1073" t="str">
            <v>MMO10507</v>
          </cell>
          <cell r="C1073" t="str">
            <v>절연 행가</v>
          </cell>
          <cell r="D1073" t="str">
            <v>D20 MM</v>
          </cell>
          <cell r="E1073" t="str">
            <v>개</v>
          </cell>
          <cell r="F1073">
            <v>3</v>
          </cell>
          <cell r="G1073">
            <v>396</v>
          </cell>
          <cell r="H1073">
            <v>0</v>
          </cell>
          <cell r="I1073">
            <v>0</v>
          </cell>
        </row>
        <row r="1074">
          <cell r="A1074" t="str">
            <v>E</v>
          </cell>
          <cell r="B1074" t="str">
            <v>MMO10508</v>
          </cell>
          <cell r="C1074" t="str">
            <v>절연 행가</v>
          </cell>
          <cell r="D1074" t="str">
            <v>D25 MM</v>
          </cell>
          <cell r="E1074" t="str">
            <v>개</v>
          </cell>
          <cell r="F1074">
            <v>1</v>
          </cell>
          <cell r="G1074">
            <v>432</v>
          </cell>
          <cell r="H1074">
            <v>0</v>
          </cell>
          <cell r="I1074">
            <v>0</v>
          </cell>
        </row>
        <row r="1075">
          <cell r="A1075" t="str">
            <v>E</v>
          </cell>
          <cell r="B1075" t="str">
            <v>UMA52305</v>
          </cell>
          <cell r="C1075" t="str">
            <v>동관 옥내 배관</v>
          </cell>
          <cell r="D1075" t="str">
            <v>D15 MM,  (M TYPE)</v>
          </cell>
          <cell r="E1075" t="str">
            <v>M</v>
          </cell>
          <cell r="F1075">
            <v>7.15</v>
          </cell>
          <cell r="G1075">
            <v>700</v>
          </cell>
          <cell r="H1075">
            <v>1600</v>
          </cell>
          <cell r="I1075">
            <v>0</v>
          </cell>
        </row>
        <row r="1076">
          <cell r="A1076" t="str">
            <v>E</v>
          </cell>
          <cell r="B1076" t="str">
            <v>UMA52307</v>
          </cell>
          <cell r="C1076" t="str">
            <v>동관 옥내 배관</v>
          </cell>
          <cell r="D1076" t="str">
            <v>D20 MM,  (M TYPE)</v>
          </cell>
          <cell r="E1076" t="str">
            <v>M</v>
          </cell>
          <cell r="F1076">
            <v>5.15</v>
          </cell>
          <cell r="G1076">
            <v>1200</v>
          </cell>
          <cell r="H1076">
            <v>1700</v>
          </cell>
          <cell r="I1076">
            <v>0</v>
          </cell>
        </row>
        <row r="1077">
          <cell r="A1077" t="str">
            <v>E</v>
          </cell>
          <cell r="B1077" t="str">
            <v>UMA52308</v>
          </cell>
          <cell r="C1077" t="str">
            <v>동관 옥내 배관</v>
          </cell>
          <cell r="D1077" t="str">
            <v>D25 MM,  (M TYPE)</v>
          </cell>
          <cell r="E1077" t="str">
            <v>M</v>
          </cell>
          <cell r="F1077">
            <v>6.9</v>
          </cell>
          <cell r="G1077">
            <v>1700</v>
          </cell>
          <cell r="H1077">
            <v>2000</v>
          </cell>
          <cell r="I1077">
            <v>0</v>
          </cell>
        </row>
        <row r="1078">
          <cell r="A1078" t="str">
            <v>E</v>
          </cell>
          <cell r="B1078" t="str">
            <v>UMA52405</v>
          </cell>
          <cell r="C1078" t="str">
            <v>동관 화장실 배관</v>
          </cell>
          <cell r="D1078" t="str">
            <v>D15 MM,  (M TYPE)</v>
          </cell>
          <cell r="E1078" t="str">
            <v>M</v>
          </cell>
          <cell r="F1078">
            <v>1.4</v>
          </cell>
          <cell r="G1078">
            <v>800</v>
          </cell>
          <cell r="H1078">
            <v>1700</v>
          </cell>
          <cell r="I1078">
            <v>0</v>
          </cell>
        </row>
        <row r="1079">
          <cell r="A1079" t="str">
            <v>E</v>
          </cell>
          <cell r="B1079" t="str">
            <v>UMC24108</v>
          </cell>
          <cell r="C1079" t="str">
            <v>동관용접 (BRAZING)</v>
          </cell>
          <cell r="D1079" t="str">
            <v>D25 MM</v>
          </cell>
          <cell r="E1079" t="str">
            <v>개소</v>
          </cell>
          <cell r="F1079">
            <v>5</v>
          </cell>
          <cell r="G1079">
            <v>174</v>
          </cell>
          <cell r="H1079">
            <v>1455</v>
          </cell>
          <cell r="I1079">
            <v>29</v>
          </cell>
        </row>
        <row r="1080">
          <cell r="A1080" t="str">
            <v>E</v>
          </cell>
          <cell r="B1080" t="str">
            <v>UMC24305</v>
          </cell>
          <cell r="C1080" t="str">
            <v>동관용접 (SOLDERING)</v>
          </cell>
          <cell r="D1080" t="str">
            <v>D15 MM</v>
          </cell>
          <cell r="E1080" t="str">
            <v>개소</v>
          </cell>
          <cell r="F1080">
            <v>24</v>
          </cell>
          <cell r="G1080">
            <v>30</v>
          </cell>
          <cell r="H1080">
            <v>960</v>
          </cell>
          <cell r="I1080">
            <v>19</v>
          </cell>
        </row>
        <row r="1081">
          <cell r="A1081" t="str">
            <v>E</v>
          </cell>
          <cell r="B1081" t="str">
            <v>UMC24307</v>
          </cell>
          <cell r="C1081" t="str">
            <v>동관용접 (SOLDERING)</v>
          </cell>
          <cell r="D1081" t="str">
            <v>D20 MM</v>
          </cell>
          <cell r="E1081" t="str">
            <v>개소</v>
          </cell>
          <cell r="F1081">
            <v>12</v>
          </cell>
          <cell r="G1081">
            <v>47</v>
          </cell>
          <cell r="H1081">
            <v>1108</v>
          </cell>
          <cell r="I1081">
            <v>22</v>
          </cell>
        </row>
        <row r="1082">
          <cell r="A1082" t="str">
            <v>E</v>
          </cell>
          <cell r="B1082" t="str">
            <v>UMD46408</v>
          </cell>
          <cell r="C1082" t="str">
            <v>목긴볼밸브 설치</v>
          </cell>
          <cell r="D1082" t="str">
            <v>D25 MM, (10KG/CM2)</v>
          </cell>
          <cell r="E1082" t="str">
            <v>개소</v>
          </cell>
          <cell r="F1082">
            <v>1</v>
          </cell>
          <cell r="G1082">
            <v>6772</v>
          </cell>
          <cell r="H1082">
            <v>2119</v>
          </cell>
          <cell r="I1082">
            <v>42</v>
          </cell>
        </row>
        <row r="1083">
          <cell r="A1083" t="str">
            <v>E</v>
          </cell>
          <cell r="B1083" t="str">
            <v>UMD52109</v>
          </cell>
          <cell r="C1083" t="str">
            <v>자동공기변장치(급탕용)</v>
          </cell>
          <cell r="D1083" t="str">
            <v>D15MM</v>
          </cell>
          <cell r="E1083" t="str">
            <v>조</v>
          </cell>
          <cell r="F1083">
            <v>1</v>
          </cell>
          <cell r="G1083">
            <v>36672</v>
          </cell>
          <cell r="H1083">
            <v>13015</v>
          </cell>
          <cell r="I1083">
            <v>257</v>
          </cell>
        </row>
        <row r="1084">
          <cell r="A1084" t="str">
            <v>E</v>
          </cell>
          <cell r="B1084" t="str">
            <v>UME22205</v>
          </cell>
          <cell r="C1084" t="str">
            <v>동관보온(은박)</v>
          </cell>
          <cell r="D1084" t="str">
            <v>D=15MM, T=25MM</v>
          </cell>
          <cell r="E1084" t="str">
            <v>M</v>
          </cell>
          <cell r="F1084">
            <v>5.75</v>
          </cell>
          <cell r="G1084">
            <v>600</v>
          </cell>
          <cell r="H1084">
            <v>1200</v>
          </cell>
          <cell r="I1084">
            <v>0</v>
          </cell>
        </row>
        <row r="1085">
          <cell r="A1085" t="str">
            <v>E</v>
          </cell>
          <cell r="B1085" t="str">
            <v>UME22207</v>
          </cell>
          <cell r="C1085" t="str">
            <v>동관보온(은박)</v>
          </cell>
          <cell r="D1085" t="str">
            <v>D=20MM, T=25MM</v>
          </cell>
          <cell r="E1085" t="str">
            <v>M</v>
          </cell>
          <cell r="F1085">
            <v>5.15</v>
          </cell>
          <cell r="G1085">
            <v>700</v>
          </cell>
          <cell r="H1085">
            <v>1500</v>
          </cell>
          <cell r="I1085">
            <v>0</v>
          </cell>
        </row>
        <row r="1086">
          <cell r="A1086" t="str">
            <v>E</v>
          </cell>
          <cell r="B1086" t="str">
            <v>UME22208</v>
          </cell>
          <cell r="C1086" t="str">
            <v>동관보온(은박)</v>
          </cell>
          <cell r="D1086" t="str">
            <v>D=25MM, T=25MM</v>
          </cell>
          <cell r="E1086" t="str">
            <v>M</v>
          </cell>
          <cell r="F1086">
            <v>2.7</v>
          </cell>
          <cell r="G1086">
            <v>800</v>
          </cell>
          <cell r="H1086">
            <v>1800</v>
          </cell>
          <cell r="I1086">
            <v>0</v>
          </cell>
        </row>
        <row r="1087">
          <cell r="A1087" t="str">
            <v>E</v>
          </cell>
          <cell r="B1087" t="str">
            <v>UME80205</v>
          </cell>
          <cell r="C1087" t="str">
            <v>발포폴리에틸렌 보온</v>
          </cell>
          <cell r="D1087" t="str">
            <v>D=15MM, T=5MM</v>
          </cell>
          <cell r="E1087" t="str">
            <v>M</v>
          </cell>
          <cell r="F1087">
            <v>2.8</v>
          </cell>
          <cell r="G1087">
            <v>100</v>
          </cell>
          <cell r="H1087">
            <v>300</v>
          </cell>
          <cell r="I1087">
            <v>0</v>
          </cell>
        </row>
        <row r="1088">
          <cell r="A1088" t="str">
            <v>E</v>
          </cell>
          <cell r="B1088" t="str">
            <v>UMO28104</v>
          </cell>
          <cell r="C1088" t="str">
            <v>벽체내고정새들설치</v>
          </cell>
          <cell r="D1088" t="str">
            <v>D15 MM</v>
          </cell>
          <cell r="E1088" t="str">
            <v>조</v>
          </cell>
          <cell r="F1088">
            <v>1</v>
          </cell>
          <cell r="G1088">
            <v>27</v>
          </cell>
          <cell r="H1088">
            <v>0</v>
          </cell>
          <cell r="I1088">
            <v>0</v>
          </cell>
        </row>
        <row r="1089">
          <cell r="C1089" t="str">
            <v>소  계</v>
          </cell>
        </row>
        <row r="1091">
          <cell r="C1091" t="str">
            <v>*  오배수공사</v>
          </cell>
        </row>
        <row r="1092">
          <cell r="A1092" t="str">
            <v>E</v>
          </cell>
          <cell r="B1092" t="str">
            <v>MAH80709</v>
          </cell>
          <cell r="C1092" t="str">
            <v>동망캡</v>
          </cell>
          <cell r="D1092" t="str">
            <v>통기관용</v>
          </cell>
          <cell r="E1092" t="str">
            <v>개</v>
          </cell>
          <cell r="F1092">
            <v>1</v>
          </cell>
          <cell r="G1092">
            <v>180</v>
          </cell>
          <cell r="H1092">
            <v>0</v>
          </cell>
          <cell r="I1092">
            <v>0</v>
          </cell>
        </row>
        <row r="1093">
          <cell r="A1093" t="str">
            <v>E</v>
          </cell>
          <cell r="B1093" t="str">
            <v>MGF11251</v>
          </cell>
          <cell r="C1093" t="str">
            <v>행가지지봉</v>
          </cell>
          <cell r="D1093" t="str">
            <v>9MM(3/8")</v>
          </cell>
          <cell r="E1093" t="str">
            <v>M</v>
          </cell>
          <cell r="F1093">
            <v>10</v>
          </cell>
          <cell r="G1093">
            <v>225</v>
          </cell>
          <cell r="H1093">
            <v>0</v>
          </cell>
          <cell r="I1093">
            <v>0</v>
          </cell>
        </row>
        <row r="1094">
          <cell r="A1094" t="str">
            <v>E</v>
          </cell>
          <cell r="B1094" t="str">
            <v>MGF30505</v>
          </cell>
          <cell r="C1094" t="str">
            <v>인서트</v>
          </cell>
          <cell r="D1094" t="str">
            <v>D9</v>
          </cell>
          <cell r="E1094" t="str">
            <v>개</v>
          </cell>
          <cell r="F1094">
            <v>10</v>
          </cell>
          <cell r="G1094">
            <v>26</v>
          </cell>
          <cell r="H1094">
            <v>0</v>
          </cell>
          <cell r="I1094">
            <v>0</v>
          </cell>
        </row>
        <row r="1095">
          <cell r="A1095" t="str">
            <v>E</v>
          </cell>
          <cell r="B1095" t="str">
            <v>MMC37111</v>
          </cell>
          <cell r="C1095" t="str">
            <v>PVC 45도 곡관</v>
          </cell>
          <cell r="D1095" t="str">
            <v>D35 MM</v>
          </cell>
          <cell r="E1095" t="str">
            <v>개</v>
          </cell>
          <cell r="F1095">
            <v>8</v>
          </cell>
          <cell r="G1095">
            <v>354</v>
          </cell>
          <cell r="H1095">
            <v>0</v>
          </cell>
          <cell r="I1095">
            <v>0</v>
          </cell>
        </row>
        <row r="1096">
          <cell r="A1096" t="str">
            <v>E</v>
          </cell>
          <cell r="B1096" t="str">
            <v>MMC37211</v>
          </cell>
          <cell r="C1096" t="str">
            <v>PVC 90도 곡관</v>
          </cell>
          <cell r="D1096" t="str">
            <v>D35 MM</v>
          </cell>
          <cell r="E1096" t="str">
            <v>개</v>
          </cell>
          <cell r="F1096">
            <v>8</v>
          </cell>
          <cell r="G1096">
            <v>437</v>
          </cell>
          <cell r="H1096">
            <v>0</v>
          </cell>
          <cell r="I1096">
            <v>0</v>
          </cell>
        </row>
        <row r="1097">
          <cell r="A1097" t="str">
            <v>E</v>
          </cell>
          <cell r="B1097" t="str">
            <v>MMC37213</v>
          </cell>
          <cell r="C1097" t="str">
            <v>PVC 90도 곡관</v>
          </cell>
          <cell r="D1097" t="str">
            <v>D50 MM</v>
          </cell>
          <cell r="E1097" t="str">
            <v>개</v>
          </cell>
          <cell r="F1097">
            <v>10</v>
          </cell>
          <cell r="G1097">
            <v>830</v>
          </cell>
          <cell r="H1097">
            <v>0</v>
          </cell>
          <cell r="I1097">
            <v>0</v>
          </cell>
        </row>
        <row r="1098">
          <cell r="A1098" t="str">
            <v>E</v>
          </cell>
          <cell r="B1098" t="str">
            <v>MMC37219</v>
          </cell>
          <cell r="C1098" t="str">
            <v>PVC 90도 곡관</v>
          </cell>
          <cell r="D1098" t="str">
            <v>D100 MM</v>
          </cell>
          <cell r="E1098" t="str">
            <v>개</v>
          </cell>
          <cell r="F1098">
            <v>6</v>
          </cell>
          <cell r="G1098">
            <v>3141</v>
          </cell>
          <cell r="H1098">
            <v>0</v>
          </cell>
          <cell r="I1098">
            <v>0</v>
          </cell>
        </row>
        <row r="1099">
          <cell r="A1099" t="str">
            <v>E</v>
          </cell>
          <cell r="B1099" t="str">
            <v>MMC37342</v>
          </cell>
          <cell r="C1099" t="str">
            <v>PVC Y 관</v>
          </cell>
          <cell r="D1099" t="str">
            <v>D50 X 35</v>
          </cell>
          <cell r="E1099" t="str">
            <v>개</v>
          </cell>
          <cell r="F1099">
            <v>1</v>
          </cell>
          <cell r="G1099">
            <v>948</v>
          </cell>
          <cell r="H1099">
            <v>0</v>
          </cell>
          <cell r="I1099">
            <v>0</v>
          </cell>
        </row>
        <row r="1100">
          <cell r="A1100" t="str">
            <v>E</v>
          </cell>
          <cell r="B1100" t="str">
            <v>MMC37442</v>
          </cell>
          <cell r="C1100" t="str">
            <v>PVC YT 관</v>
          </cell>
          <cell r="D1100" t="str">
            <v>D50 X 35</v>
          </cell>
          <cell r="E1100" t="str">
            <v>개</v>
          </cell>
          <cell r="F1100">
            <v>4</v>
          </cell>
          <cell r="G1100">
            <v>959</v>
          </cell>
          <cell r="H1100">
            <v>0</v>
          </cell>
          <cell r="I1100">
            <v>0</v>
          </cell>
        </row>
        <row r="1101">
          <cell r="A1101" t="str">
            <v>E</v>
          </cell>
          <cell r="B1101" t="str">
            <v>MMC37447</v>
          </cell>
          <cell r="C1101" t="str">
            <v>PVC YT 관</v>
          </cell>
          <cell r="D1101" t="str">
            <v>D75 X 50</v>
          </cell>
          <cell r="E1101" t="str">
            <v>개</v>
          </cell>
          <cell r="F1101">
            <v>1</v>
          </cell>
          <cell r="G1101">
            <v>1795</v>
          </cell>
          <cell r="H1101">
            <v>0</v>
          </cell>
          <cell r="I1101">
            <v>0</v>
          </cell>
        </row>
        <row r="1102">
          <cell r="A1102" t="str">
            <v>E</v>
          </cell>
          <cell r="B1102" t="str">
            <v>MMC37451</v>
          </cell>
          <cell r="C1102" t="str">
            <v>PVC YT 관</v>
          </cell>
          <cell r="D1102" t="str">
            <v>D100X 50</v>
          </cell>
          <cell r="E1102" t="str">
            <v>개</v>
          </cell>
          <cell r="F1102">
            <v>1</v>
          </cell>
          <cell r="G1102">
            <v>2375</v>
          </cell>
          <cell r="H1102">
            <v>0</v>
          </cell>
          <cell r="I1102">
            <v>0</v>
          </cell>
        </row>
        <row r="1103">
          <cell r="A1103" t="str">
            <v>E</v>
          </cell>
          <cell r="B1103" t="str">
            <v>MMC37744</v>
          </cell>
          <cell r="C1103" t="str">
            <v>PVC C-YT 관</v>
          </cell>
          <cell r="D1103" t="str">
            <v>D50 X 50</v>
          </cell>
          <cell r="E1103" t="str">
            <v>개</v>
          </cell>
          <cell r="F1103">
            <v>2</v>
          </cell>
          <cell r="G1103">
            <v>1961</v>
          </cell>
          <cell r="H1103">
            <v>0</v>
          </cell>
          <cell r="I1103">
            <v>0</v>
          </cell>
        </row>
        <row r="1104">
          <cell r="A1104" t="str">
            <v>E</v>
          </cell>
          <cell r="B1104" t="str">
            <v>MMC37752</v>
          </cell>
          <cell r="C1104" t="str">
            <v>PVC C-YT 관</v>
          </cell>
          <cell r="D1104" t="str">
            <v>D100X 75</v>
          </cell>
          <cell r="E1104" t="str">
            <v>개</v>
          </cell>
          <cell r="F1104">
            <v>2</v>
          </cell>
          <cell r="G1104">
            <v>3665</v>
          </cell>
          <cell r="H1104">
            <v>0</v>
          </cell>
          <cell r="I1104">
            <v>0</v>
          </cell>
        </row>
        <row r="1105">
          <cell r="A1105" t="str">
            <v>E</v>
          </cell>
          <cell r="B1105" t="str">
            <v>MMC37753</v>
          </cell>
          <cell r="C1105" t="str">
            <v>PVC C-YT 관</v>
          </cell>
          <cell r="D1105" t="str">
            <v>D100X100</v>
          </cell>
          <cell r="E1105" t="str">
            <v>개</v>
          </cell>
          <cell r="F1105">
            <v>4</v>
          </cell>
          <cell r="G1105">
            <v>3626</v>
          </cell>
          <cell r="H1105">
            <v>0</v>
          </cell>
          <cell r="I1105">
            <v>0</v>
          </cell>
        </row>
        <row r="1106">
          <cell r="A1106" t="str">
            <v>E</v>
          </cell>
          <cell r="B1106" t="str">
            <v>MMC38213</v>
          </cell>
          <cell r="C1106" t="str">
            <v>PVC 소제구</v>
          </cell>
          <cell r="D1106" t="str">
            <v>D50 MM</v>
          </cell>
          <cell r="E1106" t="str">
            <v>개</v>
          </cell>
          <cell r="F1106">
            <v>2</v>
          </cell>
          <cell r="G1106">
            <v>338</v>
          </cell>
          <cell r="H1106">
            <v>0</v>
          </cell>
          <cell r="I1106">
            <v>0</v>
          </cell>
        </row>
        <row r="1107">
          <cell r="A1107" t="str">
            <v>E</v>
          </cell>
          <cell r="B1107" t="str">
            <v>MMC38219</v>
          </cell>
          <cell r="C1107" t="str">
            <v>PVC 소제구</v>
          </cell>
          <cell r="D1107" t="str">
            <v>D100 MM</v>
          </cell>
          <cell r="E1107" t="str">
            <v>개</v>
          </cell>
          <cell r="F1107">
            <v>3</v>
          </cell>
          <cell r="G1107">
            <v>1044</v>
          </cell>
          <cell r="H1107">
            <v>0</v>
          </cell>
          <cell r="I1107">
            <v>0</v>
          </cell>
        </row>
        <row r="1108">
          <cell r="A1108" t="str">
            <v>E</v>
          </cell>
          <cell r="B1108" t="str">
            <v>MMI16104</v>
          </cell>
          <cell r="C1108" t="str">
            <v>전기방열기</v>
          </cell>
          <cell r="D1108" t="str">
            <v>3.0 KW</v>
          </cell>
          <cell r="E1108" t="str">
            <v>대</v>
          </cell>
          <cell r="F1108">
            <v>4</v>
          </cell>
          <cell r="G1108">
            <v>193556</v>
          </cell>
          <cell r="H1108">
            <v>0</v>
          </cell>
          <cell r="I1108">
            <v>0</v>
          </cell>
        </row>
        <row r="1109">
          <cell r="A1109" t="str">
            <v>E</v>
          </cell>
          <cell r="B1109" t="str">
            <v>MMJ56119</v>
          </cell>
          <cell r="C1109" t="str">
            <v>알미늄 후렉시블관</v>
          </cell>
          <cell r="D1109" t="str">
            <v>D100 MM</v>
          </cell>
          <cell r="E1109" t="str">
            <v>M</v>
          </cell>
          <cell r="F1109">
            <v>1</v>
          </cell>
          <cell r="G1109">
            <v>1210</v>
          </cell>
          <cell r="H1109">
            <v>0</v>
          </cell>
          <cell r="I1109">
            <v>0</v>
          </cell>
        </row>
        <row r="1110">
          <cell r="A1110" t="str">
            <v>E</v>
          </cell>
          <cell r="B1110" t="str">
            <v>MMO10110</v>
          </cell>
          <cell r="C1110" t="str">
            <v>파이프 행가</v>
          </cell>
          <cell r="D1110" t="str">
            <v>D32 MM</v>
          </cell>
          <cell r="E1110" t="str">
            <v>개</v>
          </cell>
          <cell r="F1110">
            <v>2</v>
          </cell>
          <cell r="G1110">
            <v>190</v>
          </cell>
          <cell r="H1110">
            <v>0</v>
          </cell>
          <cell r="I1110">
            <v>0</v>
          </cell>
        </row>
        <row r="1111">
          <cell r="A1111" t="str">
            <v>E</v>
          </cell>
          <cell r="B1111" t="str">
            <v>MMO10113</v>
          </cell>
          <cell r="C1111" t="str">
            <v>파이프 행가</v>
          </cell>
          <cell r="D1111" t="str">
            <v>D50 MM</v>
          </cell>
          <cell r="E1111" t="str">
            <v>개</v>
          </cell>
          <cell r="F1111">
            <v>5</v>
          </cell>
          <cell r="G1111">
            <v>288</v>
          </cell>
          <cell r="H1111">
            <v>0</v>
          </cell>
          <cell r="I1111">
            <v>0</v>
          </cell>
        </row>
        <row r="1112">
          <cell r="A1112" t="str">
            <v>E</v>
          </cell>
          <cell r="B1112" t="str">
            <v>MMO10117</v>
          </cell>
          <cell r="C1112" t="str">
            <v>파이프 행가</v>
          </cell>
          <cell r="D1112" t="str">
            <v>D80 MM</v>
          </cell>
          <cell r="E1112" t="str">
            <v>개</v>
          </cell>
          <cell r="F1112">
            <v>1</v>
          </cell>
          <cell r="G1112">
            <v>432</v>
          </cell>
          <cell r="H1112">
            <v>0</v>
          </cell>
          <cell r="I1112">
            <v>0</v>
          </cell>
        </row>
        <row r="1113">
          <cell r="A1113" t="str">
            <v>E</v>
          </cell>
          <cell r="B1113" t="str">
            <v>MMO10119</v>
          </cell>
          <cell r="C1113" t="str">
            <v>파이프 행가</v>
          </cell>
          <cell r="D1113" t="str">
            <v>D100 MM</v>
          </cell>
          <cell r="E1113" t="str">
            <v>개</v>
          </cell>
          <cell r="F1113">
            <v>2</v>
          </cell>
          <cell r="G1113">
            <v>576</v>
          </cell>
          <cell r="H1113">
            <v>0</v>
          </cell>
          <cell r="I1113">
            <v>0</v>
          </cell>
        </row>
        <row r="1114">
          <cell r="A1114" t="str">
            <v>E</v>
          </cell>
          <cell r="B1114" t="str">
            <v>MMO31311</v>
          </cell>
          <cell r="C1114" t="str">
            <v>스리브(PVC제)</v>
          </cell>
          <cell r="D1114" t="str">
            <v>D35 X 120H</v>
          </cell>
          <cell r="E1114" t="str">
            <v>개</v>
          </cell>
          <cell r="F1114">
            <v>2</v>
          </cell>
          <cell r="G1114">
            <v>432</v>
          </cell>
          <cell r="H1114">
            <v>0</v>
          </cell>
          <cell r="I1114">
            <v>0</v>
          </cell>
        </row>
        <row r="1115">
          <cell r="A1115" t="str">
            <v>E</v>
          </cell>
          <cell r="B1115" t="str">
            <v>MMO31313</v>
          </cell>
          <cell r="C1115" t="str">
            <v>스리브(PVC제)</v>
          </cell>
          <cell r="D1115" t="str">
            <v>D50 X 120H</v>
          </cell>
          <cell r="E1115" t="str">
            <v>개</v>
          </cell>
          <cell r="F1115">
            <v>2</v>
          </cell>
          <cell r="G1115">
            <v>504</v>
          </cell>
          <cell r="H1115">
            <v>0</v>
          </cell>
          <cell r="I1115">
            <v>0</v>
          </cell>
        </row>
        <row r="1116">
          <cell r="A1116" t="str">
            <v>E</v>
          </cell>
          <cell r="B1116" t="str">
            <v>MMO31319</v>
          </cell>
          <cell r="C1116" t="str">
            <v>스리브(PVC제)</v>
          </cell>
          <cell r="D1116" t="str">
            <v>D100X 120H</v>
          </cell>
          <cell r="E1116" t="str">
            <v>개</v>
          </cell>
          <cell r="F1116">
            <v>9</v>
          </cell>
          <cell r="G1116">
            <v>828</v>
          </cell>
          <cell r="H1116">
            <v>0</v>
          </cell>
          <cell r="I1116">
            <v>0</v>
          </cell>
        </row>
        <row r="1117">
          <cell r="A1117" t="str">
            <v>E</v>
          </cell>
          <cell r="B1117" t="str">
            <v>MMO31321</v>
          </cell>
          <cell r="C1117" t="str">
            <v>스리브(PVC제)</v>
          </cell>
          <cell r="D1117" t="str">
            <v>D35 X 220H</v>
          </cell>
          <cell r="E1117" t="str">
            <v>개</v>
          </cell>
          <cell r="F1117">
            <v>4</v>
          </cell>
          <cell r="G1117">
            <v>576</v>
          </cell>
          <cell r="H1117">
            <v>0</v>
          </cell>
          <cell r="I1117">
            <v>0</v>
          </cell>
        </row>
        <row r="1118">
          <cell r="A1118" t="str">
            <v>E</v>
          </cell>
          <cell r="B1118" t="str">
            <v>SMG13600</v>
          </cell>
          <cell r="C1118" t="str">
            <v>유아용 욕조 설치</v>
          </cell>
          <cell r="E1118" t="str">
            <v>조</v>
          </cell>
          <cell r="F1118">
            <v>1</v>
          </cell>
          <cell r="G1118">
            <v>39096</v>
          </cell>
          <cell r="H1118">
            <v>20570</v>
          </cell>
          <cell r="I1118">
            <v>410</v>
          </cell>
        </row>
        <row r="1119">
          <cell r="A1119" t="str">
            <v>E</v>
          </cell>
          <cell r="B1119" t="str">
            <v>UMB30311</v>
          </cell>
          <cell r="C1119" t="str">
            <v>오배수PVC 배관</v>
          </cell>
          <cell r="D1119" t="str">
            <v>D35 MM(VG2)</v>
          </cell>
          <cell r="E1119" t="str">
            <v>M</v>
          </cell>
          <cell r="F1119">
            <v>5.44</v>
          </cell>
          <cell r="G1119">
            <v>400</v>
          </cell>
          <cell r="H1119">
            <v>1700</v>
          </cell>
          <cell r="I1119">
            <v>0</v>
          </cell>
        </row>
        <row r="1120">
          <cell r="A1120" t="str">
            <v>E</v>
          </cell>
          <cell r="B1120" t="str">
            <v>UMB30313</v>
          </cell>
          <cell r="C1120" t="str">
            <v>오배수PVC 배관</v>
          </cell>
          <cell r="D1120" t="str">
            <v>D50 MM(VG2)</v>
          </cell>
          <cell r="E1120" t="str">
            <v>M</v>
          </cell>
          <cell r="F1120">
            <v>20.12</v>
          </cell>
          <cell r="G1120">
            <v>600</v>
          </cell>
          <cell r="H1120">
            <v>2400</v>
          </cell>
          <cell r="I1120">
            <v>0</v>
          </cell>
        </row>
        <row r="1121">
          <cell r="A1121" t="str">
            <v>E</v>
          </cell>
          <cell r="B1121" t="str">
            <v>UMB30316</v>
          </cell>
          <cell r="C1121" t="str">
            <v>오배수PVC 배관</v>
          </cell>
          <cell r="D1121" t="str">
            <v>D75 MM(VG2)</v>
          </cell>
          <cell r="E1121" t="str">
            <v>M</v>
          </cell>
          <cell r="F1121">
            <v>4</v>
          </cell>
          <cell r="G1121">
            <v>1271</v>
          </cell>
          <cell r="H1121">
            <v>2920</v>
          </cell>
          <cell r="I1121">
            <v>58</v>
          </cell>
        </row>
        <row r="1122">
          <cell r="A1122" t="str">
            <v>E</v>
          </cell>
          <cell r="B1122" t="str">
            <v>UMB30318</v>
          </cell>
          <cell r="C1122" t="str">
            <v>오배수PVC 배관</v>
          </cell>
          <cell r="D1122" t="str">
            <v>D100 MM(VG2)</v>
          </cell>
          <cell r="E1122" t="str">
            <v>M</v>
          </cell>
          <cell r="F1122">
            <v>18.61</v>
          </cell>
          <cell r="G1122">
            <v>1900</v>
          </cell>
          <cell r="H1122">
            <v>3600</v>
          </cell>
          <cell r="I1122">
            <v>100</v>
          </cell>
        </row>
        <row r="1123">
          <cell r="A1123" t="str">
            <v>E</v>
          </cell>
          <cell r="B1123" t="str">
            <v>UMF22016</v>
          </cell>
          <cell r="C1123" t="str">
            <v>배수용수중펌프설치(배관,충격완화C.V포함)</v>
          </cell>
          <cell r="D1123" t="str">
            <v>2HP-2대,D50,탈착장치有</v>
          </cell>
          <cell r="E1123" t="str">
            <v>조</v>
          </cell>
          <cell r="F1123">
            <v>1</v>
          </cell>
          <cell r="G1123">
            <v>1110511</v>
          </cell>
          <cell r="H1123">
            <v>217910</v>
          </cell>
          <cell r="I1123">
            <v>4355</v>
          </cell>
        </row>
        <row r="1124">
          <cell r="A1124" t="str">
            <v>E</v>
          </cell>
          <cell r="B1124" t="str">
            <v>UMG10105</v>
          </cell>
          <cell r="C1124" t="str">
            <v>양변기설치(유색,대형)</v>
          </cell>
          <cell r="D1124" t="str">
            <v>KSVC-1210CR(휴지걸이제외)</v>
          </cell>
          <cell r="E1124" t="str">
            <v>조</v>
          </cell>
          <cell r="F1124">
            <v>5</v>
          </cell>
          <cell r="G1124">
            <v>54989</v>
          </cell>
          <cell r="H1124">
            <v>25649</v>
          </cell>
          <cell r="I1124">
            <v>513</v>
          </cell>
        </row>
        <row r="1125">
          <cell r="A1125" t="str">
            <v>E</v>
          </cell>
          <cell r="B1125" t="str">
            <v>UMG10109</v>
          </cell>
          <cell r="C1125" t="str">
            <v>유아용 양변기설치</v>
          </cell>
          <cell r="D1125" t="str">
            <v>KSVC-760(휴지걸이제외)</v>
          </cell>
          <cell r="E1125" t="str">
            <v>조</v>
          </cell>
          <cell r="F1125">
            <v>2</v>
          </cell>
          <cell r="G1125">
            <v>54881</v>
          </cell>
          <cell r="H1125">
            <v>25649</v>
          </cell>
          <cell r="I1125">
            <v>513</v>
          </cell>
        </row>
        <row r="1126">
          <cell r="A1126" t="str">
            <v>E</v>
          </cell>
          <cell r="B1126" t="str">
            <v>UMG13104</v>
          </cell>
          <cell r="C1126" t="str">
            <v>일반세면기설치(백색)</v>
          </cell>
          <cell r="D1126" t="str">
            <v>KSVL-610(수전제외)</v>
          </cell>
          <cell r="E1126" t="str">
            <v>조</v>
          </cell>
          <cell r="F1126">
            <v>5</v>
          </cell>
          <cell r="G1126">
            <v>20160</v>
          </cell>
          <cell r="H1126">
            <v>9161</v>
          </cell>
          <cell r="I1126">
            <v>183</v>
          </cell>
        </row>
        <row r="1127">
          <cell r="A1127" t="str">
            <v>E</v>
          </cell>
          <cell r="B1127" t="str">
            <v>UMG19201</v>
          </cell>
          <cell r="C1127" t="str">
            <v>소변기설치</v>
          </cell>
          <cell r="D1127" t="str">
            <v>KSEU-330(전자감응)</v>
          </cell>
          <cell r="E1127" t="str">
            <v>조</v>
          </cell>
          <cell r="F1127">
            <v>2</v>
          </cell>
          <cell r="G1127">
            <v>69919</v>
          </cell>
          <cell r="H1127">
            <v>34625</v>
          </cell>
          <cell r="I1127">
            <v>692</v>
          </cell>
        </row>
        <row r="1128">
          <cell r="A1128" t="str">
            <v>E</v>
          </cell>
          <cell r="B1128" t="str">
            <v>UMG25100</v>
          </cell>
          <cell r="C1128" t="str">
            <v>세면기수전설치(다용도꼭지제외)</v>
          </cell>
          <cell r="D1128" t="str">
            <v>니켈크롬도장</v>
          </cell>
          <cell r="E1128" t="str">
            <v>개</v>
          </cell>
          <cell r="F1128">
            <v>4</v>
          </cell>
          <cell r="G1128">
            <v>36936</v>
          </cell>
          <cell r="H1128">
            <v>6792</v>
          </cell>
          <cell r="I1128">
            <v>135</v>
          </cell>
        </row>
        <row r="1129">
          <cell r="A1129" t="str">
            <v>E</v>
          </cell>
          <cell r="B1129" t="str">
            <v>UMG43201</v>
          </cell>
          <cell r="C1129" t="str">
            <v>화장경설치(무늬형)</v>
          </cell>
          <cell r="D1129" t="str">
            <v>850X700X5T</v>
          </cell>
          <cell r="E1129" t="str">
            <v>개</v>
          </cell>
          <cell r="F1129">
            <v>5</v>
          </cell>
          <cell r="G1129">
            <v>13178</v>
          </cell>
          <cell r="H1129">
            <v>7471</v>
          </cell>
          <cell r="I1129">
            <v>149</v>
          </cell>
        </row>
        <row r="1130">
          <cell r="A1130" t="str">
            <v>E</v>
          </cell>
          <cell r="B1130" t="str">
            <v>UMG43301</v>
          </cell>
          <cell r="C1130" t="str">
            <v>휴지걸이설치</v>
          </cell>
          <cell r="D1130" t="str">
            <v>고급형</v>
          </cell>
          <cell r="E1130" t="str">
            <v>개</v>
          </cell>
          <cell r="F1130">
            <v>7</v>
          </cell>
          <cell r="G1130">
            <v>5890</v>
          </cell>
          <cell r="H1130">
            <v>4535</v>
          </cell>
          <cell r="I1130">
            <v>90</v>
          </cell>
        </row>
        <row r="1131">
          <cell r="A1131" t="str">
            <v>E</v>
          </cell>
          <cell r="B1131" t="str">
            <v>UMG43400</v>
          </cell>
          <cell r="C1131" t="str">
            <v>수건걸이설치(고급형)</v>
          </cell>
          <cell r="D1131" t="str">
            <v>1BAR</v>
          </cell>
          <cell r="E1131" t="str">
            <v>개</v>
          </cell>
          <cell r="F1131">
            <v>4</v>
          </cell>
          <cell r="G1131">
            <v>6545</v>
          </cell>
          <cell r="H1131">
            <v>4535</v>
          </cell>
          <cell r="I1131">
            <v>90</v>
          </cell>
        </row>
        <row r="1132">
          <cell r="A1132" t="str">
            <v>E</v>
          </cell>
          <cell r="B1132" t="str">
            <v>UMG43701</v>
          </cell>
          <cell r="C1132" t="str">
            <v>에어타올설치</v>
          </cell>
          <cell r="D1132" t="str">
            <v>센서식</v>
          </cell>
          <cell r="E1132" t="str">
            <v>개</v>
          </cell>
          <cell r="F1132">
            <v>1</v>
          </cell>
          <cell r="G1132">
            <v>79200</v>
          </cell>
          <cell r="H1132">
            <v>4535</v>
          </cell>
          <cell r="I1132">
            <v>90</v>
          </cell>
        </row>
        <row r="1133">
          <cell r="A1133" t="str">
            <v>E</v>
          </cell>
          <cell r="B1133" t="str">
            <v>UMJ30302</v>
          </cell>
          <cell r="C1133" t="str">
            <v>배기휀설치(벽식)</v>
          </cell>
          <cell r="D1133" t="str">
            <v>1/8HP,93W이하</v>
          </cell>
          <cell r="E1133" t="str">
            <v>대</v>
          </cell>
          <cell r="F1133">
            <v>3</v>
          </cell>
          <cell r="G1133">
            <v>102334</v>
          </cell>
          <cell r="H1133">
            <v>23376</v>
          </cell>
          <cell r="I1133">
            <v>467</v>
          </cell>
        </row>
        <row r="1134">
          <cell r="A1134" t="str">
            <v>E</v>
          </cell>
          <cell r="B1134" t="str">
            <v>UMJ30304</v>
          </cell>
          <cell r="C1134" t="str">
            <v>배기휀설치(벽식)</v>
          </cell>
          <cell r="D1134" t="str">
            <v>1/20HP,37W이하</v>
          </cell>
          <cell r="E1134" t="str">
            <v>대</v>
          </cell>
          <cell r="F1134">
            <v>2</v>
          </cell>
          <cell r="G1134">
            <v>13869</v>
          </cell>
          <cell r="H1134">
            <v>15584</v>
          </cell>
          <cell r="I1134">
            <v>311</v>
          </cell>
        </row>
        <row r="1135">
          <cell r="A1135" t="str">
            <v>E</v>
          </cell>
          <cell r="B1135" t="str">
            <v>UMJ34501</v>
          </cell>
          <cell r="C1135" t="str">
            <v>레인지후드설치</v>
          </cell>
          <cell r="D1135" t="str">
            <v>고급형</v>
          </cell>
          <cell r="E1135" t="str">
            <v>대</v>
          </cell>
          <cell r="F1135">
            <v>1</v>
          </cell>
          <cell r="G1135">
            <v>39600</v>
          </cell>
          <cell r="H1135">
            <v>5084</v>
          </cell>
          <cell r="I1135">
            <v>102</v>
          </cell>
        </row>
        <row r="1136">
          <cell r="A1136" t="str">
            <v>E</v>
          </cell>
          <cell r="B1136" t="str">
            <v>UMO31705</v>
          </cell>
          <cell r="C1136" t="str">
            <v>지수판스리브강관제작</v>
          </cell>
          <cell r="D1136" t="str">
            <v>D65 M/M</v>
          </cell>
          <cell r="E1136" t="str">
            <v>개소</v>
          </cell>
          <cell r="F1136">
            <v>1</v>
          </cell>
          <cell r="G1136">
            <v>1351</v>
          </cell>
          <cell r="H1136">
            <v>7499</v>
          </cell>
          <cell r="I1136">
            <v>148</v>
          </cell>
        </row>
        <row r="1137">
          <cell r="A1137" t="str">
            <v>E</v>
          </cell>
          <cell r="B1137" t="str">
            <v>UMO31707</v>
          </cell>
          <cell r="C1137" t="str">
            <v>지수판스리브강관제작</v>
          </cell>
          <cell r="D1137" t="str">
            <v>D100 M/M</v>
          </cell>
          <cell r="E1137" t="str">
            <v>개소</v>
          </cell>
          <cell r="F1137">
            <v>1</v>
          </cell>
          <cell r="G1137">
            <v>2201</v>
          </cell>
          <cell r="H1137">
            <v>9294</v>
          </cell>
          <cell r="I1137">
            <v>184</v>
          </cell>
        </row>
        <row r="1138">
          <cell r="A1138" t="str">
            <v>E</v>
          </cell>
          <cell r="B1138" t="str">
            <v>UMO31708</v>
          </cell>
          <cell r="C1138" t="str">
            <v>지수판스리브강관제작</v>
          </cell>
          <cell r="D1138" t="str">
            <v>D125 M/M</v>
          </cell>
          <cell r="E1138" t="str">
            <v>개소</v>
          </cell>
          <cell r="F1138">
            <v>1</v>
          </cell>
          <cell r="G1138">
            <v>2802</v>
          </cell>
          <cell r="H1138">
            <v>11083</v>
          </cell>
          <cell r="I1138">
            <v>220</v>
          </cell>
        </row>
        <row r="1139">
          <cell r="A1139" t="str">
            <v>E</v>
          </cell>
          <cell r="B1139" t="str">
            <v>UMO42303</v>
          </cell>
          <cell r="C1139" t="str">
            <v>욕실 배수트랩 설치(스텐)</v>
          </cell>
          <cell r="D1139" t="str">
            <v>D50 x 200 x 200</v>
          </cell>
          <cell r="E1139" t="str">
            <v>개소</v>
          </cell>
          <cell r="F1139">
            <v>5</v>
          </cell>
          <cell r="G1139">
            <v>8640</v>
          </cell>
          <cell r="H1139">
            <v>7394</v>
          </cell>
          <cell r="I1139">
            <v>148</v>
          </cell>
        </row>
        <row r="1140">
          <cell r="A1140" t="str">
            <v>E</v>
          </cell>
          <cell r="B1140" t="str">
            <v>UMZ50225</v>
          </cell>
          <cell r="C1140" t="str">
            <v>집수정덮개(스틸그레이팅)설치</v>
          </cell>
          <cell r="D1140" t="str">
            <v>1,100 X 1,100</v>
          </cell>
          <cell r="E1140" t="str">
            <v>개소</v>
          </cell>
          <cell r="F1140">
            <v>1</v>
          </cell>
          <cell r="G1140">
            <v>36794</v>
          </cell>
          <cell r="H1140">
            <v>1831</v>
          </cell>
          <cell r="I1140">
            <v>62</v>
          </cell>
        </row>
        <row r="1141">
          <cell r="C1141" t="str">
            <v>소  계</v>
          </cell>
        </row>
        <row r="1143">
          <cell r="C1143" t="str">
            <v>*  난방공사</v>
          </cell>
        </row>
        <row r="1144">
          <cell r="A1144" t="str">
            <v>E</v>
          </cell>
          <cell r="B1144" t="str">
            <v>MMB40107</v>
          </cell>
          <cell r="C1144" t="str">
            <v>동 엘보</v>
          </cell>
          <cell r="D1144" t="str">
            <v>D20 MM</v>
          </cell>
          <cell r="E1144" t="str">
            <v>개</v>
          </cell>
          <cell r="F1144">
            <v>11</v>
          </cell>
          <cell r="G1144">
            <v>228</v>
          </cell>
          <cell r="H1144">
            <v>0</v>
          </cell>
          <cell r="I1144">
            <v>0</v>
          </cell>
        </row>
        <row r="1145">
          <cell r="A1145" t="str">
            <v>E</v>
          </cell>
          <cell r="B1145" t="str">
            <v>MMB40108</v>
          </cell>
          <cell r="C1145" t="str">
            <v>동 엘보</v>
          </cell>
          <cell r="D1145" t="str">
            <v>D25 MM</v>
          </cell>
          <cell r="E1145" t="str">
            <v>개</v>
          </cell>
          <cell r="F1145">
            <v>3</v>
          </cell>
          <cell r="G1145">
            <v>395</v>
          </cell>
          <cell r="H1145">
            <v>0</v>
          </cell>
          <cell r="I1145">
            <v>0</v>
          </cell>
        </row>
        <row r="1146">
          <cell r="A1146" t="str">
            <v>E</v>
          </cell>
          <cell r="B1146" t="str">
            <v>MMB40208</v>
          </cell>
          <cell r="C1146" t="str">
            <v>동 티</v>
          </cell>
          <cell r="D1146" t="str">
            <v>D25 MM</v>
          </cell>
          <cell r="E1146" t="str">
            <v>개</v>
          </cell>
          <cell r="F1146">
            <v>2</v>
          </cell>
          <cell r="G1146">
            <v>553</v>
          </cell>
          <cell r="H1146">
            <v>0</v>
          </cell>
          <cell r="I1146">
            <v>0</v>
          </cell>
        </row>
        <row r="1147">
          <cell r="A1147" t="str">
            <v>E</v>
          </cell>
          <cell r="B1147" t="str">
            <v>MMB40308</v>
          </cell>
          <cell r="C1147" t="str">
            <v>동 레듀샤</v>
          </cell>
          <cell r="D1147" t="str">
            <v>D25 MM</v>
          </cell>
          <cell r="E1147" t="str">
            <v>개</v>
          </cell>
          <cell r="F1147">
            <v>2</v>
          </cell>
          <cell r="G1147">
            <v>212</v>
          </cell>
          <cell r="H1147">
            <v>0</v>
          </cell>
          <cell r="I1147">
            <v>0</v>
          </cell>
        </row>
        <row r="1148">
          <cell r="A1148" t="str">
            <v>E</v>
          </cell>
          <cell r="B1148" t="str">
            <v>MMB50107</v>
          </cell>
          <cell r="C1148" t="str">
            <v>CM아답타</v>
          </cell>
          <cell r="D1148" t="str">
            <v>D20 MM</v>
          </cell>
          <cell r="E1148" t="str">
            <v>개</v>
          </cell>
          <cell r="F1148">
            <v>4</v>
          </cell>
          <cell r="G1148">
            <v>351</v>
          </cell>
          <cell r="H1148">
            <v>0</v>
          </cell>
          <cell r="I1148">
            <v>0</v>
          </cell>
        </row>
        <row r="1149">
          <cell r="A1149" t="str">
            <v>E</v>
          </cell>
          <cell r="B1149" t="str">
            <v>MMB50507</v>
          </cell>
          <cell r="C1149" t="str">
            <v>CM유니온</v>
          </cell>
          <cell r="D1149" t="str">
            <v>D20 MM</v>
          </cell>
          <cell r="E1149" t="str">
            <v>개</v>
          </cell>
          <cell r="F1149">
            <v>8</v>
          </cell>
          <cell r="G1149">
            <v>1248</v>
          </cell>
          <cell r="H1149">
            <v>0</v>
          </cell>
          <cell r="I1149">
            <v>0</v>
          </cell>
        </row>
        <row r="1150">
          <cell r="A1150" t="str">
            <v>E</v>
          </cell>
          <cell r="B1150" t="str">
            <v>MMB50508</v>
          </cell>
          <cell r="C1150" t="str">
            <v>CM유니온</v>
          </cell>
          <cell r="D1150" t="str">
            <v>D25 MM</v>
          </cell>
          <cell r="E1150" t="str">
            <v>개</v>
          </cell>
          <cell r="F1150">
            <v>2</v>
          </cell>
          <cell r="G1150">
            <v>2229</v>
          </cell>
          <cell r="H1150">
            <v>0</v>
          </cell>
          <cell r="I1150">
            <v>0</v>
          </cell>
        </row>
        <row r="1151">
          <cell r="A1151" t="str">
            <v>E</v>
          </cell>
          <cell r="B1151" t="str">
            <v>MMC71205</v>
          </cell>
          <cell r="C1151" t="str">
            <v>XL용 엘보</v>
          </cell>
          <cell r="D1151" t="str">
            <v>D15 MM</v>
          </cell>
          <cell r="E1151" t="str">
            <v>개</v>
          </cell>
          <cell r="F1151">
            <v>2</v>
          </cell>
          <cell r="G1151">
            <v>535</v>
          </cell>
          <cell r="H1151">
            <v>0</v>
          </cell>
          <cell r="I1151">
            <v>0</v>
          </cell>
        </row>
        <row r="1152">
          <cell r="A1152" t="str">
            <v>E</v>
          </cell>
          <cell r="B1152" t="str">
            <v>MMC71602</v>
          </cell>
          <cell r="C1152" t="str">
            <v>U핀</v>
          </cell>
          <cell r="D1152" t="str">
            <v>D15 MM</v>
          </cell>
          <cell r="E1152" t="str">
            <v>개</v>
          </cell>
          <cell r="F1152">
            <v>744</v>
          </cell>
          <cell r="G1152">
            <v>6</v>
          </cell>
          <cell r="H1152">
            <v>0</v>
          </cell>
          <cell r="I1152">
            <v>0</v>
          </cell>
        </row>
        <row r="1153">
          <cell r="A1153" t="str">
            <v>E</v>
          </cell>
          <cell r="B1153" t="str">
            <v>MMO22505</v>
          </cell>
          <cell r="C1153" t="str">
            <v>유니온 엘보</v>
          </cell>
          <cell r="D1153" t="str">
            <v>D15 MM</v>
          </cell>
          <cell r="E1153" t="str">
            <v>개</v>
          </cell>
          <cell r="F1153">
            <v>2</v>
          </cell>
          <cell r="G1153">
            <v>792</v>
          </cell>
          <cell r="H1153">
            <v>0</v>
          </cell>
          <cell r="I1153">
            <v>0</v>
          </cell>
        </row>
        <row r="1154">
          <cell r="A1154" t="str">
            <v>E</v>
          </cell>
          <cell r="B1154" t="str">
            <v>MMO31207</v>
          </cell>
          <cell r="C1154" t="str">
            <v>스리브(PVC제)</v>
          </cell>
          <cell r="D1154" t="str">
            <v>D20 MM</v>
          </cell>
          <cell r="E1154" t="str">
            <v>M</v>
          </cell>
          <cell r="F1154">
            <v>0.2</v>
          </cell>
          <cell r="G1154">
            <v>200</v>
          </cell>
          <cell r="H1154">
            <v>0</v>
          </cell>
          <cell r="I1154">
            <v>0</v>
          </cell>
        </row>
        <row r="1155">
          <cell r="A1155" t="str">
            <v>E</v>
          </cell>
          <cell r="B1155" t="str">
            <v>MMO31220</v>
          </cell>
          <cell r="C1155" t="str">
            <v>스리브(PVC제)</v>
          </cell>
          <cell r="D1155" t="str">
            <v>D125 MM</v>
          </cell>
          <cell r="E1155" t="str">
            <v>M</v>
          </cell>
          <cell r="F1155">
            <v>0.11</v>
          </cell>
          <cell r="G1155">
            <v>3700</v>
          </cell>
          <cell r="H1155">
            <v>0</v>
          </cell>
          <cell r="I1155">
            <v>0</v>
          </cell>
        </row>
        <row r="1156">
          <cell r="A1156" t="str">
            <v>E</v>
          </cell>
          <cell r="B1156" t="str">
            <v>MMO31611</v>
          </cell>
          <cell r="C1156" t="str">
            <v>방열기용 스리브(S형)</v>
          </cell>
          <cell r="D1156" t="str">
            <v>D25(28) x 150 - 200MM</v>
          </cell>
          <cell r="E1156" t="str">
            <v>개</v>
          </cell>
          <cell r="F1156">
            <v>2</v>
          </cell>
          <cell r="G1156">
            <v>490</v>
          </cell>
          <cell r="H1156">
            <v>0</v>
          </cell>
          <cell r="I1156">
            <v>0</v>
          </cell>
        </row>
        <row r="1157">
          <cell r="A1157" t="str">
            <v>E</v>
          </cell>
          <cell r="B1157" t="str">
            <v>UEA04280</v>
          </cell>
          <cell r="C1157" t="str">
            <v>합성수지제가요전선관</v>
          </cell>
          <cell r="D1157" t="str">
            <v>CD 28MM</v>
          </cell>
          <cell r="E1157" t="str">
            <v>M</v>
          </cell>
          <cell r="F1157">
            <v>8.6</v>
          </cell>
          <cell r="G1157">
            <v>200</v>
          </cell>
          <cell r="H1157">
            <v>1500</v>
          </cell>
          <cell r="I1157">
            <v>0</v>
          </cell>
        </row>
        <row r="1158">
          <cell r="A1158" t="str">
            <v>E</v>
          </cell>
          <cell r="B1158" t="str">
            <v>UEH01080</v>
          </cell>
          <cell r="C1158" t="str">
            <v>조인트박스설치(카바부)</v>
          </cell>
          <cell r="D1158" t="str">
            <v>100X60X40</v>
          </cell>
          <cell r="E1158" t="str">
            <v>식</v>
          </cell>
          <cell r="F1158">
            <v>1</v>
          </cell>
          <cell r="G1158">
            <v>353</v>
          </cell>
          <cell r="H1158">
            <v>4259</v>
          </cell>
          <cell r="I1158">
            <v>85</v>
          </cell>
        </row>
        <row r="1159">
          <cell r="A1159" t="str">
            <v>E</v>
          </cell>
          <cell r="B1159" t="str">
            <v>UMA52307</v>
          </cell>
          <cell r="C1159" t="str">
            <v>동관 옥내 배관</v>
          </cell>
          <cell r="D1159" t="str">
            <v>D20 MM,  (M TYPE)</v>
          </cell>
          <cell r="E1159" t="str">
            <v>M</v>
          </cell>
          <cell r="F1159">
            <v>19.399999999999999</v>
          </cell>
          <cell r="G1159">
            <v>1200</v>
          </cell>
          <cell r="H1159">
            <v>1700</v>
          </cell>
          <cell r="I1159">
            <v>0</v>
          </cell>
        </row>
        <row r="1160">
          <cell r="A1160" t="str">
            <v>E</v>
          </cell>
          <cell r="B1160" t="str">
            <v>UMA52308</v>
          </cell>
          <cell r="C1160" t="str">
            <v>동관 옥내 배관</v>
          </cell>
          <cell r="D1160" t="str">
            <v>D25 MM,  (M TYPE)</v>
          </cell>
          <cell r="E1160" t="str">
            <v>M</v>
          </cell>
          <cell r="F1160">
            <v>3.7</v>
          </cell>
          <cell r="G1160">
            <v>1700</v>
          </cell>
          <cell r="H1160">
            <v>2000</v>
          </cell>
          <cell r="I1160">
            <v>0</v>
          </cell>
        </row>
        <row r="1161">
          <cell r="A1161" t="str">
            <v>E</v>
          </cell>
          <cell r="B1161" t="str">
            <v>UMB52105</v>
          </cell>
          <cell r="C1161" t="str">
            <v>XL관 난방코일배관</v>
          </cell>
          <cell r="D1161" t="str">
            <v>D15 MM</v>
          </cell>
          <cell r="E1161" t="str">
            <v>M</v>
          </cell>
          <cell r="F1161">
            <v>422</v>
          </cell>
          <cell r="G1161">
            <v>174</v>
          </cell>
          <cell r="H1161">
            <v>1380</v>
          </cell>
          <cell r="I1161">
            <v>27</v>
          </cell>
        </row>
        <row r="1162">
          <cell r="A1162" t="str">
            <v>E</v>
          </cell>
          <cell r="B1162" t="str">
            <v>UMC24108</v>
          </cell>
          <cell r="C1162" t="str">
            <v>동관용접 (BRAZING)</v>
          </cell>
          <cell r="D1162" t="str">
            <v>D25 MM</v>
          </cell>
          <cell r="E1162" t="str">
            <v>개소</v>
          </cell>
          <cell r="F1162">
            <v>14</v>
          </cell>
          <cell r="G1162">
            <v>174</v>
          </cell>
          <cell r="H1162">
            <v>1455</v>
          </cell>
          <cell r="I1162">
            <v>29</v>
          </cell>
        </row>
        <row r="1163">
          <cell r="A1163" t="str">
            <v>E</v>
          </cell>
          <cell r="B1163" t="str">
            <v>UMC24307</v>
          </cell>
          <cell r="C1163" t="str">
            <v>동관용접 (SOLDERING)</v>
          </cell>
          <cell r="D1163" t="str">
            <v>D20 MM</v>
          </cell>
          <cell r="E1163" t="str">
            <v>개소</v>
          </cell>
          <cell r="F1163">
            <v>38</v>
          </cell>
          <cell r="G1163">
            <v>47</v>
          </cell>
          <cell r="H1163">
            <v>1108</v>
          </cell>
          <cell r="I1163">
            <v>22</v>
          </cell>
        </row>
        <row r="1164">
          <cell r="A1164" t="str">
            <v>E</v>
          </cell>
          <cell r="B1164" t="str">
            <v>UMD46205</v>
          </cell>
          <cell r="C1164" t="str">
            <v>황동볼밸브 설치</v>
          </cell>
          <cell r="D1164" t="str">
            <v>D15 MM, (10KG/CM2)</v>
          </cell>
          <cell r="E1164" t="str">
            <v>개소</v>
          </cell>
          <cell r="F1164">
            <v>2</v>
          </cell>
          <cell r="G1164">
            <v>1166</v>
          </cell>
          <cell r="H1164">
            <v>2119</v>
          </cell>
          <cell r="I1164">
            <v>42</v>
          </cell>
        </row>
        <row r="1165">
          <cell r="A1165" t="str">
            <v>E</v>
          </cell>
          <cell r="B1165" t="str">
            <v>UMD52107</v>
          </cell>
          <cell r="C1165" t="str">
            <v>자동공기변장치(난방용)</v>
          </cell>
          <cell r="D1165" t="str">
            <v>D15MM</v>
          </cell>
          <cell r="E1165" t="str">
            <v>조</v>
          </cell>
          <cell r="F1165">
            <v>2</v>
          </cell>
          <cell r="G1165">
            <v>37189</v>
          </cell>
          <cell r="H1165">
            <v>15651</v>
          </cell>
          <cell r="I1165">
            <v>309</v>
          </cell>
        </row>
        <row r="1166">
          <cell r="A1166" t="str">
            <v>E</v>
          </cell>
          <cell r="B1166" t="str">
            <v>UME20208</v>
          </cell>
          <cell r="C1166" t="str">
            <v>동관보온(포리마테이프)</v>
          </cell>
          <cell r="D1166" t="str">
            <v>D=25MM, T=25MM</v>
          </cell>
          <cell r="E1166" t="str">
            <v>M</v>
          </cell>
          <cell r="F1166">
            <v>2.2000000000000002</v>
          </cell>
          <cell r="G1166">
            <v>800</v>
          </cell>
          <cell r="H1166">
            <v>1900</v>
          </cell>
          <cell r="I1166">
            <v>0</v>
          </cell>
        </row>
        <row r="1167">
          <cell r="A1167" t="str">
            <v>E</v>
          </cell>
          <cell r="B1167" t="str">
            <v>UME80206</v>
          </cell>
          <cell r="C1167" t="str">
            <v>발포폴리에틸렌 보온</v>
          </cell>
          <cell r="D1167" t="str">
            <v>D=18MM, T=5MM</v>
          </cell>
          <cell r="E1167" t="str">
            <v>M</v>
          </cell>
          <cell r="F1167">
            <v>8.5</v>
          </cell>
          <cell r="G1167">
            <v>200</v>
          </cell>
          <cell r="H1167">
            <v>400</v>
          </cell>
          <cell r="I1167">
            <v>0</v>
          </cell>
        </row>
        <row r="1168">
          <cell r="A1168" t="str">
            <v>E</v>
          </cell>
          <cell r="B1168" t="str">
            <v>UME80207</v>
          </cell>
          <cell r="C1168" t="str">
            <v>발포폴리에틸렌 보온</v>
          </cell>
          <cell r="D1168" t="str">
            <v>D=20MM, T=5MM</v>
          </cell>
          <cell r="E1168" t="str">
            <v>M</v>
          </cell>
          <cell r="F1168">
            <v>18.399999999999999</v>
          </cell>
          <cell r="G1168">
            <v>200</v>
          </cell>
          <cell r="H1168">
            <v>500</v>
          </cell>
          <cell r="I1168">
            <v>0</v>
          </cell>
        </row>
        <row r="1169">
          <cell r="A1169" t="str">
            <v>E</v>
          </cell>
          <cell r="B1169" t="str">
            <v>UME80208</v>
          </cell>
          <cell r="C1169" t="str">
            <v>발포폴리에틸렌 보온</v>
          </cell>
          <cell r="D1169" t="str">
            <v>D=25MM, T=5MM</v>
          </cell>
          <cell r="E1169" t="str">
            <v>M</v>
          </cell>
          <cell r="F1169">
            <v>1.5</v>
          </cell>
          <cell r="G1169">
            <v>200</v>
          </cell>
          <cell r="H1169">
            <v>600</v>
          </cell>
          <cell r="I1169">
            <v>0</v>
          </cell>
        </row>
        <row r="1170">
          <cell r="A1170" t="str">
            <v>E</v>
          </cell>
          <cell r="B1170" t="str">
            <v>UMH23320</v>
          </cell>
          <cell r="C1170" t="str">
            <v>가스보일러설치</v>
          </cell>
          <cell r="D1170" t="str">
            <v>20,000(KCAL/HR)(FF)</v>
          </cell>
          <cell r="E1170" t="str">
            <v>개소</v>
          </cell>
          <cell r="F1170">
            <v>1</v>
          </cell>
          <cell r="G1170">
            <v>266400</v>
          </cell>
          <cell r="H1170">
            <v>48246</v>
          </cell>
          <cell r="I1170">
            <v>949</v>
          </cell>
        </row>
        <row r="1171">
          <cell r="A1171" t="str">
            <v>E</v>
          </cell>
          <cell r="B1171" t="str">
            <v>UMI18603</v>
          </cell>
          <cell r="C1171" t="str">
            <v>방열기설치</v>
          </cell>
          <cell r="D1171" t="str">
            <v>3RX600X0.60</v>
          </cell>
          <cell r="E1171" t="str">
            <v>조</v>
          </cell>
          <cell r="F1171">
            <v>1</v>
          </cell>
          <cell r="G1171">
            <v>78530</v>
          </cell>
          <cell r="H1171">
            <v>26682</v>
          </cell>
          <cell r="I1171">
            <v>534</v>
          </cell>
        </row>
        <row r="1172">
          <cell r="A1172" t="str">
            <v>E</v>
          </cell>
          <cell r="B1172" t="str">
            <v>UMI20450</v>
          </cell>
          <cell r="C1172" t="str">
            <v>온수분배기설치(X-L,수직)</v>
          </cell>
          <cell r="D1172" t="str">
            <v>5구+드레인밸브</v>
          </cell>
          <cell r="E1172" t="str">
            <v>SET</v>
          </cell>
          <cell r="F1172">
            <v>2</v>
          </cell>
          <cell r="G1172">
            <v>39384</v>
          </cell>
          <cell r="H1172">
            <v>19558</v>
          </cell>
          <cell r="I1172">
            <v>391</v>
          </cell>
        </row>
        <row r="1173">
          <cell r="A1173" t="str">
            <v>E</v>
          </cell>
          <cell r="B1173" t="str">
            <v>UMO28200</v>
          </cell>
          <cell r="C1173" t="str">
            <v>크립바설치</v>
          </cell>
          <cell r="D1173" t="str">
            <v>D15-D20 MM</v>
          </cell>
          <cell r="E1173" t="str">
            <v>M</v>
          </cell>
          <cell r="F1173">
            <v>71.3</v>
          </cell>
          <cell r="G1173">
            <v>200</v>
          </cell>
          <cell r="H1173">
            <v>0</v>
          </cell>
          <cell r="I1173">
            <v>0</v>
          </cell>
        </row>
        <row r="1174">
          <cell r="C1174" t="str">
            <v>소  계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맨홀수량산출"/>
      <sheetName val="집계표"/>
      <sheetName val="가감수량"/>
      <sheetName val="단위수량"/>
      <sheetName val="맨홀H"/>
      <sheetName val="#REF"/>
      <sheetName val="노임"/>
      <sheetName val="공사개요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낙석방지집계표"/>
      <sheetName val="낙석방지책연장"/>
      <sheetName val="가드레일연장"/>
      <sheetName val="guard(mac)"/>
      <sheetName val="일위대가표"/>
      <sheetName val="기자재단가조사서"/>
      <sheetName val="DATE"/>
      <sheetName val="SORCE1"/>
      <sheetName val="총괄내역서"/>
      <sheetName val="Sheet3"/>
      <sheetName val="노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렬"/>
      <sheetName val="퍼스트"/>
      <sheetName val="영주우회도로"/>
      <sheetName val="하도급"/>
      <sheetName val="토공"/>
      <sheetName val="철콘"/>
      <sheetName val="포장"/>
      <sheetName val="상하수도"/>
      <sheetName val="하도샘플"/>
    </sheetNames>
    <sheetDataSet>
      <sheetData sheetId="0">
        <row r="2">
          <cell r="B2" t="str">
            <v>품목</v>
          </cell>
          <cell r="C2" t="str">
            <v>규격</v>
          </cell>
          <cell r="D2" t="str">
            <v>단위</v>
          </cell>
          <cell r="E2" t="str">
            <v>수량</v>
          </cell>
        </row>
        <row r="6">
          <cell r="B6" t="str">
            <v>철근콘크리트깨기</v>
          </cell>
          <cell r="C6" t="str">
            <v>(T=30CM미만)</v>
          </cell>
          <cell r="D6" t="str">
            <v>M3</v>
          </cell>
          <cell r="E6">
            <v>236</v>
          </cell>
        </row>
        <row r="7">
          <cell r="B7" t="str">
            <v>철근콘크리트깨기</v>
          </cell>
          <cell r="C7" t="str">
            <v>(T=30CM 이상)</v>
          </cell>
          <cell r="D7" t="str">
            <v>M3</v>
          </cell>
          <cell r="E7">
            <v>523</v>
          </cell>
        </row>
        <row r="8">
          <cell r="B8" t="str">
            <v>무근콘크리트깨기</v>
          </cell>
          <cell r="C8" t="str">
            <v>(T=30CM 미만)</v>
          </cell>
          <cell r="D8" t="str">
            <v>M3</v>
          </cell>
          <cell r="E8">
            <v>25</v>
          </cell>
        </row>
        <row r="9">
          <cell r="B9" t="str">
            <v>포장깨기</v>
          </cell>
          <cell r="C9" t="str">
            <v>아스팔트콘크리트</v>
          </cell>
          <cell r="D9" t="str">
            <v>M3</v>
          </cell>
          <cell r="E9">
            <v>343</v>
          </cell>
        </row>
        <row r="10">
          <cell r="B10" t="str">
            <v>포장깨기</v>
          </cell>
          <cell r="C10" t="str">
            <v>시멘트콘크리트</v>
          </cell>
          <cell r="D10" t="str">
            <v>M3</v>
          </cell>
          <cell r="E10">
            <v>644</v>
          </cell>
        </row>
        <row r="11">
          <cell r="B11" t="str">
            <v>아스콘포장절단</v>
          </cell>
          <cell r="D11" t="str">
            <v>M</v>
          </cell>
          <cell r="E11">
            <v>41</v>
          </cell>
        </row>
        <row r="12">
          <cell r="B12" t="str">
            <v>콘크리트절단</v>
          </cell>
          <cell r="D12" t="str">
            <v>M</v>
          </cell>
          <cell r="E12">
            <v>154</v>
          </cell>
        </row>
        <row r="13">
          <cell r="B13" t="str">
            <v>석축헐기</v>
          </cell>
          <cell r="D13" t="str">
            <v>M2</v>
          </cell>
          <cell r="E13">
            <v>82</v>
          </cell>
        </row>
        <row r="14">
          <cell r="B14" t="str">
            <v>기존가드레일철거</v>
          </cell>
          <cell r="D14" t="str">
            <v>M</v>
          </cell>
          <cell r="E14">
            <v>100</v>
          </cell>
        </row>
        <row r="15">
          <cell r="B15" t="str">
            <v>기존가옥철거</v>
          </cell>
          <cell r="D15" t="str">
            <v>동</v>
          </cell>
          <cell r="E15">
            <v>39</v>
          </cell>
        </row>
        <row r="18">
          <cell r="B18" t="str">
            <v>표토제거</v>
          </cell>
          <cell r="C18" t="str">
            <v>(답구간)</v>
          </cell>
          <cell r="D18" t="str">
            <v>M2</v>
          </cell>
          <cell r="E18">
            <v>13547</v>
          </cell>
        </row>
        <row r="19">
          <cell r="B19" t="str">
            <v>표토제거</v>
          </cell>
          <cell r="C19" t="str">
            <v>(답외구간)</v>
          </cell>
          <cell r="D19" t="str">
            <v>M2</v>
          </cell>
          <cell r="E19">
            <v>19900</v>
          </cell>
        </row>
        <row r="21">
          <cell r="B21" t="str">
            <v>노상준비공</v>
          </cell>
          <cell r="C21" t="str">
            <v>(절토부)</v>
          </cell>
          <cell r="D21" t="str">
            <v>M2</v>
          </cell>
          <cell r="E21">
            <v>33260</v>
          </cell>
        </row>
        <row r="23">
          <cell r="B23" t="str">
            <v>흙깍기(토사)</v>
          </cell>
          <cell r="C23" t="str">
            <v>(도쟈 32TON)</v>
          </cell>
          <cell r="D23" t="str">
            <v>M3</v>
          </cell>
          <cell r="E23">
            <v>375344</v>
          </cell>
        </row>
        <row r="24">
          <cell r="B24" t="str">
            <v>리핑암깍기</v>
          </cell>
          <cell r="C24" t="str">
            <v>(도쟈 32TON)</v>
          </cell>
          <cell r="D24" t="str">
            <v>M3</v>
          </cell>
          <cell r="E24">
            <v>458953</v>
          </cell>
        </row>
        <row r="25">
          <cell r="B25" t="str">
            <v>발파암깍기</v>
          </cell>
          <cell r="C25" t="str">
            <v>(편절형)</v>
          </cell>
          <cell r="D25" t="str">
            <v>M3</v>
          </cell>
          <cell r="E25">
            <v>404</v>
          </cell>
        </row>
        <row r="26">
          <cell r="B26" t="str">
            <v>발파암깍기</v>
          </cell>
          <cell r="C26" t="str">
            <v>(브레이카)</v>
          </cell>
          <cell r="D26" t="str">
            <v>M3</v>
          </cell>
          <cell r="E26">
            <v>20402</v>
          </cell>
        </row>
        <row r="30">
          <cell r="B30" t="str">
            <v>무대운반</v>
          </cell>
          <cell r="C30" t="str">
            <v>(토  사)</v>
          </cell>
          <cell r="D30" t="str">
            <v>M3</v>
          </cell>
          <cell r="E30">
            <v>73130</v>
          </cell>
        </row>
        <row r="31">
          <cell r="B31" t="str">
            <v>무대운반</v>
          </cell>
          <cell r="C31" t="str">
            <v>(리핑암)</v>
          </cell>
          <cell r="D31" t="str">
            <v>M3</v>
          </cell>
          <cell r="E31">
            <v>9595</v>
          </cell>
        </row>
        <row r="34">
          <cell r="B34" t="str">
            <v>도쟈운반</v>
          </cell>
          <cell r="C34" t="str">
            <v>(토  사)</v>
          </cell>
          <cell r="D34" t="str">
            <v>M3</v>
          </cell>
          <cell r="E34">
            <v>29669</v>
          </cell>
        </row>
        <row r="35">
          <cell r="B35" t="str">
            <v>도쟈운반</v>
          </cell>
          <cell r="C35" t="str">
            <v>(리핑암)</v>
          </cell>
          <cell r="D35" t="str">
            <v>M3</v>
          </cell>
          <cell r="E35">
            <v>19369</v>
          </cell>
        </row>
        <row r="38">
          <cell r="B38" t="str">
            <v>덤프운반</v>
          </cell>
          <cell r="C38" t="str">
            <v>(토  사)</v>
          </cell>
          <cell r="D38" t="str">
            <v>M3</v>
          </cell>
          <cell r="E38">
            <v>312143</v>
          </cell>
        </row>
        <row r="39">
          <cell r="B39" t="str">
            <v>덤프운반</v>
          </cell>
          <cell r="C39" t="str">
            <v>(리핑암)</v>
          </cell>
          <cell r="D39" t="str">
            <v>M3</v>
          </cell>
          <cell r="E39">
            <v>400666</v>
          </cell>
        </row>
        <row r="40">
          <cell r="B40" t="str">
            <v>덤프운반</v>
          </cell>
          <cell r="C40" t="str">
            <v>(발파암)</v>
          </cell>
          <cell r="D40" t="str">
            <v>M3</v>
          </cell>
          <cell r="E40">
            <v>15448</v>
          </cell>
        </row>
        <row r="43">
          <cell r="B43" t="str">
            <v>사토운반</v>
          </cell>
          <cell r="C43" t="str">
            <v>(토  사)</v>
          </cell>
          <cell r="D43" t="str">
            <v>M3</v>
          </cell>
          <cell r="E43">
            <v>58455</v>
          </cell>
        </row>
        <row r="44">
          <cell r="B44" t="str">
            <v>사토운반</v>
          </cell>
          <cell r="C44" t="str">
            <v>(리핑암)</v>
          </cell>
          <cell r="D44" t="str">
            <v>M3</v>
          </cell>
          <cell r="E44">
            <v>30686</v>
          </cell>
        </row>
        <row r="45">
          <cell r="B45" t="str">
            <v>사토운반</v>
          </cell>
          <cell r="C45" t="str">
            <v>(발파암)</v>
          </cell>
          <cell r="D45" t="str">
            <v>M3</v>
          </cell>
          <cell r="E45">
            <v>5428</v>
          </cell>
        </row>
        <row r="49">
          <cell r="B49" t="str">
            <v>흙쌓기</v>
          </cell>
          <cell r="C49" t="str">
            <v>(노 상)</v>
          </cell>
          <cell r="D49" t="str">
            <v>M3</v>
          </cell>
          <cell r="E49">
            <v>86607</v>
          </cell>
        </row>
        <row r="50">
          <cell r="B50" t="str">
            <v>흙쌓기</v>
          </cell>
          <cell r="C50" t="str">
            <v>(노 체)</v>
          </cell>
          <cell r="D50" t="str">
            <v>M3</v>
          </cell>
          <cell r="E50">
            <v>749115</v>
          </cell>
        </row>
        <row r="51">
          <cell r="B51" t="str">
            <v>녹지대성토</v>
          </cell>
          <cell r="D51" t="str">
            <v>M3</v>
          </cell>
          <cell r="E51">
            <v>17604</v>
          </cell>
        </row>
        <row r="54">
          <cell r="B54" t="str">
            <v>동상방지층구입및운반</v>
          </cell>
          <cell r="C54" t="str">
            <v>(상차도)</v>
          </cell>
          <cell r="D54" t="str">
            <v>M3</v>
          </cell>
          <cell r="E54">
            <v>60172</v>
          </cell>
        </row>
        <row r="55">
          <cell r="B55" t="str">
            <v>동상방지층포설및다짐</v>
          </cell>
          <cell r="C55" t="str">
            <v>(T=30CM)</v>
          </cell>
          <cell r="D55" t="str">
            <v>M3</v>
          </cell>
          <cell r="E55">
            <v>46778</v>
          </cell>
        </row>
        <row r="58">
          <cell r="B58" t="str">
            <v>거적덮기(성토부)</v>
          </cell>
          <cell r="D58" t="str">
            <v>M2</v>
          </cell>
          <cell r="E58">
            <v>91889</v>
          </cell>
        </row>
        <row r="59">
          <cell r="B59" t="str">
            <v>거적덮기(절토부)</v>
          </cell>
          <cell r="C59" t="str">
            <v>(토사)</v>
          </cell>
          <cell r="D59" t="str">
            <v>M2</v>
          </cell>
          <cell r="E59">
            <v>31876</v>
          </cell>
        </row>
        <row r="60">
          <cell r="B60" t="str">
            <v>NET 잔듸</v>
          </cell>
          <cell r="C60" t="str">
            <v>(리핑암)</v>
          </cell>
          <cell r="D60" t="str">
            <v>M2</v>
          </cell>
          <cell r="E60">
            <v>32904</v>
          </cell>
        </row>
        <row r="61">
          <cell r="B61" t="str">
            <v>줄  떼</v>
          </cell>
          <cell r="D61" t="str">
            <v>M2</v>
          </cell>
          <cell r="E61">
            <v>18469</v>
          </cell>
        </row>
        <row r="62">
          <cell r="B62" t="str">
            <v>평  떼</v>
          </cell>
          <cell r="D62" t="str">
            <v>M2</v>
          </cell>
          <cell r="E62">
            <v>18920</v>
          </cell>
        </row>
        <row r="63">
          <cell r="B63" t="str">
            <v>성토법면다짐공</v>
          </cell>
          <cell r="D63" t="str">
            <v>M2</v>
          </cell>
          <cell r="E63">
            <v>91889</v>
          </cell>
        </row>
        <row r="64">
          <cell r="B64" t="str">
            <v>절토법면고르기</v>
          </cell>
          <cell r="C64" t="str">
            <v>(발파암)</v>
          </cell>
          <cell r="D64" t="str">
            <v>M2</v>
          </cell>
          <cell r="E64">
            <v>1772</v>
          </cell>
        </row>
        <row r="66">
          <cell r="B66" t="str">
            <v>층따기</v>
          </cell>
          <cell r="D66" t="str">
            <v>M3</v>
          </cell>
          <cell r="E66">
            <v>8492</v>
          </cell>
        </row>
        <row r="67">
          <cell r="B67" t="str">
            <v>벌개제근</v>
          </cell>
          <cell r="D67" t="str">
            <v>M2</v>
          </cell>
          <cell r="E67">
            <v>164287</v>
          </cell>
        </row>
        <row r="68">
          <cell r="B68" t="str">
            <v>치환토</v>
          </cell>
          <cell r="D68" t="str">
            <v>M3</v>
          </cell>
          <cell r="E68">
            <v>64857</v>
          </cell>
        </row>
        <row r="70">
          <cell r="B70" t="str">
            <v>토공규준틀</v>
          </cell>
          <cell r="C70" t="str">
            <v>(비  탈)</v>
          </cell>
          <cell r="D70" t="str">
            <v>EA</v>
          </cell>
          <cell r="E70">
            <v>1003</v>
          </cell>
        </row>
        <row r="71">
          <cell r="B71" t="str">
            <v>토공규준틀</v>
          </cell>
          <cell r="C71" t="str">
            <v>(수  평)</v>
          </cell>
          <cell r="D71" t="str">
            <v>EA</v>
          </cell>
          <cell r="E71">
            <v>91</v>
          </cell>
        </row>
        <row r="76">
          <cell r="B76" t="str">
            <v>측구터파기</v>
          </cell>
          <cell r="C76" t="str">
            <v>(토  사)</v>
          </cell>
          <cell r="D76" t="str">
            <v>M3</v>
          </cell>
          <cell r="E76">
            <v>11328</v>
          </cell>
        </row>
        <row r="77">
          <cell r="B77" t="str">
            <v>되메우기및다짐</v>
          </cell>
          <cell r="C77" t="str">
            <v>(인력50%+기계50%)</v>
          </cell>
          <cell r="D77" t="str">
            <v>M3</v>
          </cell>
          <cell r="E77">
            <v>7706</v>
          </cell>
        </row>
        <row r="81">
          <cell r="B81" t="str">
            <v>L형측구(TYPE-1)</v>
          </cell>
          <cell r="C81" t="str">
            <v>(H=0.515M 절토부)</v>
          </cell>
          <cell r="D81" t="str">
            <v>M</v>
          </cell>
          <cell r="E81">
            <v>1758</v>
          </cell>
        </row>
        <row r="82">
          <cell r="B82" t="str">
            <v>L형측구(TYPE-2)</v>
          </cell>
          <cell r="C82" t="str">
            <v>(H=1.282 M)</v>
          </cell>
          <cell r="D82" t="str">
            <v>M</v>
          </cell>
          <cell r="E82">
            <v>2518</v>
          </cell>
        </row>
        <row r="83">
          <cell r="B83" t="str">
            <v>L형측구(TYPE-3)</v>
          </cell>
          <cell r="C83" t="str">
            <v>(H=0.4M,성토부)</v>
          </cell>
          <cell r="D83" t="str">
            <v>M</v>
          </cell>
          <cell r="E83">
            <v>1199</v>
          </cell>
        </row>
        <row r="84">
          <cell r="B84" t="str">
            <v>L형측구(TYPE-4)</v>
          </cell>
          <cell r="C84" t="str">
            <v>(H=1.317 M)</v>
          </cell>
          <cell r="D84" t="str">
            <v>M</v>
          </cell>
          <cell r="E84">
            <v>120</v>
          </cell>
        </row>
        <row r="85">
          <cell r="B85" t="str">
            <v>L형측구(TYPE-5)</v>
          </cell>
          <cell r="C85" t="str">
            <v>(H=0.4M)</v>
          </cell>
          <cell r="D85" t="str">
            <v>M</v>
          </cell>
          <cell r="E85">
            <v>11727</v>
          </cell>
        </row>
        <row r="86">
          <cell r="B86" t="str">
            <v>L형측구(TYPE-6)</v>
          </cell>
          <cell r="C86" t="str">
            <v>(H=0.3M 부체도로)</v>
          </cell>
          <cell r="D86" t="str">
            <v>M</v>
          </cell>
          <cell r="E86">
            <v>1106</v>
          </cell>
        </row>
        <row r="87">
          <cell r="B87" t="str">
            <v>L형측구(TYPE-1∼2)</v>
          </cell>
          <cell r="C87" t="str">
            <v>(변화구간)</v>
          </cell>
          <cell r="D87" t="str">
            <v>M</v>
          </cell>
          <cell r="E87">
            <v>450</v>
          </cell>
        </row>
        <row r="88">
          <cell r="B88" t="str">
            <v>L형측구(TYPE-3∼4)</v>
          </cell>
          <cell r="C88" t="str">
            <v>(변화구간)</v>
          </cell>
          <cell r="D88" t="str">
            <v>M</v>
          </cell>
          <cell r="E88">
            <v>80</v>
          </cell>
        </row>
        <row r="91">
          <cell r="B91" t="str">
            <v>U형측구(TYPE-1)</v>
          </cell>
          <cell r="C91" t="str">
            <v>(0.5*0.5)</v>
          </cell>
          <cell r="D91" t="str">
            <v>M</v>
          </cell>
          <cell r="E91">
            <v>5014</v>
          </cell>
        </row>
        <row r="92">
          <cell r="B92" t="str">
            <v>U형측구(TYPE-2)</v>
          </cell>
          <cell r="C92" t="str">
            <v>(1.0*1.0)</v>
          </cell>
          <cell r="D92" t="str">
            <v>M</v>
          </cell>
          <cell r="E92">
            <v>698</v>
          </cell>
        </row>
        <row r="93">
          <cell r="B93" t="str">
            <v>U형측구(TYPE-3)</v>
          </cell>
          <cell r="C93" t="str">
            <v>3.00*2.00</v>
          </cell>
          <cell r="D93" t="str">
            <v>M</v>
          </cell>
          <cell r="E93">
            <v>46</v>
          </cell>
        </row>
        <row r="95">
          <cell r="B95" t="str">
            <v>산마루측구(TYPE-1)</v>
          </cell>
          <cell r="C95" t="str">
            <v>0.50*0.45</v>
          </cell>
          <cell r="D95" t="str">
            <v>M</v>
          </cell>
          <cell r="E95">
            <v>1587</v>
          </cell>
        </row>
        <row r="96">
          <cell r="B96" t="str">
            <v>U형플륨관설치</v>
          </cell>
          <cell r="C96" t="str">
            <v>(토사구간)</v>
          </cell>
          <cell r="D96" t="str">
            <v>M</v>
          </cell>
          <cell r="E96">
            <v>943</v>
          </cell>
        </row>
        <row r="98">
          <cell r="B98" t="str">
            <v>맹암거설치(TYPE-1)</v>
          </cell>
          <cell r="C98" t="str">
            <v>(토사구간)</v>
          </cell>
          <cell r="D98" t="str">
            <v>M</v>
          </cell>
          <cell r="E98">
            <v>1876</v>
          </cell>
        </row>
        <row r="99">
          <cell r="B99" t="str">
            <v>맹암거설치(TYPE-2)</v>
          </cell>
          <cell r="C99" t="str">
            <v>(리핑암,발파암구간)</v>
          </cell>
          <cell r="D99" t="str">
            <v>M</v>
          </cell>
          <cell r="E99">
            <v>3665</v>
          </cell>
        </row>
        <row r="100">
          <cell r="B100" t="str">
            <v>맹암거설치(TYPE-3)</v>
          </cell>
          <cell r="C100" t="str">
            <v>(절성토경계구간)</v>
          </cell>
          <cell r="D100" t="str">
            <v>M</v>
          </cell>
          <cell r="E100">
            <v>1106</v>
          </cell>
        </row>
        <row r="105">
          <cell r="B105" t="str">
            <v>구조물터파기</v>
          </cell>
          <cell r="C105" t="str">
            <v>(육상토사)</v>
          </cell>
          <cell r="D105" t="str">
            <v>M3</v>
          </cell>
          <cell r="E105">
            <v>8714</v>
          </cell>
        </row>
        <row r="106">
          <cell r="B106" t="str">
            <v>구조물터파기</v>
          </cell>
          <cell r="C106" t="str">
            <v>(육상리핑암)</v>
          </cell>
          <cell r="D106" t="str">
            <v>M3</v>
          </cell>
          <cell r="E106">
            <v>73</v>
          </cell>
        </row>
        <row r="107">
          <cell r="B107" t="str">
            <v>되메우기및다짐</v>
          </cell>
          <cell r="C107" t="str">
            <v>(인력50%+기계50%)</v>
          </cell>
          <cell r="D107" t="str">
            <v>M3</v>
          </cell>
          <cell r="E107">
            <v>6357</v>
          </cell>
        </row>
        <row r="110">
          <cell r="B110" t="str">
            <v>횡배수관(V/R관)</v>
          </cell>
          <cell r="C110" t="str">
            <v>(D=600 M/M,반단면)</v>
          </cell>
          <cell r="D110" t="str">
            <v>M</v>
          </cell>
          <cell r="E110">
            <v>7</v>
          </cell>
        </row>
        <row r="111">
          <cell r="B111" t="str">
            <v>횡배수관(V/R관)</v>
          </cell>
          <cell r="C111" t="str">
            <v>(D=800 M/M,반단면)</v>
          </cell>
          <cell r="D111" t="str">
            <v>M</v>
          </cell>
          <cell r="E111">
            <v>445</v>
          </cell>
        </row>
        <row r="112">
          <cell r="B112" t="str">
            <v>횡배수관(V/R관)</v>
          </cell>
          <cell r="C112" t="str">
            <v>(D=1000 M/M,반단면)</v>
          </cell>
          <cell r="D112" t="str">
            <v>M</v>
          </cell>
          <cell r="E112">
            <v>96</v>
          </cell>
        </row>
        <row r="113">
          <cell r="B113" t="str">
            <v>횡배수관(V/R관)</v>
          </cell>
          <cell r="C113" t="str">
            <v>(D=1200 M/M,반단면)</v>
          </cell>
          <cell r="D113" t="str">
            <v>M</v>
          </cell>
          <cell r="E113">
            <v>35</v>
          </cell>
        </row>
        <row r="114">
          <cell r="B114" t="str">
            <v>횡배수관(V/R관)</v>
          </cell>
          <cell r="C114" t="str">
            <v>(D=800 M/M,전단면)</v>
          </cell>
          <cell r="D114" t="str">
            <v>M</v>
          </cell>
          <cell r="E114">
            <v>456</v>
          </cell>
        </row>
        <row r="115">
          <cell r="B115" t="str">
            <v>횡배수관(V/R관)</v>
          </cell>
          <cell r="C115" t="str">
            <v>(D=1000전단면 5-10M)</v>
          </cell>
          <cell r="D115" t="str">
            <v>M</v>
          </cell>
          <cell r="E115">
            <v>209</v>
          </cell>
        </row>
        <row r="116">
          <cell r="B116" t="str">
            <v>횡배수관(V/R관)</v>
          </cell>
          <cell r="C116" t="str">
            <v>(D=1000전단면10-15M)</v>
          </cell>
          <cell r="D116" t="str">
            <v>M</v>
          </cell>
          <cell r="E116">
            <v>155</v>
          </cell>
        </row>
        <row r="117">
          <cell r="B117" t="str">
            <v>횡배수관(V/R관)</v>
          </cell>
          <cell r="C117" t="str">
            <v>(D=1200전단면 5-10M)</v>
          </cell>
          <cell r="D117" t="str">
            <v>M</v>
          </cell>
          <cell r="E117">
            <v>137</v>
          </cell>
        </row>
        <row r="118">
          <cell r="B118" t="str">
            <v>횡배수관(V/R관)</v>
          </cell>
          <cell r="C118" t="str">
            <v>(D=1200전단면10-15M)</v>
          </cell>
          <cell r="D118" t="str">
            <v>M</v>
          </cell>
          <cell r="E118">
            <v>67</v>
          </cell>
        </row>
        <row r="119">
          <cell r="B119" t="str">
            <v>횡배수관(V/R관)2련</v>
          </cell>
          <cell r="C119" t="str">
            <v>(D=1200전단면10-15M)</v>
          </cell>
          <cell r="D119" t="str">
            <v>EA</v>
          </cell>
          <cell r="E119">
            <v>75</v>
          </cell>
        </row>
        <row r="122">
          <cell r="B122" t="str">
            <v>콘크리트타설</v>
          </cell>
          <cell r="C122" t="str">
            <v>(무근,VIB포함)</v>
          </cell>
          <cell r="D122" t="str">
            <v>M3</v>
          </cell>
          <cell r="E122">
            <v>138</v>
          </cell>
        </row>
        <row r="123">
          <cell r="B123" t="str">
            <v>합판거푸집</v>
          </cell>
          <cell r="C123" t="str">
            <v>(3 회)</v>
          </cell>
          <cell r="D123" t="str">
            <v>M2</v>
          </cell>
          <cell r="E123">
            <v>673</v>
          </cell>
        </row>
        <row r="128">
          <cell r="B128" t="str">
            <v>구조물터파기</v>
          </cell>
          <cell r="C128" t="str">
            <v>(육상토사)</v>
          </cell>
          <cell r="D128" t="str">
            <v>M3</v>
          </cell>
          <cell r="E128">
            <v>1448</v>
          </cell>
        </row>
        <row r="129">
          <cell r="B129" t="str">
            <v>되메우기및다짐</v>
          </cell>
          <cell r="C129" t="str">
            <v>(인력50%+기계50%)</v>
          </cell>
          <cell r="D129" t="str">
            <v>M3</v>
          </cell>
          <cell r="E129">
            <v>893</v>
          </cell>
        </row>
        <row r="132">
          <cell r="B132" t="str">
            <v>종배수관부설</v>
          </cell>
          <cell r="C132" t="str">
            <v>(흄관:D=600 M/M)</v>
          </cell>
          <cell r="D132" t="str">
            <v>M</v>
          </cell>
          <cell r="E132">
            <v>1029</v>
          </cell>
        </row>
        <row r="133">
          <cell r="B133" t="str">
            <v>종배수관부설</v>
          </cell>
          <cell r="C133" t="str">
            <v>(흄관:D=1200 M/M)</v>
          </cell>
          <cell r="D133" t="str">
            <v>M</v>
          </cell>
          <cell r="E133">
            <v>6</v>
          </cell>
        </row>
        <row r="134">
          <cell r="B134" t="str">
            <v>몰  탈</v>
          </cell>
          <cell r="C134" t="str">
            <v>(1:3)</v>
          </cell>
          <cell r="D134" t="str">
            <v>M3</v>
          </cell>
          <cell r="E134">
            <v>1.7769999999999999</v>
          </cell>
        </row>
        <row r="137">
          <cell r="B137" t="str">
            <v>콘크리트타설</v>
          </cell>
          <cell r="C137" t="str">
            <v>(무근,VIB제외)</v>
          </cell>
          <cell r="D137" t="str">
            <v>M3</v>
          </cell>
          <cell r="E137">
            <v>3</v>
          </cell>
        </row>
        <row r="138">
          <cell r="B138" t="str">
            <v>합판거푸집</v>
          </cell>
          <cell r="C138" t="str">
            <v>(4 회)</v>
          </cell>
          <cell r="D138" t="str">
            <v>M2</v>
          </cell>
          <cell r="E138">
            <v>45</v>
          </cell>
        </row>
        <row r="142">
          <cell r="B142" t="str">
            <v>암거구조물터파기</v>
          </cell>
          <cell r="C142" t="str">
            <v>(육상토사0-4M)</v>
          </cell>
          <cell r="D142" t="str">
            <v>M3</v>
          </cell>
          <cell r="E142">
            <v>3157</v>
          </cell>
        </row>
        <row r="143">
          <cell r="B143" t="str">
            <v>되메우기및다짐</v>
          </cell>
          <cell r="C143" t="str">
            <v>(인력50%+기계50%)</v>
          </cell>
          <cell r="D143" t="str">
            <v>M3</v>
          </cell>
          <cell r="E143">
            <v>171</v>
          </cell>
        </row>
        <row r="144">
          <cell r="B144" t="str">
            <v>기초잡석부설및다짐</v>
          </cell>
          <cell r="D144" t="str">
            <v>M3</v>
          </cell>
          <cell r="E144">
            <v>238</v>
          </cell>
        </row>
        <row r="145">
          <cell r="B145" t="str">
            <v>구조물뒷채움</v>
          </cell>
          <cell r="D145" t="str">
            <v>M3</v>
          </cell>
          <cell r="E145">
            <v>15</v>
          </cell>
        </row>
        <row r="146">
          <cell r="B146" t="str">
            <v>콘크리트펌프카타설</v>
          </cell>
          <cell r="C146" t="str">
            <v>(철  근)</v>
          </cell>
          <cell r="D146" t="str">
            <v>M3</v>
          </cell>
          <cell r="E146">
            <v>965</v>
          </cell>
        </row>
        <row r="147">
          <cell r="B147" t="str">
            <v>콘크리트타설</v>
          </cell>
          <cell r="C147" t="str">
            <v>(무근,VIB제외)</v>
          </cell>
          <cell r="D147" t="str">
            <v>M3</v>
          </cell>
          <cell r="E147">
            <v>75</v>
          </cell>
        </row>
        <row r="148">
          <cell r="B148" t="str">
            <v>스페이샤설치</v>
          </cell>
          <cell r="D148" t="str">
            <v>M2</v>
          </cell>
          <cell r="E148">
            <v>3640</v>
          </cell>
        </row>
        <row r="149">
          <cell r="B149" t="str">
            <v>합판거푸집</v>
          </cell>
          <cell r="C149" t="str">
            <v>(3 회)</v>
          </cell>
          <cell r="D149" t="str">
            <v>M2</v>
          </cell>
          <cell r="E149">
            <v>2948</v>
          </cell>
        </row>
        <row r="150">
          <cell r="B150" t="str">
            <v>합판거푸집</v>
          </cell>
          <cell r="C150" t="str">
            <v>(4 회)</v>
          </cell>
          <cell r="D150" t="str">
            <v>M2</v>
          </cell>
          <cell r="E150">
            <v>63</v>
          </cell>
        </row>
        <row r="151">
          <cell r="B151" t="str">
            <v>합판거푸집</v>
          </cell>
          <cell r="C151" t="str">
            <v>(6 회)</v>
          </cell>
          <cell r="D151" t="str">
            <v>M2</v>
          </cell>
          <cell r="E151">
            <v>58</v>
          </cell>
        </row>
        <row r="152">
          <cell r="B152" t="str">
            <v>강관비계</v>
          </cell>
          <cell r="C152" t="str">
            <v>(암거및소형구조물)</v>
          </cell>
          <cell r="D152" t="str">
            <v>M2</v>
          </cell>
          <cell r="E152">
            <v>993</v>
          </cell>
        </row>
        <row r="153">
          <cell r="B153" t="str">
            <v>강관동바리</v>
          </cell>
          <cell r="C153" t="str">
            <v>(암거용)</v>
          </cell>
          <cell r="D153" t="str">
            <v>공/M3</v>
          </cell>
          <cell r="E153">
            <v>914</v>
          </cell>
        </row>
        <row r="154">
          <cell r="B154" t="str">
            <v>철근가공조립</v>
          </cell>
          <cell r="C154" t="str">
            <v>(간 단)</v>
          </cell>
          <cell r="D154" t="str">
            <v>TON</v>
          </cell>
          <cell r="E154">
            <v>0.72299999999999998</v>
          </cell>
        </row>
        <row r="155">
          <cell r="B155" t="str">
            <v>철근가공조립</v>
          </cell>
          <cell r="C155" t="str">
            <v>(복 잡)</v>
          </cell>
          <cell r="D155" t="str">
            <v>TON</v>
          </cell>
          <cell r="E155">
            <v>174.56800000000001</v>
          </cell>
        </row>
        <row r="156">
          <cell r="B156" t="str">
            <v>우레탄실란트</v>
          </cell>
          <cell r="D156" t="str">
            <v>KG</v>
          </cell>
          <cell r="E156">
            <v>0.72</v>
          </cell>
        </row>
        <row r="157">
          <cell r="B157" t="str">
            <v>DOWEL BAR 설치</v>
          </cell>
          <cell r="C157" t="str">
            <v>(D25,L=800)</v>
          </cell>
          <cell r="D157" t="str">
            <v>EA</v>
          </cell>
          <cell r="E157">
            <v>145</v>
          </cell>
        </row>
        <row r="158">
          <cell r="B158" t="str">
            <v>스치로폴</v>
          </cell>
          <cell r="C158" t="str">
            <v>(T=20 M/M)</v>
          </cell>
          <cell r="D158" t="str">
            <v>M2</v>
          </cell>
          <cell r="E158">
            <v>31</v>
          </cell>
        </row>
        <row r="159">
          <cell r="B159" t="str">
            <v>BOX 신구 접합</v>
          </cell>
          <cell r="D159" t="str">
            <v>M</v>
          </cell>
          <cell r="E159">
            <v>5</v>
          </cell>
        </row>
        <row r="160">
          <cell r="B160" t="str">
            <v>PVC PIPE 설치</v>
          </cell>
          <cell r="C160" t="str">
            <v>(D=100 M/M)</v>
          </cell>
          <cell r="D160" t="str">
            <v>M</v>
          </cell>
          <cell r="E160">
            <v>12</v>
          </cell>
        </row>
        <row r="161">
          <cell r="B161" t="str">
            <v>부직포</v>
          </cell>
          <cell r="D161" t="str">
            <v>M2</v>
          </cell>
          <cell r="E161">
            <v>55</v>
          </cell>
        </row>
        <row r="162">
          <cell r="B162" t="str">
            <v>돌붙임</v>
          </cell>
          <cell r="C162" t="str">
            <v>(메쌓기)</v>
          </cell>
          <cell r="D162" t="str">
            <v>M2</v>
          </cell>
          <cell r="E162">
            <v>79</v>
          </cell>
        </row>
        <row r="163">
          <cell r="B163" t="str">
            <v>아스팔트방수</v>
          </cell>
          <cell r="C163" t="str">
            <v>(2 회)</v>
          </cell>
          <cell r="D163" t="str">
            <v>M2</v>
          </cell>
          <cell r="E163">
            <v>1854</v>
          </cell>
        </row>
        <row r="166">
          <cell r="B166" t="str">
            <v>터파기</v>
          </cell>
          <cell r="C166" t="str">
            <v>(인력100%)</v>
          </cell>
          <cell r="D166" t="str">
            <v>M3</v>
          </cell>
          <cell r="E166">
            <v>9</v>
          </cell>
        </row>
        <row r="167">
          <cell r="B167" t="str">
            <v>콘크리트타설</v>
          </cell>
          <cell r="C167" t="str">
            <v>(무근,VIB제외)</v>
          </cell>
          <cell r="D167" t="str">
            <v>M3</v>
          </cell>
          <cell r="E167">
            <v>9</v>
          </cell>
        </row>
        <row r="168">
          <cell r="B168" t="str">
            <v>합판거푸집</v>
          </cell>
          <cell r="C168" t="str">
            <v>(4 회)</v>
          </cell>
          <cell r="D168" t="str">
            <v>M2</v>
          </cell>
          <cell r="E168">
            <v>3</v>
          </cell>
        </row>
        <row r="172">
          <cell r="B172" t="str">
            <v>터파기</v>
          </cell>
          <cell r="C172" t="str">
            <v>(인력100%)</v>
          </cell>
          <cell r="D172" t="str">
            <v>M3</v>
          </cell>
          <cell r="E172">
            <v>1386</v>
          </cell>
        </row>
        <row r="173">
          <cell r="B173" t="str">
            <v>구조물터파기</v>
          </cell>
          <cell r="C173" t="str">
            <v>(육상리핑암)</v>
          </cell>
          <cell r="D173" t="str">
            <v>M3</v>
          </cell>
          <cell r="E173">
            <v>29</v>
          </cell>
        </row>
        <row r="174">
          <cell r="B174" t="str">
            <v>구조물터파기</v>
          </cell>
          <cell r="C174" t="str">
            <v>(육상발파암0-1M)</v>
          </cell>
          <cell r="D174" t="str">
            <v>M3</v>
          </cell>
          <cell r="E174">
            <v>2</v>
          </cell>
        </row>
        <row r="177">
          <cell r="B177" t="str">
            <v>콘크리트타설</v>
          </cell>
          <cell r="C177" t="str">
            <v>(도수로용)</v>
          </cell>
          <cell r="D177" t="str">
            <v>M3</v>
          </cell>
          <cell r="E177">
            <v>161</v>
          </cell>
        </row>
        <row r="178">
          <cell r="B178" t="str">
            <v>합판거푸집</v>
          </cell>
          <cell r="C178" t="str">
            <v>(4 회)</v>
          </cell>
          <cell r="D178" t="str">
            <v>M2</v>
          </cell>
          <cell r="E178">
            <v>811</v>
          </cell>
        </row>
        <row r="179">
          <cell r="B179" t="str">
            <v>철근가공조립</v>
          </cell>
          <cell r="C179" t="str">
            <v>(간 단)</v>
          </cell>
          <cell r="D179" t="str">
            <v>TON</v>
          </cell>
          <cell r="E179">
            <v>5.59</v>
          </cell>
        </row>
        <row r="182">
          <cell r="B182" t="str">
            <v>콘크리트타설</v>
          </cell>
          <cell r="C182" t="str">
            <v>(도수로용)</v>
          </cell>
          <cell r="D182" t="str">
            <v>M3</v>
          </cell>
          <cell r="E182">
            <v>252</v>
          </cell>
        </row>
        <row r="183">
          <cell r="B183" t="str">
            <v>합판거푸집</v>
          </cell>
          <cell r="C183" t="str">
            <v>(4 회)</v>
          </cell>
          <cell r="D183" t="str">
            <v>M2</v>
          </cell>
          <cell r="E183">
            <v>1920</v>
          </cell>
        </row>
        <row r="186">
          <cell r="B186" t="str">
            <v>콘크리트타설</v>
          </cell>
          <cell r="C186" t="str">
            <v>(도수로용)</v>
          </cell>
          <cell r="D186" t="str">
            <v>M3</v>
          </cell>
          <cell r="E186">
            <v>33</v>
          </cell>
        </row>
        <row r="187">
          <cell r="B187" t="str">
            <v>합판거푸집</v>
          </cell>
          <cell r="C187" t="str">
            <v>(4 회)</v>
          </cell>
          <cell r="D187" t="str">
            <v>M2</v>
          </cell>
          <cell r="E187">
            <v>281</v>
          </cell>
        </row>
        <row r="188">
          <cell r="B188" t="str">
            <v>철근가공조립</v>
          </cell>
          <cell r="C188" t="str">
            <v>(간 단)</v>
          </cell>
          <cell r="D188" t="str">
            <v>TON</v>
          </cell>
          <cell r="E188">
            <v>1.728</v>
          </cell>
        </row>
        <row r="193">
          <cell r="B193" t="str">
            <v>터파기</v>
          </cell>
          <cell r="C193" t="str">
            <v>(인력100%)</v>
          </cell>
          <cell r="D193" t="str">
            <v>M3</v>
          </cell>
          <cell r="E193">
            <v>883</v>
          </cell>
        </row>
        <row r="194">
          <cell r="B194" t="str">
            <v>구조물터파기</v>
          </cell>
          <cell r="C194" t="str">
            <v>(육상리핑암)</v>
          </cell>
          <cell r="D194" t="str">
            <v>M3</v>
          </cell>
          <cell r="E194">
            <v>388</v>
          </cell>
        </row>
        <row r="195">
          <cell r="B195" t="str">
            <v>되메우기및다짐</v>
          </cell>
          <cell r="C195" t="str">
            <v>(인력50%+기계50%)</v>
          </cell>
          <cell r="D195" t="str">
            <v>M3</v>
          </cell>
          <cell r="E195">
            <v>617</v>
          </cell>
        </row>
        <row r="198">
          <cell r="B198" t="str">
            <v>콘크리트타설</v>
          </cell>
          <cell r="C198" t="str">
            <v>(무근,VIB포함)</v>
          </cell>
          <cell r="D198" t="str">
            <v>M3</v>
          </cell>
          <cell r="E198">
            <v>73</v>
          </cell>
        </row>
        <row r="199">
          <cell r="B199" t="str">
            <v>중분대배수관설치</v>
          </cell>
          <cell r="C199" t="str">
            <v>(V/R관,D=300 M/M)</v>
          </cell>
          <cell r="D199" t="str">
            <v>M</v>
          </cell>
          <cell r="E199">
            <v>2320</v>
          </cell>
        </row>
        <row r="200">
          <cell r="B200" t="str">
            <v>몰  탈</v>
          </cell>
          <cell r="C200" t="str">
            <v>(1:3)</v>
          </cell>
          <cell r="D200" t="str">
            <v>M3</v>
          </cell>
          <cell r="E200">
            <v>1.8620000000000001</v>
          </cell>
        </row>
        <row r="203">
          <cell r="B203" t="str">
            <v>콘크리트타설</v>
          </cell>
          <cell r="C203" t="str">
            <v>(철근,VIB포함)</v>
          </cell>
          <cell r="D203" t="str">
            <v>M3</v>
          </cell>
          <cell r="E203">
            <v>84</v>
          </cell>
        </row>
        <row r="204">
          <cell r="B204" t="str">
            <v>합판거푸집</v>
          </cell>
          <cell r="C204" t="str">
            <v>(3 회)</v>
          </cell>
          <cell r="D204" t="str">
            <v>M2</v>
          </cell>
          <cell r="E204">
            <v>988</v>
          </cell>
        </row>
        <row r="205">
          <cell r="B205" t="str">
            <v>철근가공조립</v>
          </cell>
          <cell r="C205" t="str">
            <v>(보 통)</v>
          </cell>
          <cell r="D205" t="str">
            <v>TON</v>
          </cell>
          <cell r="E205">
            <v>14.37</v>
          </cell>
        </row>
        <row r="206">
          <cell r="B206" t="str">
            <v>스틸그레이팅설치</v>
          </cell>
          <cell r="C206" t="str">
            <v>1130*430*75</v>
          </cell>
          <cell r="D206" t="str">
            <v>EA</v>
          </cell>
          <cell r="E206">
            <v>134</v>
          </cell>
        </row>
        <row r="210">
          <cell r="B210" t="str">
            <v>구조물터파기</v>
          </cell>
          <cell r="C210" t="str">
            <v>(육상토사)</v>
          </cell>
          <cell r="D210" t="str">
            <v>M3</v>
          </cell>
          <cell r="E210">
            <v>1358</v>
          </cell>
        </row>
        <row r="211">
          <cell r="B211" t="str">
            <v>되메우기및다짐</v>
          </cell>
          <cell r="C211" t="str">
            <v>(인력50%+기계50%)</v>
          </cell>
          <cell r="D211" t="str">
            <v>M3</v>
          </cell>
          <cell r="E211">
            <v>1103</v>
          </cell>
        </row>
        <row r="212">
          <cell r="B212" t="str">
            <v>콘크리트타설</v>
          </cell>
          <cell r="C212" t="str">
            <v>(철근,VIB포함)</v>
          </cell>
          <cell r="D212" t="str">
            <v>M3</v>
          </cell>
          <cell r="E212">
            <v>117</v>
          </cell>
        </row>
        <row r="213">
          <cell r="B213" t="str">
            <v>합판거푸집</v>
          </cell>
          <cell r="C213" t="str">
            <v>(3 회)</v>
          </cell>
          <cell r="D213" t="str">
            <v>M2</v>
          </cell>
          <cell r="E213">
            <v>1023</v>
          </cell>
        </row>
        <row r="214">
          <cell r="B214" t="str">
            <v>철근가공조립</v>
          </cell>
          <cell r="C214" t="str">
            <v>(보 통)</v>
          </cell>
          <cell r="D214" t="str">
            <v>TON</v>
          </cell>
          <cell r="E214">
            <v>5.4870000000000001</v>
          </cell>
        </row>
        <row r="215">
          <cell r="B215" t="str">
            <v>스틸그레이팅설치</v>
          </cell>
          <cell r="C215" t="str">
            <v>(1150*1350*65)</v>
          </cell>
          <cell r="D215" t="str">
            <v>EA</v>
          </cell>
          <cell r="E215">
            <v>25</v>
          </cell>
        </row>
        <row r="218">
          <cell r="B218" t="str">
            <v>철근운반</v>
          </cell>
          <cell r="D218" t="str">
            <v>TON</v>
          </cell>
          <cell r="E218">
            <v>257</v>
          </cell>
        </row>
        <row r="219">
          <cell r="B219" t="str">
            <v>시멘트운반</v>
          </cell>
          <cell r="C219" t="str">
            <v>(40 KG/대)</v>
          </cell>
          <cell r="D219" t="str">
            <v>대</v>
          </cell>
          <cell r="E219">
            <v>70</v>
          </cell>
        </row>
        <row r="222">
          <cell r="B222" t="str">
            <v>시멘트</v>
          </cell>
          <cell r="C222" t="str">
            <v>(40 KG/대)</v>
          </cell>
          <cell r="D222" t="str">
            <v>대</v>
          </cell>
          <cell r="E222">
            <v>70</v>
          </cell>
        </row>
        <row r="224">
          <cell r="B224" t="str">
            <v>레미콘</v>
          </cell>
          <cell r="C224" t="str">
            <v>25-240-12</v>
          </cell>
          <cell r="D224" t="str">
            <v>M3</v>
          </cell>
          <cell r="E224">
            <v>975</v>
          </cell>
        </row>
        <row r="225">
          <cell r="B225" t="str">
            <v>레미콘</v>
          </cell>
          <cell r="C225" t="str">
            <v>25-210-15</v>
          </cell>
          <cell r="D225" t="str">
            <v>M3</v>
          </cell>
          <cell r="E225">
            <v>217</v>
          </cell>
        </row>
        <row r="226">
          <cell r="B226" t="str">
            <v>레미콘</v>
          </cell>
          <cell r="C226" t="str">
            <v>25-210- 8</v>
          </cell>
          <cell r="D226" t="str">
            <v>M3</v>
          </cell>
          <cell r="E226">
            <v>141</v>
          </cell>
        </row>
        <row r="227">
          <cell r="B227" t="str">
            <v>레미콘</v>
          </cell>
          <cell r="C227" t="str">
            <v>25-180-15</v>
          </cell>
          <cell r="D227" t="str">
            <v>M3</v>
          </cell>
          <cell r="E227">
            <v>364</v>
          </cell>
        </row>
        <row r="228">
          <cell r="B228" t="str">
            <v>레미콘</v>
          </cell>
          <cell r="C228" t="str">
            <v>25-180-8</v>
          </cell>
          <cell r="D228" t="str">
            <v>M3</v>
          </cell>
          <cell r="E228">
            <v>10926</v>
          </cell>
        </row>
        <row r="229">
          <cell r="B229" t="str">
            <v>레미콘</v>
          </cell>
          <cell r="C229" t="str">
            <v>40-160- 8</v>
          </cell>
          <cell r="D229" t="str">
            <v>M3</v>
          </cell>
          <cell r="E229">
            <v>147</v>
          </cell>
        </row>
        <row r="232">
          <cell r="B232" t="str">
            <v>철  근</v>
          </cell>
          <cell r="C232" t="str">
            <v>D 13 M/M</v>
          </cell>
          <cell r="D232" t="str">
            <v>TON</v>
          </cell>
          <cell r="E232">
            <v>91.691999999999993</v>
          </cell>
        </row>
        <row r="233">
          <cell r="B233" t="str">
            <v>철  근</v>
          </cell>
          <cell r="C233" t="str">
            <v>D 16 M/M 이상</v>
          </cell>
          <cell r="D233" t="str">
            <v>TON</v>
          </cell>
          <cell r="E233">
            <v>165.161</v>
          </cell>
        </row>
        <row r="235">
          <cell r="B235" t="str">
            <v>고  철</v>
          </cell>
          <cell r="D235" t="str">
            <v>TON</v>
          </cell>
          <cell r="E235">
            <v>7.4820000000000002</v>
          </cell>
        </row>
        <row r="241">
          <cell r="B241" t="str">
            <v>구조물터파기</v>
          </cell>
          <cell r="C241" t="str">
            <v>(육상토사0-4M)</v>
          </cell>
          <cell r="D241" t="str">
            <v>M3</v>
          </cell>
          <cell r="E241">
            <v>77</v>
          </cell>
        </row>
        <row r="242">
          <cell r="B242" t="str">
            <v>되메우기및다짐</v>
          </cell>
          <cell r="C242" t="str">
            <v>(인력50%+기계50%)</v>
          </cell>
          <cell r="D242" t="str">
            <v>M3</v>
          </cell>
          <cell r="E242">
            <v>53</v>
          </cell>
        </row>
        <row r="243">
          <cell r="B243" t="str">
            <v>구조물뒷채움</v>
          </cell>
          <cell r="D243" t="str">
            <v>M3</v>
          </cell>
          <cell r="E243">
            <v>1483</v>
          </cell>
        </row>
        <row r="246">
          <cell r="B246" t="str">
            <v>콘크리트펌프카타설</v>
          </cell>
          <cell r="C246" t="str">
            <v>(철  근)</v>
          </cell>
          <cell r="D246" t="str">
            <v>M3</v>
          </cell>
          <cell r="E246">
            <v>2029</v>
          </cell>
        </row>
        <row r="247">
          <cell r="B247" t="str">
            <v>콘크리트타설</v>
          </cell>
          <cell r="C247" t="str">
            <v>(무근,VIB제외)</v>
          </cell>
          <cell r="D247" t="str">
            <v>M3</v>
          </cell>
          <cell r="E247">
            <v>63</v>
          </cell>
        </row>
        <row r="250">
          <cell r="B250" t="str">
            <v>합판거푸집</v>
          </cell>
          <cell r="C250" t="str">
            <v>(3회 0- 7M)</v>
          </cell>
          <cell r="D250" t="str">
            <v>M2</v>
          </cell>
          <cell r="E250">
            <v>2346</v>
          </cell>
        </row>
        <row r="251">
          <cell r="B251" t="str">
            <v>합판거푸집</v>
          </cell>
          <cell r="C251" t="str">
            <v>(3회 7-10M)</v>
          </cell>
          <cell r="D251" t="str">
            <v>M2</v>
          </cell>
          <cell r="E251">
            <v>158</v>
          </cell>
        </row>
        <row r="252">
          <cell r="B252" t="str">
            <v>합판거푸집</v>
          </cell>
          <cell r="C252" t="str">
            <v>(4 회)</v>
          </cell>
          <cell r="D252" t="str">
            <v>M2</v>
          </cell>
          <cell r="E252">
            <v>263</v>
          </cell>
        </row>
        <row r="253">
          <cell r="B253" t="str">
            <v>합판거푸집</v>
          </cell>
          <cell r="C253" t="str">
            <v>(6 회)</v>
          </cell>
          <cell r="D253" t="str">
            <v>M2</v>
          </cell>
          <cell r="E253">
            <v>23</v>
          </cell>
        </row>
        <row r="254">
          <cell r="B254" t="str">
            <v>문양거푸집(0-7M)</v>
          </cell>
          <cell r="C254" t="str">
            <v>20회사용</v>
          </cell>
          <cell r="D254" t="str">
            <v>M2</v>
          </cell>
          <cell r="E254">
            <v>315</v>
          </cell>
        </row>
        <row r="256">
          <cell r="B256" t="str">
            <v>강관비계</v>
          </cell>
          <cell r="D256" t="str">
            <v>M2</v>
          </cell>
          <cell r="E256">
            <v>1105</v>
          </cell>
        </row>
        <row r="258">
          <cell r="B258" t="str">
            <v>목재동바리</v>
          </cell>
          <cell r="C258" t="str">
            <v>(4 회)</v>
          </cell>
          <cell r="D258" t="str">
            <v>공/M3</v>
          </cell>
          <cell r="E258">
            <v>642</v>
          </cell>
        </row>
        <row r="259">
          <cell r="B259" t="str">
            <v>강관동바리</v>
          </cell>
          <cell r="C259" t="str">
            <v>(교량용)</v>
          </cell>
          <cell r="D259" t="str">
            <v>공/M3</v>
          </cell>
          <cell r="E259">
            <v>137</v>
          </cell>
        </row>
        <row r="260">
          <cell r="B260" t="str">
            <v>목재동바리</v>
          </cell>
          <cell r="C260" t="str">
            <v>(1 회)</v>
          </cell>
          <cell r="D260" t="str">
            <v>공/M3</v>
          </cell>
          <cell r="E260">
            <v>78</v>
          </cell>
        </row>
        <row r="263">
          <cell r="B263" t="str">
            <v>교좌장치(가흥IC교)</v>
          </cell>
          <cell r="C263" t="str">
            <v>175TON,고정단</v>
          </cell>
          <cell r="D263" t="str">
            <v>EA</v>
          </cell>
          <cell r="E263">
            <v>2</v>
          </cell>
        </row>
        <row r="264">
          <cell r="B264" t="str">
            <v>교좌장치(가흥IC교)</v>
          </cell>
          <cell r="C264" t="str">
            <v>175TON,종방향,가동</v>
          </cell>
          <cell r="D264" t="str">
            <v>EA</v>
          </cell>
          <cell r="E264">
            <v>2</v>
          </cell>
        </row>
        <row r="265">
          <cell r="B265" t="str">
            <v>교좌장치(가흥IC교)</v>
          </cell>
          <cell r="C265" t="str">
            <v>175TON,횡방향,가동단</v>
          </cell>
          <cell r="D265" t="str">
            <v>EA</v>
          </cell>
          <cell r="E265">
            <v>8</v>
          </cell>
        </row>
        <row r="266">
          <cell r="B266" t="str">
            <v>교좌장치(가흥IC교)</v>
          </cell>
          <cell r="C266" t="str">
            <v>175TON,양방향,가동</v>
          </cell>
          <cell r="D266" t="str">
            <v>EA</v>
          </cell>
          <cell r="E266">
            <v>8</v>
          </cell>
        </row>
        <row r="268">
          <cell r="B268" t="str">
            <v>신축이음장치</v>
          </cell>
          <cell r="C268" t="str">
            <v>(KR-NO50)</v>
          </cell>
          <cell r="D268" t="str">
            <v>M</v>
          </cell>
          <cell r="E268">
            <v>50.66</v>
          </cell>
        </row>
        <row r="270">
          <cell r="B270" t="str">
            <v>PREFLEX빔제작</v>
          </cell>
          <cell r="C270" t="str">
            <v>(가흥IC교)</v>
          </cell>
          <cell r="D270" t="str">
            <v>본</v>
          </cell>
          <cell r="E270">
            <v>10</v>
          </cell>
        </row>
        <row r="271">
          <cell r="B271" t="str">
            <v>PREFLEX운반및가설</v>
          </cell>
          <cell r="C271" t="str">
            <v>(가흥IC교)</v>
          </cell>
          <cell r="D271" t="str">
            <v>본</v>
          </cell>
          <cell r="E271">
            <v>10</v>
          </cell>
        </row>
        <row r="274">
          <cell r="B274" t="str">
            <v>강관PILE자재비</v>
          </cell>
          <cell r="C274" t="str">
            <v>(φ508.0M/M,T=12M/M)</v>
          </cell>
          <cell r="D274" t="str">
            <v>M</v>
          </cell>
          <cell r="E274">
            <v>1372</v>
          </cell>
        </row>
        <row r="275">
          <cell r="B275" t="str">
            <v>강관PILE천공및항타</v>
          </cell>
          <cell r="C275" t="str">
            <v>(φ508M/M,토사,직항)</v>
          </cell>
          <cell r="D275" t="str">
            <v>M</v>
          </cell>
          <cell r="E275">
            <v>1041</v>
          </cell>
        </row>
        <row r="276">
          <cell r="B276" t="str">
            <v>강관PILE천공및항타</v>
          </cell>
          <cell r="C276" t="str">
            <v>(φ508MM,풍화암,직항</v>
          </cell>
          <cell r="D276" t="str">
            <v>M</v>
          </cell>
          <cell r="E276">
            <v>308</v>
          </cell>
        </row>
        <row r="277">
          <cell r="B277" t="str">
            <v>두부및선단보강</v>
          </cell>
          <cell r="C277" t="str">
            <v>(φ508.0 M/M)</v>
          </cell>
          <cell r="D277" t="str">
            <v>EA</v>
          </cell>
          <cell r="E277">
            <v>112</v>
          </cell>
        </row>
        <row r="279">
          <cell r="B279" t="str">
            <v>슬라브양생</v>
          </cell>
          <cell r="C279" t="str">
            <v>(피막양생재)</v>
          </cell>
          <cell r="D279" t="str">
            <v>M2</v>
          </cell>
          <cell r="E279">
            <v>994</v>
          </cell>
        </row>
        <row r="280">
          <cell r="B280" t="str">
            <v>교면방수</v>
          </cell>
          <cell r="C280" t="str">
            <v>(도막방수)</v>
          </cell>
          <cell r="D280" t="str">
            <v>M2</v>
          </cell>
          <cell r="E280">
            <v>994</v>
          </cell>
        </row>
        <row r="281">
          <cell r="B281" t="str">
            <v>슬라브면고르기</v>
          </cell>
          <cell r="D281" t="str">
            <v>M2</v>
          </cell>
          <cell r="E281">
            <v>994</v>
          </cell>
        </row>
        <row r="282">
          <cell r="B282" t="str">
            <v>스페이샤설치</v>
          </cell>
          <cell r="D282" t="str">
            <v>M2</v>
          </cell>
          <cell r="E282">
            <v>3355</v>
          </cell>
        </row>
        <row r="283">
          <cell r="B283" t="str">
            <v>아스팔트방수</v>
          </cell>
          <cell r="C283" t="str">
            <v>(2 회)</v>
          </cell>
          <cell r="D283" t="str">
            <v>M2</v>
          </cell>
          <cell r="E283">
            <v>477</v>
          </cell>
        </row>
        <row r="285">
          <cell r="B285" t="str">
            <v>육교용집수구</v>
          </cell>
          <cell r="C285" t="str">
            <v>(주 철)</v>
          </cell>
          <cell r="D285" t="str">
            <v>EA</v>
          </cell>
          <cell r="E285">
            <v>4</v>
          </cell>
        </row>
        <row r="286">
          <cell r="B286" t="str">
            <v>직  관</v>
          </cell>
          <cell r="C286" t="str">
            <v>(Φ150)</v>
          </cell>
          <cell r="D286" t="str">
            <v>M</v>
          </cell>
          <cell r="E286">
            <v>22</v>
          </cell>
        </row>
        <row r="287">
          <cell r="B287" t="str">
            <v>곡  관</v>
          </cell>
          <cell r="D287" t="str">
            <v>EA</v>
          </cell>
          <cell r="E287">
            <v>4</v>
          </cell>
        </row>
        <row r="288">
          <cell r="B288" t="str">
            <v>정착부</v>
          </cell>
          <cell r="D288" t="str">
            <v>EA</v>
          </cell>
          <cell r="E288">
            <v>8</v>
          </cell>
        </row>
        <row r="290">
          <cell r="B290" t="str">
            <v>T.B.M 설치</v>
          </cell>
          <cell r="D290" t="str">
            <v>EA</v>
          </cell>
          <cell r="E290">
            <v>2</v>
          </cell>
        </row>
        <row r="291">
          <cell r="B291" t="str">
            <v>DOWEL BAR 설치</v>
          </cell>
          <cell r="C291" t="str">
            <v>(D25,L=600)</v>
          </cell>
          <cell r="D291" t="str">
            <v>EA</v>
          </cell>
          <cell r="E291">
            <v>124</v>
          </cell>
        </row>
        <row r="293">
          <cell r="B293" t="str">
            <v>스치로폴</v>
          </cell>
          <cell r="C293" t="str">
            <v>(T=10 M/M)</v>
          </cell>
          <cell r="D293" t="str">
            <v>M2</v>
          </cell>
          <cell r="E293">
            <v>61</v>
          </cell>
        </row>
        <row r="294">
          <cell r="B294" t="str">
            <v>스치로폴</v>
          </cell>
          <cell r="C294" t="str">
            <v>(T=20 M/M)</v>
          </cell>
          <cell r="D294" t="str">
            <v>M2</v>
          </cell>
          <cell r="E294">
            <v>51</v>
          </cell>
        </row>
        <row r="296">
          <cell r="B296" t="str">
            <v>교명판</v>
          </cell>
          <cell r="D296" t="str">
            <v>EA</v>
          </cell>
          <cell r="E296">
            <v>4</v>
          </cell>
        </row>
        <row r="297">
          <cell r="B297" t="str">
            <v>설명판</v>
          </cell>
          <cell r="D297" t="str">
            <v>EA</v>
          </cell>
          <cell r="E297">
            <v>4</v>
          </cell>
        </row>
        <row r="298">
          <cell r="B298" t="str">
            <v>교명주</v>
          </cell>
          <cell r="C298" t="str">
            <v>(화강암)</v>
          </cell>
          <cell r="D298" t="str">
            <v>EA</v>
          </cell>
          <cell r="E298">
            <v>4</v>
          </cell>
        </row>
        <row r="299">
          <cell r="B299" t="str">
            <v>전선관설치</v>
          </cell>
          <cell r="C299" t="str">
            <v>(PVC,D150 M/M)</v>
          </cell>
          <cell r="D299" t="str">
            <v>M</v>
          </cell>
          <cell r="E299">
            <v>98</v>
          </cell>
        </row>
        <row r="300">
          <cell r="B300" t="str">
            <v>스라브 NOTCH</v>
          </cell>
          <cell r="C300" t="str">
            <v>(알루미늄 30*20)</v>
          </cell>
          <cell r="D300" t="str">
            <v>M</v>
          </cell>
          <cell r="E300">
            <v>159</v>
          </cell>
        </row>
        <row r="302">
          <cell r="B302" t="str">
            <v>철근가공조립</v>
          </cell>
          <cell r="C302" t="str">
            <v>(간 단)</v>
          </cell>
          <cell r="D302" t="str">
            <v>TON</v>
          </cell>
          <cell r="E302">
            <v>1.044</v>
          </cell>
        </row>
        <row r="303">
          <cell r="B303" t="str">
            <v>철근가공조립</v>
          </cell>
          <cell r="C303" t="str">
            <v>(보 통)</v>
          </cell>
          <cell r="D303" t="str">
            <v>TON</v>
          </cell>
          <cell r="E303">
            <v>41.241999999999997</v>
          </cell>
        </row>
        <row r="304">
          <cell r="B304" t="str">
            <v>철근가공조립</v>
          </cell>
          <cell r="C304" t="str">
            <v>(복 잡)</v>
          </cell>
          <cell r="D304" t="str">
            <v>TON</v>
          </cell>
          <cell r="E304">
            <v>214.214</v>
          </cell>
        </row>
        <row r="306">
          <cell r="B306" t="str">
            <v>무수축몰탈</v>
          </cell>
          <cell r="D306" t="str">
            <v>M3</v>
          </cell>
          <cell r="E306">
            <v>1.1599999999999999</v>
          </cell>
        </row>
        <row r="307">
          <cell r="B307" t="str">
            <v>무수축콘크리트</v>
          </cell>
          <cell r="D307" t="str">
            <v>M3</v>
          </cell>
          <cell r="E307">
            <v>8.8460000000000001</v>
          </cell>
        </row>
        <row r="308">
          <cell r="B308" t="str">
            <v>교대및교각번호판설치</v>
          </cell>
          <cell r="C308" t="str">
            <v>(600x600)</v>
          </cell>
          <cell r="D308" t="str">
            <v>EA</v>
          </cell>
          <cell r="E308">
            <v>4</v>
          </cell>
        </row>
        <row r="310">
          <cell r="B310" t="str">
            <v>교대법면보호</v>
          </cell>
          <cell r="C310" t="str">
            <v>(기초및천단)</v>
          </cell>
          <cell r="D310" t="str">
            <v>M</v>
          </cell>
          <cell r="E310">
            <v>56</v>
          </cell>
        </row>
        <row r="311">
          <cell r="B311" t="str">
            <v>교대보호공</v>
          </cell>
          <cell r="C311" t="str">
            <v>(블럭:228*112*60)</v>
          </cell>
          <cell r="D311" t="str">
            <v>M2</v>
          </cell>
          <cell r="E311">
            <v>345</v>
          </cell>
        </row>
        <row r="312">
          <cell r="B312" t="str">
            <v>교대보호도수로</v>
          </cell>
          <cell r="C312" t="str">
            <v>(B=0.3M)</v>
          </cell>
          <cell r="D312" t="str">
            <v>M</v>
          </cell>
          <cell r="E312">
            <v>12</v>
          </cell>
        </row>
        <row r="313">
          <cell r="B313" t="str">
            <v>구조물뒷채움</v>
          </cell>
          <cell r="D313" t="str">
            <v>M3</v>
          </cell>
          <cell r="E313">
            <v>38</v>
          </cell>
        </row>
        <row r="314">
          <cell r="B314" t="str">
            <v>레미콘</v>
          </cell>
          <cell r="C314" t="str">
            <v>40-180-12</v>
          </cell>
          <cell r="D314" t="str">
            <v>M3</v>
          </cell>
          <cell r="E314">
            <v>4</v>
          </cell>
        </row>
        <row r="315">
          <cell r="B315" t="str">
            <v>레미콘</v>
          </cell>
          <cell r="C315" t="str">
            <v>40-160- 8</v>
          </cell>
          <cell r="D315" t="str">
            <v>M3</v>
          </cell>
          <cell r="E315">
            <v>51</v>
          </cell>
        </row>
        <row r="318">
          <cell r="B318" t="str">
            <v>철근운반</v>
          </cell>
          <cell r="D318" t="str">
            <v>TON</v>
          </cell>
          <cell r="E318">
            <v>264</v>
          </cell>
        </row>
        <row r="319">
          <cell r="B319" t="str">
            <v>시멘트운반</v>
          </cell>
          <cell r="C319" t="str">
            <v>(40 KG/대)</v>
          </cell>
          <cell r="D319" t="str">
            <v>대</v>
          </cell>
          <cell r="E319">
            <v>165</v>
          </cell>
        </row>
        <row r="323">
          <cell r="B323" t="str">
            <v>레미콘</v>
          </cell>
          <cell r="C323" t="str">
            <v>25-400-12</v>
          </cell>
          <cell r="D323" t="str">
            <v>M3</v>
          </cell>
          <cell r="E323">
            <v>141</v>
          </cell>
        </row>
        <row r="324">
          <cell r="B324" t="str">
            <v>레미콘</v>
          </cell>
          <cell r="C324" t="str">
            <v>25-270-12</v>
          </cell>
          <cell r="D324" t="str">
            <v>M3</v>
          </cell>
          <cell r="E324">
            <v>682</v>
          </cell>
        </row>
        <row r="325">
          <cell r="B325" t="str">
            <v>레미콘</v>
          </cell>
          <cell r="C325" t="str">
            <v>25-240-12</v>
          </cell>
          <cell r="D325" t="str">
            <v>M3</v>
          </cell>
          <cell r="E325">
            <v>1225</v>
          </cell>
        </row>
        <row r="326">
          <cell r="B326" t="str">
            <v>레미콘</v>
          </cell>
          <cell r="C326" t="str">
            <v>25-210-12</v>
          </cell>
          <cell r="D326" t="str">
            <v>M3</v>
          </cell>
          <cell r="E326">
            <v>35</v>
          </cell>
        </row>
        <row r="327">
          <cell r="B327" t="str">
            <v>레미콘</v>
          </cell>
          <cell r="C327" t="str">
            <v>40-160- 8</v>
          </cell>
          <cell r="D327" t="str">
            <v>M3</v>
          </cell>
          <cell r="E327">
            <v>64</v>
          </cell>
        </row>
        <row r="329">
          <cell r="B329" t="str">
            <v>철  근</v>
          </cell>
          <cell r="C329" t="str">
            <v>D 13 M/M</v>
          </cell>
          <cell r="D329" t="str">
            <v>TON</v>
          </cell>
          <cell r="E329">
            <v>2.6219999999999999</v>
          </cell>
        </row>
        <row r="330">
          <cell r="B330" t="str">
            <v>철  근</v>
          </cell>
          <cell r="C330" t="str">
            <v>D 16 M/M 이상</v>
          </cell>
          <cell r="D330" t="str">
            <v>TON</v>
          </cell>
          <cell r="E330">
            <v>138.88</v>
          </cell>
        </row>
        <row r="331">
          <cell r="B331" t="str">
            <v>철  근</v>
          </cell>
          <cell r="C331" t="str">
            <v>H 13 M/M</v>
          </cell>
          <cell r="D331" t="str">
            <v>TON</v>
          </cell>
          <cell r="E331">
            <v>27.635000000000002</v>
          </cell>
        </row>
        <row r="332">
          <cell r="B332" t="str">
            <v>철  근</v>
          </cell>
          <cell r="C332" t="str">
            <v>H 16 M/M 이상</v>
          </cell>
          <cell r="D332" t="str">
            <v>TON</v>
          </cell>
          <cell r="E332">
            <v>95.058999999999997</v>
          </cell>
        </row>
        <row r="333">
          <cell r="B333" t="str">
            <v>고  철</v>
          </cell>
          <cell r="D333" t="str">
            <v>TON</v>
          </cell>
          <cell r="E333">
            <v>7.9249999999999998</v>
          </cell>
        </row>
        <row r="335">
          <cell r="B335" t="str">
            <v>강판 (SWS 490)</v>
          </cell>
          <cell r="C335" t="str">
            <v>T=32 M/M</v>
          </cell>
          <cell r="D335" t="str">
            <v>TON</v>
          </cell>
          <cell r="E335">
            <v>12.288</v>
          </cell>
        </row>
        <row r="336">
          <cell r="B336" t="str">
            <v>강판 (SWS 490)</v>
          </cell>
          <cell r="C336" t="str">
            <v>T=36 M/M</v>
          </cell>
          <cell r="D336" t="str">
            <v>TON</v>
          </cell>
          <cell r="E336">
            <v>2.6240000000000001</v>
          </cell>
        </row>
        <row r="337">
          <cell r="B337" t="str">
            <v>강판 (SWS 520)</v>
          </cell>
          <cell r="C337" t="str">
            <v>T=10 M/M</v>
          </cell>
          <cell r="D337" t="str">
            <v>TON</v>
          </cell>
          <cell r="E337">
            <v>1.859</v>
          </cell>
        </row>
        <row r="338">
          <cell r="B338" t="str">
            <v>강판 (SWS 520)</v>
          </cell>
          <cell r="C338" t="str">
            <v>T=15 M/M</v>
          </cell>
          <cell r="D338" t="str">
            <v>TON</v>
          </cell>
          <cell r="E338">
            <v>57.64</v>
          </cell>
        </row>
        <row r="339">
          <cell r="B339" t="str">
            <v>강판 (SWS 520)</v>
          </cell>
          <cell r="C339" t="str">
            <v>T=20 M/M</v>
          </cell>
          <cell r="D339" t="str">
            <v>TON</v>
          </cell>
          <cell r="E339">
            <v>2.2440000000000002</v>
          </cell>
        </row>
        <row r="340">
          <cell r="B340" t="str">
            <v>강판 (SWS 520)</v>
          </cell>
          <cell r="C340" t="str">
            <v>T=32 M/M</v>
          </cell>
          <cell r="D340" t="str">
            <v>TON</v>
          </cell>
          <cell r="E340">
            <v>285.23</v>
          </cell>
        </row>
        <row r="341">
          <cell r="B341" t="str">
            <v>강판 (SWS 520)</v>
          </cell>
          <cell r="C341" t="str">
            <v>T=39 M/M</v>
          </cell>
          <cell r="D341" t="str">
            <v>TON</v>
          </cell>
          <cell r="E341">
            <v>3.3</v>
          </cell>
        </row>
        <row r="346">
          <cell r="B346" t="str">
            <v>구조물터파기</v>
          </cell>
          <cell r="C346" t="str">
            <v>(육상토사0-4M)</v>
          </cell>
          <cell r="D346" t="str">
            <v>M3</v>
          </cell>
          <cell r="E346">
            <v>1382</v>
          </cell>
        </row>
        <row r="347">
          <cell r="B347" t="str">
            <v>되메우기및다짐</v>
          </cell>
          <cell r="C347" t="str">
            <v>(인력50%+기계50%)</v>
          </cell>
          <cell r="D347" t="str">
            <v>M3</v>
          </cell>
          <cell r="E347">
            <v>664</v>
          </cell>
        </row>
        <row r="348">
          <cell r="B348" t="str">
            <v>구조물뒷채움</v>
          </cell>
          <cell r="D348" t="str">
            <v>M3</v>
          </cell>
          <cell r="E348">
            <v>1905</v>
          </cell>
        </row>
        <row r="351">
          <cell r="B351" t="str">
            <v>콘크리트펌프카타설</v>
          </cell>
          <cell r="C351" t="str">
            <v>(철  근)</v>
          </cell>
          <cell r="D351" t="str">
            <v>M3</v>
          </cell>
          <cell r="E351">
            <v>2259</v>
          </cell>
        </row>
        <row r="352">
          <cell r="B352" t="str">
            <v>콘크리트타설</v>
          </cell>
          <cell r="C352" t="str">
            <v>(철근,VIB포함)</v>
          </cell>
          <cell r="D352" t="str">
            <v>M3</v>
          </cell>
          <cell r="E352">
            <v>101</v>
          </cell>
        </row>
        <row r="353">
          <cell r="B353" t="str">
            <v>콘크리트타설</v>
          </cell>
          <cell r="C353" t="str">
            <v>(무근,VIB제외)</v>
          </cell>
          <cell r="D353" t="str">
            <v>M3</v>
          </cell>
          <cell r="E353">
            <v>105</v>
          </cell>
        </row>
        <row r="356">
          <cell r="B356" t="str">
            <v>합판거푸집</v>
          </cell>
          <cell r="C356" t="str">
            <v>(3회 0- 7M)</v>
          </cell>
          <cell r="D356" t="str">
            <v>M2</v>
          </cell>
          <cell r="E356">
            <v>1763</v>
          </cell>
        </row>
        <row r="357">
          <cell r="B357" t="str">
            <v>합판거푸집</v>
          </cell>
          <cell r="C357" t="str">
            <v>(3회 7-10M)</v>
          </cell>
          <cell r="D357" t="str">
            <v>M2</v>
          </cell>
          <cell r="E357">
            <v>399</v>
          </cell>
        </row>
        <row r="358">
          <cell r="B358" t="str">
            <v>합판거푸집</v>
          </cell>
          <cell r="C358" t="str">
            <v>(4 회)</v>
          </cell>
          <cell r="D358" t="str">
            <v>M2</v>
          </cell>
          <cell r="E358">
            <v>371</v>
          </cell>
        </row>
        <row r="359">
          <cell r="B359" t="str">
            <v>합판거푸집</v>
          </cell>
          <cell r="C359" t="str">
            <v>(6 회)</v>
          </cell>
          <cell r="D359" t="str">
            <v>M2</v>
          </cell>
          <cell r="E359">
            <v>32</v>
          </cell>
        </row>
        <row r="360">
          <cell r="B360" t="str">
            <v>문양거푸집(0-7M)</v>
          </cell>
          <cell r="C360" t="str">
            <v>20회사용</v>
          </cell>
          <cell r="D360" t="str">
            <v>M2</v>
          </cell>
          <cell r="E360">
            <v>334</v>
          </cell>
        </row>
        <row r="362">
          <cell r="B362" t="str">
            <v>강관비계</v>
          </cell>
          <cell r="D362" t="str">
            <v>M2</v>
          </cell>
          <cell r="E362">
            <v>1410</v>
          </cell>
        </row>
        <row r="364">
          <cell r="B364" t="str">
            <v>목재동바리</v>
          </cell>
          <cell r="C364" t="str">
            <v>(4 회)</v>
          </cell>
          <cell r="D364" t="str">
            <v>공/M3</v>
          </cell>
          <cell r="E364">
            <v>519</v>
          </cell>
        </row>
        <row r="365">
          <cell r="B365" t="str">
            <v>강관동바리</v>
          </cell>
          <cell r="C365" t="str">
            <v>(교량용)</v>
          </cell>
          <cell r="D365" t="str">
            <v>공/M3</v>
          </cell>
          <cell r="E365">
            <v>137</v>
          </cell>
        </row>
        <row r="366">
          <cell r="B366" t="str">
            <v>목재동바리</v>
          </cell>
          <cell r="C366" t="str">
            <v>(1 회)</v>
          </cell>
          <cell r="D366" t="str">
            <v>공/M3</v>
          </cell>
          <cell r="E366">
            <v>82</v>
          </cell>
        </row>
        <row r="369">
          <cell r="B369" t="str">
            <v>교좌장치(가흥육교)</v>
          </cell>
          <cell r="C369" t="str">
            <v>100TON,고정단</v>
          </cell>
          <cell r="D369" t="str">
            <v>EA</v>
          </cell>
          <cell r="E369">
            <v>2</v>
          </cell>
        </row>
        <row r="370">
          <cell r="B370" t="str">
            <v>교좌장치(가흥육교)</v>
          </cell>
          <cell r="C370" t="str">
            <v>100TON,종방향.가동</v>
          </cell>
          <cell r="D370" t="str">
            <v>EA</v>
          </cell>
          <cell r="E370">
            <v>2</v>
          </cell>
        </row>
        <row r="371">
          <cell r="B371" t="str">
            <v>교좌장치(가흥육교)</v>
          </cell>
          <cell r="C371" t="str">
            <v>100TON,횡방향,가동</v>
          </cell>
          <cell r="D371" t="str">
            <v>EA</v>
          </cell>
          <cell r="E371">
            <v>9</v>
          </cell>
        </row>
        <row r="372">
          <cell r="B372" t="str">
            <v>교좌장치(가흥육교)</v>
          </cell>
          <cell r="C372" t="str">
            <v>100TON,양방향,가동</v>
          </cell>
          <cell r="D372" t="str">
            <v>EA</v>
          </cell>
          <cell r="E372">
            <v>9</v>
          </cell>
        </row>
        <row r="374">
          <cell r="B374" t="str">
            <v>신축이음장치</v>
          </cell>
          <cell r="C374" t="str">
            <v>(KR-N035)</v>
          </cell>
          <cell r="D374" t="str">
            <v>M</v>
          </cell>
          <cell r="E374">
            <v>48</v>
          </cell>
        </row>
        <row r="376">
          <cell r="B376" t="str">
            <v>P.S.C빔제작</v>
          </cell>
          <cell r="C376" t="str">
            <v>(L=25 M)</v>
          </cell>
          <cell r="D376" t="str">
            <v>본</v>
          </cell>
          <cell r="E376">
            <v>11</v>
          </cell>
        </row>
        <row r="377">
          <cell r="B377" t="str">
            <v>P.S.C빔운반및가설</v>
          </cell>
          <cell r="C377" t="str">
            <v>(L=25 M)</v>
          </cell>
          <cell r="D377" t="str">
            <v>EA</v>
          </cell>
          <cell r="E377">
            <v>11</v>
          </cell>
        </row>
        <row r="380">
          <cell r="B380" t="str">
            <v>강관PILE자재비</v>
          </cell>
          <cell r="C380" t="str">
            <v>(φ508.0M/M,T=12M/M)</v>
          </cell>
          <cell r="D380" t="str">
            <v>M</v>
          </cell>
          <cell r="E380">
            <v>726</v>
          </cell>
        </row>
        <row r="381">
          <cell r="B381" t="str">
            <v>강관PILE천공및항타</v>
          </cell>
          <cell r="C381" t="str">
            <v>(φ508M/M,토사,직항)</v>
          </cell>
          <cell r="D381" t="str">
            <v>M</v>
          </cell>
          <cell r="E381">
            <v>257.39999999999998</v>
          </cell>
        </row>
        <row r="382">
          <cell r="B382" t="str">
            <v>강관PILE천공및항타</v>
          </cell>
          <cell r="C382" t="str">
            <v>(φ508MM,풍화암,직항</v>
          </cell>
          <cell r="D382" t="str">
            <v>M</v>
          </cell>
          <cell r="E382">
            <v>442.2</v>
          </cell>
        </row>
        <row r="383">
          <cell r="B383" t="str">
            <v>두부및선단보강</v>
          </cell>
          <cell r="C383" t="str">
            <v>(φ508.0 M/M)</v>
          </cell>
          <cell r="D383" t="str">
            <v>EA</v>
          </cell>
          <cell r="E383">
            <v>132</v>
          </cell>
        </row>
        <row r="385">
          <cell r="B385" t="str">
            <v>슬라브양생</v>
          </cell>
          <cell r="C385" t="str">
            <v>(피막양생재)</v>
          </cell>
          <cell r="D385" t="str">
            <v>M2</v>
          </cell>
          <cell r="E385">
            <v>560</v>
          </cell>
        </row>
        <row r="386">
          <cell r="B386" t="str">
            <v>교면방수</v>
          </cell>
          <cell r="C386" t="str">
            <v>(도막방수)</v>
          </cell>
          <cell r="D386" t="str">
            <v>M2</v>
          </cell>
          <cell r="E386">
            <v>560</v>
          </cell>
        </row>
        <row r="387">
          <cell r="B387" t="str">
            <v>슬라브면고르기</v>
          </cell>
          <cell r="D387" t="str">
            <v>M2</v>
          </cell>
          <cell r="E387">
            <v>560</v>
          </cell>
        </row>
        <row r="388">
          <cell r="B388" t="str">
            <v>스페이샤설치</v>
          </cell>
          <cell r="D388" t="str">
            <v>M2</v>
          </cell>
          <cell r="E388">
            <v>3526</v>
          </cell>
        </row>
        <row r="389">
          <cell r="B389" t="str">
            <v>아스팔트방수</v>
          </cell>
          <cell r="C389" t="str">
            <v>(2 회)</v>
          </cell>
          <cell r="D389" t="str">
            <v>M2</v>
          </cell>
          <cell r="E389">
            <v>611</v>
          </cell>
        </row>
        <row r="391">
          <cell r="B391" t="str">
            <v>육교용집수구</v>
          </cell>
          <cell r="C391" t="str">
            <v>(주 철)</v>
          </cell>
          <cell r="D391" t="str">
            <v>EA</v>
          </cell>
          <cell r="E391">
            <v>2</v>
          </cell>
        </row>
        <row r="392">
          <cell r="B392" t="str">
            <v>직  관</v>
          </cell>
          <cell r="C392" t="str">
            <v>(Φ150)</v>
          </cell>
          <cell r="D392" t="str">
            <v>M</v>
          </cell>
          <cell r="E392">
            <v>9</v>
          </cell>
        </row>
        <row r="393">
          <cell r="B393" t="str">
            <v>정착부</v>
          </cell>
          <cell r="D393" t="str">
            <v>EA</v>
          </cell>
          <cell r="E393">
            <v>3</v>
          </cell>
        </row>
        <row r="395">
          <cell r="B395" t="str">
            <v>T.B.M 설치</v>
          </cell>
          <cell r="D395" t="str">
            <v>EA</v>
          </cell>
          <cell r="E395">
            <v>2</v>
          </cell>
        </row>
        <row r="397">
          <cell r="B397" t="str">
            <v>DOWEL BAR 설치</v>
          </cell>
          <cell r="C397" t="str">
            <v>(D25,L=600)</v>
          </cell>
          <cell r="D397" t="str">
            <v>EA</v>
          </cell>
          <cell r="E397">
            <v>118</v>
          </cell>
        </row>
        <row r="398">
          <cell r="B398" t="str">
            <v>DOWEL BAR 설치</v>
          </cell>
          <cell r="C398" t="str">
            <v>(D25,L=800)</v>
          </cell>
          <cell r="D398" t="str">
            <v>EA</v>
          </cell>
          <cell r="E398">
            <v>12</v>
          </cell>
        </row>
        <row r="401">
          <cell r="B401" t="str">
            <v>스치로폴</v>
          </cell>
          <cell r="C401" t="str">
            <v>(T=10 M/M)</v>
          </cell>
          <cell r="D401" t="str">
            <v>M2</v>
          </cell>
          <cell r="E401">
            <v>73</v>
          </cell>
        </row>
        <row r="402">
          <cell r="B402" t="str">
            <v>스치로폴</v>
          </cell>
          <cell r="C402" t="str">
            <v>(T=20 M/M)</v>
          </cell>
          <cell r="D402" t="str">
            <v>M2</v>
          </cell>
          <cell r="E402">
            <v>54</v>
          </cell>
        </row>
        <row r="404">
          <cell r="B404" t="str">
            <v>교명판</v>
          </cell>
          <cell r="D404" t="str">
            <v>EA</v>
          </cell>
          <cell r="E404">
            <v>4</v>
          </cell>
        </row>
        <row r="405">
          <cell r="B405" t="str">
            <v>설명판</v>
          </cell>
          <cell r="D405" t="str">
            <v>EA</v>
          </cell>
          <cell r="E405">
            <v>4</v>
          </cell>
        </row>
        <row r="406">
          <cell r="B406" t="str">
            <v>교명주</v>
          </cell>
          <cell r="C406" t="str">
            <v>(화강암)</v>
          </cell>
          <cell r="D406" t="str">
            <v>EA</v>
          </cell>
          <cell r="E406">
            <v>4</v>
          </cell>
        </row>
        <row r="407">
          <cell r="B407" t="str">
            <v>전선관설치</v>
          </cell>
          <cell r="C407" t="str">
            <v>(PVC,D150 M/M)</v>
          </cell>
          <cell r="D407" t="str">
            <v>M</v>
          </cell>
          <cell r="E407">
            <v>72</v>
          </cell>
        </row>
        <row r="408">
          <cell r="B408" t="str">
            <v>스라브 NOTCH</v>
          </cell>
          <cell r="C408" t="str">
            <v>(알루미늄 30*20)</v>
          </cell>
          <cell r="D408" t="str">
            <v>M</v>
          </cell>
          <cell r="E408">
            <v>100</v>
          </cell>
        </row>
        <row r="410">
          <cell r="B410" t="str">
            <v>철근가공조립</v>
          </cell>
          <cell r="C410" t="str">
            <v>(간 단)</v>
          </cell>
          <cell r="D410" t="str">
            <v>TON</v>
          </cell>
          <cell r="E410">
            <v>1.054</v>
          </cell>
        </row>
        <row r="411">
          <cell r="B411" t="str">
            <v>철근가공조립</v>
          </cell>
          <cell r="C411" t="str">
            <v>(보 통)</v>
          </cell>
          <cell r="D411" t="str">
            <v>TON</v>
          </cell>
          <cell r="E411">
            <v>45.485999999999997</v>
          </cell>
        </row>
        <row r="412">
          <cell r="B412" t="str">
            <v>철근가공조립</v>
          </cell>
          <cell r="C412" t="str">
            <v>(복 잡)</v>
          </cell>
          <cell r="D412" t="str">
            <v>TON</v>
          </cell>
          <cell r="E412">
            <v>281.65600000000001</v>
          </cell>
        </row>
        <row r="414">
          <cell r="B414" t="str">
            <v>무수축몰탈</v>
          </cell>
          <cell r="D414" t="str">
            <v>M3</v>
          </cell>
          <cell r="E414">
            <v>0.84699999999999998</v>
          </cell>
        </row>
        <row r="415">
          <cell r="B415" t="str">
            <v>무수축콘크리트</v>
          </cell>
          <cell r="D415" t="str">
            <v>M3</v>
          </cell>
          <cell r="E415">
            <v>8.4</v>
          </cell>
        </row>
        <row r="416">
          <cell r="B416" t="str">
            <v>교대및교각번호판설치</v>
          </cell>
          <cell r="C416" t="str">
            <v>(600x600)</v>
          </cell>
          <cell r="D416" t="str">
            <v>EA</v>
          </cell>
          <cell r="E416">
            <v>4</v>
          </cell>
        </row>
        <row r="418">
          <cell r="B418" t="str">
            <v>교대법면보호</v>
          </cell>
          <cell r="C418" t="str">
            <v>(기초및천단)</v>
          </cell>
          <cell r="D418" t="str">
            <v>M</v>
          </cell>
          <cell r="E418">
            <v>50</v>
          </cell>
        </row>
        <row r="419">
          <cell r="B419" t="str">
            <v>교대보호공</v>
          </cell>
          <cell r="C419" t="str">
            <v>(블럭:228*112*60)</v>
          </cell>
          <cell r="D419" t="str">
            <v>M2</v>
          </cell>
          <cell r="E419">
            <v>234</v>
          </cell>
        </row>
        <row r="420">
          <cell r="B420" t="str">
            <v>교대보호도수로</v>
          </cell>
          <cell r="C420" t="str">
            <v>(B=0.3M)</v>
          </cell>
          <cell r="D420" t="str">
            <v>M</v>
          </cell>
          <cell r="E420">
            <v>12</v>
          </cell>
        </row>
        <row r="421">
          <cell r="B421" t="str">
            <v>구조물뒷채움</v>
          </cell>
          <cell r="D421" t="str">
            <v>M3</v>
          </cell>
          <cell r="E421">
            <v>34</v>
          </cell>
        </row>
        <row r="422">
          <cell r="B422" t="str">
            <v>레미콘</v>
          </cell>
          <cell r="C422" t="str">
            <v>40-180-12</v>
          </cell>
          <cell r="D422" t="str">
            <v>M3</v>
          </cell>
          <cell r="E422">
            <v>3</v>
          </cell>
        </row>
        <row r="423">
          <cell r="B423" t="str">
            <v>레미콘</v>
          </cell>
          <cell r="C423" t="str">
            <v>40-160- 8</v>
          </cell>
          <cell r="D423" t="str">
            <v>M3</v>
          </cell>
          <cell r="E423">
            <v>38</v>
          </cell>
        </row>
        <row r="425">
          <cell r="B425" t="str">
            <v>PVC PIPE 설치</v>
          </cell>
          <cell r="C425" t="str">
            <v>(D=100 M/M)</v>
          </cell>
          <cell r="D425" t="str">
            <v>M</v>
          </cell>
          <cell r="E425">
            <v>9</v>
          </cell>
        </row>
        <row r="426">
          <cell r="B426" t="str">
            <v>기초잡석부설및다짐</v>
          </cell>
          <cell r="D426" t="str">
            <v>M3</v>
          </cell>
          <cell r="E426">
            <v>38</v>
          </cell>
        </row>
        <row r="427">
          <cell r="B427" t="str">
            <v>부직포</v>
          </cell>
          <cell r="D427" t="str">
            <v>M2</v>
          </cell>
          <cell r="E427">
            <v>47</v>
          </cell>
        </row>
        <row r="428">
          <cell r="B428" t="str">
            <v>우레탄실란트</v>
          </cell>
          <cell r="D428" t="str">
            <v>KG</v>
          </cell>
          <cell r="E428">
            <v>9</v>
          </cell>
        </row>
        <row r="430">
          <cell r="B430" t="str">
            <v>철근운반</v>
          </cell>
          <cell r="D430" t="str">
            <v>TON</v>
          </cell>
          <cell r="E430">
            <v>338</v>
          </cell>
        </row>
        <row r="431">
          <cell r="B431" t="str">
            <v>시멘트운반</v>
          </cell>
          <cell r="C431" t="str">
            <v>(40 KG/대)</v>
          </cell>
          <cell r="D431" t="str">
            <v>대</v>
          </cell>
          <cell r="E431">
            <v>215</v>
          </cell>
        </row>
        <row r="435">
          <cell r="B435" t="str">
            <v>레미콘</v>
          </cell>
          <cell r="C435" t="str">
            <v>25-350-12</v>
          </cell>
          <cell r="D435" t="str">
            <v>M3</v>
          </cell>
          <cell r="E435">
            <v>184</v>
          </cell>
        </row>
        <row r="436">
          <cell r="B436" t="str">
            <v>레미콘</v>
          </cell>
          <cell r="C436" t="str">
            <v>25-270-12</v>
          </cell>
          <cell r="D436" t="str">
            <v>M3</v>
          </cell>
          <cell r="E436">
            <v>424</v>
          </cell>
        </row>
        <row r="437">
          <cell r="B437" t="str">
            <v>레미콘</v>
          </cell>
          <cell r="C437" t="str">
            <v>25-240-12</v>
          </cell>
          <cell r="D437" t="str">
            <v>M3</v>
          </cell>
          <cell r="E437">
            <v>1672</v>
          </cell>
        </row>
        <row r="438">
          <cell r="B438" t="str">
            <v>레미콘</v>
          </cell>
          <cell r="C438" t="str">
            <v>25-210-12</v>
          </cell>
          <cell r="D438" t="str">
            <v>M3</v>
          </cell>
          <cell r="E438">
            <v>103</v>
          </cell>
        </row>
        <row r="439">
          <cell r="B439" t="str">
            <v>레미콘</v>
          </cell>
          <cell r="C439" t="str">
            <v>40-160- 8</v>
          </cell>
          <cell r="D439" t="str">
            <v>M3</v>
          </cell>
          <cell r="E439">
            <v>107</v>
          </cell>
        </row>
        <row r="441">
          <cell r="B441" t="str">
            <v>철  근</v>
          </cell>
          <cell r="C441" t="str">
            <v>D 10 M/M</v>
          </cell>
          <cell r="D441" t="str">
            <v>TON</v>
          </cell>
          <cell r="E441">
            <v>0.442</v>
          </cell>
        </row>
        <row r="442">
          <cell r="B442" t="str">
            <v>철  근</v>
          </cell>
          <cell r="C442" t="str">
            <v>D 13 M/M</v>
          </cell>
          <cell r="D442" t="str">
            <v>TON</v>
          </cell>
          <cell r="E442">
            <v>2.5680000000000001</v>
          </cell>
        </row>
        <row r="443">
          <cell r="B443" t="str">
            <v>철  근</v>
          </cell>
          <cell r="C443" t="str">
            <v>D 16 M/M 이상</v>
          </cell>
          <cell r="D443" t="str">
            <v>TON</v>
          </cell>
          <cell r="E443">
            <v>258.44600000000003</v>
          </cell>
        </row>
        <row r="444">
          <cell r="B444" t="str">
            <v>철  근</v>
          </cell>
          <cell r="C444" t="str">
            <v>H 13 M/M</v>
          </cell>
          <cell r="D444" t="str">
            <v>TON</v>
          </cell>
          <cell r="E444">
            <v>18.562000000000001</v>
          </cell>
        </row>
        <row r="445">
          <cell r="B445" t="str">
            <v>철  근</v>
          </cell>
          <cell r="C445" t="str">
            <v>H 16 M/M 이상</v>
          </cell>
          <cell r="D445" t="str">
            <v>TON</v>
          </cell>
          <cell r="E445">
            <v>57.96</v>
          </cell>
        </row>
        <row r="446">
          <cell r="B446" t="str">
            <v>고  철</v>
          </cell>
          <cell r="D446" t="str">
            <v>TON</v>
          </cell>
          <cell r="E446">
            <v>10.138999999999999</v>
          </cell>
        </row>
        <row r="451">
          <cell r="B451" t="str">
            <v>구조물터파기</v>
          </cell>
          <cell r="C451" t="str">
            <v>(육상토사0-4M)</v>
          </cell>
          <cell r="D451" t="str">
            <v>M3</v>
          </cell>
          <cell r="E451">
            <v>3145</v>
          </cell>
        </row>
        <row r="452">
          <cell r="B452" t="str">
            <v>되메우기및다짐</v>
          </cell>
          <cell r="C452" t="str">
            <v>(인력50%+기계50%)</v>
          </cell>
          <cell r="D452" t="str">
            <v>M3</v>
          </cell>
          <cell r="E452">
            <v>2472</v>
          </cell>
        </row>
        <row r="455">
          <cell r="B455" t="str">
            <v>콘크리트펌프카타설</v>
          </cell>
          <cell r="C455" t="str">
            <v>(철  근)</v>
          </cell>
          <cell r="D455" t="str">
            <v>M3</v>
          </cell>
          <cell r="E455">
            <v>1246</v>
          </cell>
        </row>
        <row r="456">
          <cell r="B456" t="str">
            <v>콘크리트타설</v>
          </cell>
          <cell r="C456" t="str">
            <v>(철근,VIB포함)</v>
          </cell>
          <cell r="D456" t="str">
            <v>M3</v>
          </cell>
          <cell r="E456">
            <v>38</v>
          </cell>
        </row>
        <row r="457">
          <cell r="B457" t="str">
            <v>콘크리트타설</v>
          </cell>
          <cell r="C457" t="str">
            <v>(무근,VIB제외)</v>
          </cell>
          <cell r="D457" t="str">
            <v>M3</v>
          </cell>
          <cell r="E457">
            <v>80</v>
          </cell>
        </row>
        <row r="460">
          <cell r="B460" t="str">
            <v>합판거푸집</v>
          </cell>
          <cell r="C460" t="str">
            <v>(3회 0- 7M)</v>
          </cell>
          <cell r="D460" t="str">
            <v>M2</v>
          </cell>
          <cell r="E460">
            <v>1765</v>
          </cell>
        </row>
        <row r="461">
          <cell r="B461" t="str">
            <v>합판거푸집</v>
          </cell>
          <cell r="C461" t="str">
            <v>(4 회)</v>
          </cell>
          <cell r="D461" t="str">
            <v>M2</v>
          </cell>
          <cell r="E461">
            <v>246</v>
          </cell>
        </row>
        <row r="462">
          <cell r="B462" t="str">
            <v>합판거푸집</v>
          </cell>
          <cell r="C462" t="str">
            <v>(6 회)</v>
          </cell>
          <cell r="D462" t="str">
            <v>M2</v>
          </cell>
          <cell r="E462">
            <v>38</v>
          </cell>
        </row>
        <row r="463">
          <cell r="B463" t="str">
            <v>문양거푸집(0-7M)</v>
          </cell>
          <cell r="C463" t="str">
            <v>20회사용</v>
          </cell>
          <cell r="D463" t="str">
            <v>M2</v>
          </cell>
          <cell r="E463">
            <v>58</v>
          </cell>
        </row>
        <row r="465">
          <cell r="B465" t="str">
            <v>강관비계</v>
          </cell>
          <cell r="D465" t="str">
            <v>M2</v>
          </cell>
          <cell r="E465">
            <v>706</v>
          </cell>
        </row>
        <row r="466">
          <cell r="B466" t="str">
            <v>강관동바리</v>
          </cell>
          <cell r="C466" t="str">
            <v>(교량용)</v>
          </cell>
          <cell r="D466" t="str">
            <v>공/M3</v>
          </cell>
          <cell r="E466">
            <v>2053</v>
          </cell>
        </row>
        <row r="468">
          <cell r="B468" t="str">
            <v>강관PILE자재비</v>
          </cell>
          <cell r="C468" t="str">
            <v>(φ508.0M/M,T=12M/M)</v>
          </cell>
          <cell r="D468" t="str">
            <v>M</v>
          </cell>
          <cell r="E468">
            <v>330</v>
          </cell>
        </row>
        <row r="469">
          <cell r="B469" t="str">
            <v>강관PILE천공및항타</v>
          </cell>
          <cell r="C469" t="str">
            <v>(φ508M/M,토사,직항)</v>
          </cell>
          <cell r="D469" t="str">
            <v>M</v>
          </cell>
          <cell r="E469">
            <v>150</v>
          </cell>
        </row>
        <row r="470">
          <cell r="B470" t="str">
            <v>강관PILE천공및항타</v>
          </cell>
          <cell r="C470" t="str">
            <v>(φ508MM,풍화암,직항</v>
          </cell>
          <cell r="D470" t="str">
            <v>M</v>
          </cell>
          <cell r="E470">
            <v>180</v>
          </cell>
        </row>
        <row r="471">
          <cell r="B471" t="str">
            <v>두부및선단보강</v>
          </cell>
          <cell r="C471" t="str">
            <v>(φ508.0 M/M)</v>
          </cell>
          <cell r="D471" t="str">
            <v>EA</v>
          </cell>
          <cell r="E471">
            <v>60</v>
          </cell>
        </row>
        <row r="473">
          <cell r="B473" t="str">
            <v>스페이샤설치</v>
          </cell>
          <cell r="D473" t="str">
            <v>M2</v>
          </cell>
          <cell r="E473">
            <v>2726</v>
          </cell>
        </row>
        <row r="474">
          <cell r="B474" t="str">
            <v>아스팔트방수</v>
          </cell>
          <cell r="C474" t="str">
            <v>(2 회)</v>
          </cell>
          <cell r="D474" t="str">
            <v>M2</v>
          </cell>
          <cell r="E474">
            <v>978</v>
          </cell>
        </row>
        <row r="475">
          <cell r="B475" t="str">
            <v>T.B.M 설치</v>
          </cell>
          <cell r="D475" t="str">
            <v>EA</v>
          </cell>
          <cell r="E475">
            <v>1</v>
          </cell>
        </row>
        <row r="477">
          <cell r="B477" t="str">
            <v>DOWEL BAR 설치</v>
          </cell>
          <cell r="C477" t="str">
            <v>(D25,L=600)</v>
          </cell>
          <cell r="D477" t="str">
            <v>EA</v>
          </cell>
          <cell r="E477">
            <v>144</v>
          </cell>
        </row>
        <row r="478">
          <cell r="B478" t="str">
            <v>DOWEL BAR 설치</v>
          </cell>
          <cell r="C478" t="str">
            <v>(D25,L=800)</v>
          </cell>
          <cell r="D478" t="str">
            <v>EA</v>
          </cell>
          <cell r="E478">
            <v>130</v>
          </cell>
        </row>
        <row r="480">
          <cell r="B480" t="str">
            <v>스치로폴</v>
          </cell>
          <cell r="C480" t="str">
            <v>(T=20 M/M)</v>
          </cell>
          <cell r="D480" t="str">
            <v>M2</v>
          </cell>
          <cell r="E480">
            <v>51</v>
          </cell>
        </row>
        <row r="482">
          <cell r="B482" t="str">
            <v>철근가공조립</v>
          </cell>
          <cell r="C482" t="str">
            <v>(간 단)</v>
          </cell>
          <cell r="D482" t="str">
            <v>TON</v>
          </cell>
          <cell r="E482">
            <v>5.0789999999999997</v>
          </cell>
        </row>
        <row r="483">
          <cell r="B483" t="str">
            <v>철근가공조립</v>
          </cell>
          <cell r="C483" t="str">
            <v>(보 통)</v>
          </cell>
          <cell r="D483" t="str">
            <v>TON</v>
          </cell>
          <cell r="E483">
            <v>22.61</v>
          </cell>
        </row>
        <row r="484">
          <cell r="B484" t="str">
            <v>철근가공조립</v>
          </cell>
          <cell r="C484" t="str">
            <v>(복 잡)</v>
          </cell>
          <cell r="D484" t="str">
            <v>TON</v>
          </cell>
          <cell r="E484">
            <v>186.90600000000001</v>
          </cell>
        </row>
        <row r="486">
          <cell r="B486" t="str">
            <v>PVC PIPE 설치</v>
          </cell>
          <cell r="C486" t="str">
            <v>(D=100 M/M)</v>
          </cell>
          <cell r="D486" t="str">
            <v>M</v>
          </cell>
          <cell r="E486">
            <v>10</v>
          </cell>
        </row>
        <row r="487">
          <cell r="B487" t="str">
            <v>부직포</v>
          </cell>
          <cell r="D487" t="str">
            <v>M2</v>
          </cell>
          <cell r="E487">
            <v>45</v>
          </cell>
        </row>
        <row r="488">
          <cell r="B488" t="str">
            <v>기초잡석부설및다짐</v>
          </cell>
          <cell r="D488" t="str">
            <v>M3</v>
          </cell>
          <cell r="E488">
            <v>44</v>
          </cell>
        </row>
        <row r="489">
          <cell r="B489" t="str">
            <v>우레탄실란트</v>
          </cell>
          <cell r="D489" t="str">
            <v>KG</v>
          </cell>
          <cell r="E489">
            <v>0.32800000000000001</v>
          </cell>
        </row>
        <row r="490">
          <cell r="B490" t="str">
            <v>난간설치</v>
          </cell>
          <cell r="D490" t="str">
            <v>M</v>
          </cell>
          <cell r="E490">
            <v>31.6</v>
          </cell>
        </row>
        <row r="491">
          <cell r="B491" t="str">
            <v>지수판설치</v>
          </cell>
          <cell r="C491" t="str">
            <v>(d200 * 5)</v>
          </cell>
          <cell r="D491" t="str">
            <v>M</v>
          </cell>
          <cell r="E491">
            <v>24</v>
          </cell>
        </row>
        <row r="493">
          <cell r="B493" t="str">
            <v>철근운반</v>
          </cell>
          <cell r="D493" t="str">
            <v>TON</v>
          </cell>
          <cell r="E493">
            <v>216</v>
          </cell>
        </row>
        <row r="497">
          <cell r="B497" t="str">
            <v>레미콘</v>
          </cell>
          <cell r="C497" t="str">
            <v>25-270-12</v>
          </cell>
          <cell r="D497" t="str">
            <v>M3</v>
          </cell>
          <cell r="E497">
            <v>997</v>
          </cell>
        </row>
        <row r="498">
          <cell r="B498" t="str">
            <v>레미콘</v>
          </cell>
          <cell r="C498" t="str">
            <v>25-240-12</v>
          </cell>
          <cell r="D498" t="str">
            <v>M3</v>
          </cell>
          <cell r="E498">
            <v>261</v>
          </cell>
        </row>
        <row r="499">
          <cell r="B499" t="str">
            <v>레미콘</v>
          </cell>
          <cell r="C499" t="str">
            <v>25-210-12</v>
          </cell>
          <cell r="D499" t="str">
            <v>M3</v>
          </cell>
          <cell r="E499">
            <v>38</v>
          </cell>
        </row>
        <row r="500">
          <cell r="B500" t="str">
            <v>레미콘</v>
          </cell>
          <cell r="C500" t="str">
            <v>40-160- 8</v>
          </cell>
          <cell r="D500" t="str">
            <v>M3</v>
          </cell>
          <cell r="E500">
            <v>81</v>
          </cell>
        </row>
        <row r="502">
          <cell r="B502" t="str">
            <v>철  근</v>
          </cell>
          <cell r="C502" t="str">
            <v>D 10 M/M</v>
          </cell>
          <cell r="D502" t="str">
            <v>TON</v>
          </cell>
          <cell r="E502">
            <v>1.0580000000000001</v>
          </cell>
        </row>
        <row r="503">
          <cell r="B503" t="str">
            <v>철  근</v>
          </cell>
          <cell r="C503" t="str">
            <v>D 13 M/M</v>
          </cell>
          <cell r="D503" t="str">
            <v>TON</v>
          </cell>
          <cell r="E503">
            <v>1.1719999999999999</v>
          </cell>
        </row>
        <row r="504">
          <cell r="B504" t="str">
            <v>철  근</v>
          </cell>
          <cell r="C504" t="str">
            <v>D 16 M/M 이상</v>
          </cell>
          <cell r="D504" t="str">
            <v>TON</v>
          </cell>
          <cell r="E504">
            <v>16.460999999999999</v>
          </cell>
        </row>
        <row r="505">
          <cell r="B505" t="str">
            <v>철  근</v>
          </cell>
          <cell r="C505" t="str">
            <v>H 13 M/M</v>
          </cell>
          <cell r="D505" t="str">
            <v>TON</v>
          </cell>
          <cell r="E505">
            <v>1.4710000000000001</v>
          </cell>
        </row>
        <row r="506">
          <cell r="B506" t="str">
            <v>철  근</v>
          </cell>
          <cell r="C506" t="str">
            <v>H 16 M/M 이상</v>
          </cell>
          <cell r="D506" t="str">
            <v>TON</v>
          </cell>
          <cell r="E506">
            <v>200.87</v>
          </cell>
        </row>
        <row r="507">
          <cell r="B507" t="str">
            <v>고  철</v>
          </cell>
          <cell r="D507" t="str">
            <v>TON</v>
          </cell>
          <cell r="E507">
            <v>6.63</v>
          </cell>
        </row>
        <row r="512">
          <cell r="B512" t="str">
            <v>구조물터파기</v>
          </cell>
          <cell r="C512" t="str">
            <v>(육상토사0-4M)</v>
          </cell>
          <cell r="D512" t="str">
            <v>M3</v>
          </cell>
          <cell r="E512">
            <v>4018</v>
          </cell>
        </row>
        <row r="513">
          <cell r="B513" t="str">
            <v>구조물터파기</v>
          </cell>
          <cell r="C513" t="str">
            <v>(육상토사4M이상)</v>
          </cell>
          <cell r="D513" t="str">
            <v>M3</v>
          </cell>
          <cell r="E513">
            <v>237</v>
          </cell>
        </row>
        <row r="514">
          <cell r="B514" t="str">
            <v>되메우기및다짐</v>
          </cell>
          <cell r="C514" t="str">
            <v>(인력50%+기계50%)</v>
          </cell>
          <cell r="D514" t="str">
            <v>M3</v>
          </cell>
          <cell r="E514">
            <v>2446</v>
          </cell>
        </row>
        <row r="515">
          <cell r="B515" t="str">
            <v>구조물뒷채움</v>
          </cell>
          <cell r="D515" t="str">
            <v>M3</v>
          </cell>
          <cell r="E515">
            <v>1865</v>
          </cell>
        </row>
        <row r="518">
          <cell r="B518" t="str">
            <v>콘크리트펌프카타설</v>
          </cell>
          <cell r="C518" t="str">
            <v>(철  근)</v>
          </cell>
          <cell r="D518" t="str">
            <v>M3</v>
          </cell>
          <cell r="E518">
            <v>2434</v>
          </cell>
        </row>
        <row r="519">
          <cell r="B519" t="str">
            <v>콘크리트타설</v>
          </cell>
          <cell r="C519" t="str">
            <v>(철근,VIB포함)</v>
          </cell>
          <cell r="D519" t="str">
            <v>M3</v>
          </cell>
          <cell r="E519">
            <v>42</v>
          </cell>
        </row>
        <row r="520">
          <cell r="B520" t="str">
            <v>콘크리트타설</v>
          </cell>
          <cell r="C520" t="str">
            <v>(무근,VIB포함)</v>
          </cell>
          <cell r="D520" t="str">
            <v>M3</v>
          </cell>
          <cell r="E520">
            <v>980</v>
          </cell>
        </row>
        <row r="521">
          <cell r="B521" t="str">
            <v>콘크리트타설</v>
          </cell>
          <cell r="C521" t="str">
            <v>(무근,VIB제외)</v>
          </cell>
          <cell r="D521" t="str">
            <v>M3</v>
          </cell>
          <cell r="E521">
            <v>18</v>
          </cell>
        </row>
        <row r="524">
          <cell r="B524" t="str">
            <v>합판거푸집</v>
          </cell>
          <cell r="C524" t="str">
            <v>(3회 0- 7M)</v>
          </cell>
          <cell r="D524" t="str">
            <v>M2</v>
          </cell>
          <cell r="E524">
            <v>1861</v>
          </cell>
        </row>
        <row r="525">
          <cell r="B525" t="str">
            <v>합판거푸집</v>
          </cell>
          <cell r="C525" t="str">
            <v>(3회 7-10M)</v>
          </cell>
          <cell r="D525" t="str">
            <v>M2</v>
          </cell>
          <cell r="E525">
            <v>396</v>
          </cell>
        </row>
        <row r="526">
          <cell r="B526" t="str">
            <v>합판거푸집</v>
          </cell>
          <cell r="C526" t="str">
            <v>(4 회)</v>
          </cell>
          <cell r="D526" t="str">
            <v>M2</v>
          </cell>
          <cell r="E526">
            <v>346</v>
          </cell>
        </row>
        <row r="527">
          <cell r="B527" t="str">
            <v>합판거푸집</v>
          </cell>
          <cell r="C527" t="str">
            <v>(6 회)</v>
          </cell>
          <cell r="D527" t="str">
            <v>M2</v>
          </cell>
          <cell r="E527">
            <v>357</v>
          </cell>
        </row>
        <row r="528">
          <cell r="B528" t="str">
            <v>문양거푸집(0-7M)</v>
          </cell>
          <cell r="C528" t="str">
            <v>20회사용</v>
          </cell>
          <cell r="D528" t="str">
            <v>M2</v>
          </cell>
          <cell r="E528">
            <v>516</v>
          </cell>
        </row>
        <row r="530">
          <cell r="B530" t="str">
            <v>강관비계</v>
          </cell>
          <cell r="D530" t="str">
            <v>M2</v>
          </cell>
          <cell r="E530">
            <v>1806</v>
          </cell>
        </row>
        <row r="532">
          <cell r="B532" t="str">
            <v>목재동바리</v>
          </cell>
          <cell r="C532" t="str">
            <v>(1 회)</v>
          </cell>
          <cell r="D532" t="str">
            <v>공/M3</v>
          </cell>
          <cell r="E532">
            <v>105</v>
          </cell>
        </row>
        <row r="533">
          <cell r="B533" t="str">
            <v>목재동바리</v>
          </cell>
          <cell r="C533" t="str">
            <v>(4 회)</v>
          </cell>
          <cell r="D533" t="str">
            <v>공/M3</v>
          </cell>
          <cell r="E533">
            <v>592</v>
          </cell>
        </row>
        <row r="534">
          <cell r="B534" t="str">
            <v>강관동바리</v>
          </cell>
          <cell r="C534" t="str">
            <v>(교량용)</v>
          </cell>
          <cell r="D534" t="str">
            <v>공/M3</v>
          </cell>
          <cell r="E534">
            <v>127</v>
          </cell>
        </row>
        <row r="537">
          <cell r="B537" t="str">
            <v>교좌장치(내줄IC교)</v>
          </cell>
          <cell r="C537" t="str">
            <v>135TON,고정단</v>
          </cell>
          <cell r="D537" t="str">
            <v>EA</v>
          </cell>
          <cell r="E537">
            <v>2</v>
          </cell>
        </row>
        <row r="538">
          <cell r="B538" t="str">
            <v>교좌장치(내줄IC교)</v>
          </cell>
          <cell r="C538" t="str">
            <v>135TON,종방향,가동</v>
          </cell>
          <cell r="D538" t="str">
            <v>EA</v>
          </cell>
          <cell r="E538">
            <v>2</v>
          </cell>
        </row>
        <row r="539">
          <cell r="B539" t="str">
            <v>교좌장치(내줄IC교)</v>
          </cell>
          <cell r="C539" t="str">
            <v>135TON,횡방향,가동</v>
          </cell>
          <cell r="D539" t="str">
            <v>EA</v>
          </cell>
          <cell r="E539">
            <v>8</v>
          </cell>
        </row>
        <row r="540">
          <cell r="B540" t="str">
            <v>교좌장치(내줄IC교)</v>
          </cell>
          <cell r="C540" t="str">
            <v>135TON,양방향,가동</v>
          </cell>
          <cell r="D540" t="str">
            <v>EA</v>
          </cell>
          <cell r="E540">
            <v>8</v>
          </cell>
        </row>
        <row r="542">
          <cell r="B542" t="str">
            <v>무수축몰탈</v>
          </cell>
          <cell r="D542" t="str">
            <v>M3</v>
          </cell>
          <cell r="E542">
            <v>0.872</v>
          </cell>
        </row>
        <row r="543">
          <cell r="B543" t="str">
            <v>무수축콘크리트</v>
          </cell>
          <cell r="D543" t="str">
            <v>M3</v>
          </cell>
          <cell r="E543">
            <v>7.3879999999999999</v>
          </cell>
        </row>
        <row r="545">
          <cell r="B545" t="str">
            <v>신축이음장치</v>
          </cell>
          <cell r="C545" t="str">
            <v>(KR-N035)</v>
          </cell>
          <cell r="D545" t="str">
            <v>M</v>
          </cell>
          <cell r="E545">
            <v>21.076000000000001</v>
          </cell>
        </row>
        <row r="546">
          <cell r="B546" t="str">
            <v>신축이음장치</v>
          </cell>
          <cell r="C546" t="str">
            <v>(KR-NO50)</v>
          </cell>
          <cell r="D546" t="str">
            <v>M</v>
          </cell>
          <cell r="E546">
            <v>21.076000000000001</v>
          </cell>
        </row>
        <row r="548">
          <cell r="B548" t="str">
            <v>슬라브양생</v>
          </cell>
          <cell r="C548" t="str">
            <v>(피막양생재)</v>
          </cell>
          <cell r="D548" t="str">
            <v>M2</v>
          </cell>
          <cell r="E548">
            <v>588</v>
          </cell>
        </row>
        <row r="549">
          <cell r="B549" t="str">
            <v>교면방수</v>
          </cell>
          <cell r="C549" t="str">
            <v>(도막방수)</v>
          </cell>
          <cell r="D549" t="str">
            <v>M2</v>
          </cell>
          <cell r="E549">
            <v>588</v>
          </cell>
        </row>
        <row r="550">
          <cell r="B550" t="str">
            <v>슬라브면고르기</v>
          </cell>
          <cell r="D550" t="str">
            <v>M2</v>
          </cell>
          <cell r="E550">
            <v>588</v>
          </cell>
        </row>
        <row r="551">
          <cell r="B551" t="str">
            <v>스페이샤설치</v>
          </cell>
          <cell r="D551" t="str">
            <v>M2</v>
          </cell>
          <cell r="E551">
            <v>4064</v>
          </cell>
        </row>
        <row r="552">
          <cell r="B552" t="str">
            <v>아스팔트방수</v>
          </cell>
          <cell r="C552" t="str">
            <v>(2 회)</v>
          </cell>
          <cell r="D552" t="str">
            <v>M2</v>
          </cell>
          <cell r="E552">
            <v>578</v>
          </cell>
        </row>
        <row r="554">
          <cell r="B554" t="str">
            <v>육교용집수구</v>
          </cell>
          <cell r="C554" t="str">
            <v>(주 철)</v>
          </cell>
          <cell r="D554" t="str">
            <v>EA</v>
          </cell>
          <cell r="E554">
            <v>2</v>
          </cell>
        </row>
        <row r="555">
          <cell r="B555" t="str">
            <v>직  관</v>
          </cell>
          <cell r="C555" t="str">
            <v>(Φ150)</v>
          </cell>
          <cell r="D555" t="str">
            <v>M</v>
          </cell>
          <cell r="E555">
            <v>9</v>
          </cell>
        </row>
        <row r="556">
          <cell r="B556" t="str">
            <v>정착부</v>
          </cell>
          <cell r="D556" t="str">
            <v>EA</v>
          </cell>
          <cell r="E556">
            <v>2</v>
          </cell>
        </row>
        <row r="558">
          <cell r="B558" t="str">
            <v>교명판</v>
          </cell>
          <cell r="D558" t="str">
            <v>EA</v>
          </cell>
          <cell r="E558">
            <v>4</v>
          </cell>
        </row>
        <row r="559">
          <cell r="B559" t="str">
            <v>설명판</v>
          </cell>
          <cell r="D559" t="str">
            <v>EA</v>
          </cell>
          <cell r="E559">
            <v>4</v>
          </cell>
        </row>
        <row r="560">
          <cell r="B560" t="str">
            <v>전선관설치</v>
          </cell>
          <cell r="C560" t="str">
            <v>(PVC,D150 M/M)</v>
          </cell>
          <cell r="D560" t="str">
            <v>M</v>
          </cell>
          <cell r="E560">
            <v>86</v>
          </cell>
        </row>
        <row r="561">
          <cell r="B561" t="str">
            <v>T.B.M 설치</v>
          </cell>
          <cell r="D561" t="str">
            <v>EA</v>
          </cell>
          <cell r="E561">
            <v>2</v>
          </cell>
        </row>
        <row r="563">
          <cell r="B563" t="str">
            <v>DOWEL BAR 설치</v>
          </cell>
          <cell r="C563" t="str">
            <v>(D25,L=600)</v>
          </cell>
          <cell r="D563" t="str">
            <v>EA</v>
          </cell>
          <cell r="E563">
            <v>104</v>
          </cell>
        </row>
        <row r="564">
          <cell r="B564" t="str">
            <v>DOWEL BAR 설치</v>
          </cell>
          <cell r="C564" t="str">
            <v>(D25,L=800)</v>
          </cell>
          <cell r="D564" t="str">
            <v>EA</v>
          </cell>
          <cell r="E564">
            <v>75</v>
          </cell>
        </row>
        <row r="567">
          <cell r="B567" t="str">
            <v>스치로폴</v>
          </cell>
          <cell r="C567" t="str">
            <v>(T=10 M/M)</v>
          </cell>
          <cell r="D567" t="str">
            <v>M2</v>
          </cell>
          <cell r="E567">
            <v>79</v>
          </cell>
        </row>
        <row r="568">
          <cell r="B568" t="str">
            <v>스치로폴</v>
          </cell>
          <cell r="C568" t="str">
            <v>(T=20 M/M)</v>
          </cell>
          <cell r="D568" t="str">
            <v>M2</v>
          </cell>
          <cell r="E568">
            <v>79</v>
          </cell>
        </row>
        <row r="570">
          <cell r="B570" t="str">
            <v>PVC PIPE 설치</v>
          </cell>
          <cell r="C570" t="str">
            <v>(D=100 M/M)</v>
          </cell>
          <cell r="D570" t="str">
            <v>M</v>
          </cell>
          <cell r="E570">
            <v>54</v>
          </cell>
        </row>
        <row r="571">
          <cell r="B571" t="str">
            <v>기초잡석부설및다짐</v>
          </cell>
          <cell r="D571" t="str">
            <v>M3</v>
          </cell>
          <cell r="E571">
            <v>83</v>
          </cell>
        </row>
        <row r="572">
          <cell r="B572" t="str">
            <v>부직포</v>
          </cell>
          <cell r="D572" t="str">
            <v>M2</v>
          </cell>
          <cell r="E572">
            <v>133</v>
          </cell>
        </row>
        <row r="573">
          <cell r="B573" t="str">
            <v>우레탄실란트</v>
          </cell>
          <cell r="D573" t="str">
            <v>KG</v>
          </cell>
          <cell r="E573">
            <v>45</v>
          </cell>
        </row>
        <row r="575">
          <cell r="B575" t="str">
            <v>P.S.C빔제작</v>
          </cell>
          <cell r="C575" t="str">
            <v>(L=30 M)</v>
          </cell>
          <cell r="D575" t="str">
            <v>본</v>
          </cell>
          <cell r="E575">
            <v>10</v>
          </cell>
        </row>
        <row r="576">
          <cell r="B576" t="str">
            <v>P.S.C빔운반및가설</v>
          </cell>
          <cell r="C576" t="str">
            <v>(L=30 M)</v>
          </cell>
          <cell r="D576" t="str">
            <v>본</v>
          </cell>
          <cell r="E576">
            <v>10</v>
          </cell>
        </row>
        <row r="579">
          <cell r="B579" t="str">
            <v>철근가공조립</v>
          </cell>
          <cell r="C579" t="str">
            <v>(간 단)</v>
          </cell>
          <cell r="D579" t="str">
            <v>TON</v>
          </cell>
          <cell r="E579">
            <v>1.25</v>
          </cell>
        </row>
        <row r="580">
          <cell r="B580" t="str">
            <v>철근가공조립</v>
          </cell>
          <cell r="C580" t="str">
            <v>(보 통)</v>
          </cell>
          <cell r="D580" t="str">
            <v>TON</v>
          </cell>
          <cell r="E580">
            <v>40.161000000000001</v>
          </cell>
        </row>
        <row r="581">
          <cell r="B581" t="str">
            <v>철근가공조립</v>
          </cell>
          <cell r="C581" t="str">
            <v>(복 잡)</v>
          </cell>
          <cell r="D581" t="str">
            <v>TON</v>
          </cell>
          <cell r="E581">
            <v>304.95600000000002</v>
          </cell>
        </row>
        <row r="584">
          <cell r="B584" t="str">
            <v>교대법면보호</v>
          </cell>
          <cell r="C584" t="str">
            <v>(기초및천단)</v>
          </cell>
          <cell r="D584" t="str">
            <v>M</v>
          </cell>
          <cell r="E584">
            <v>24</v>
          </cell>
        </row>
        <row r="585">
          <cell r="B585" t="str">
            <v>교대보호공</v>
          </cell>
          <cell r="C585" t="str">
            <v>(블럭:228*112*60)</v>
          </cell>
          <cell r="D585" t="str">
            <v>M2</v>
          </cell>
          <cell r="E585">
            <v>102</v>
          </cell>
        </row>
        <row r="586">
          <cell r="B586" t="str">
            <v>교대보호도수로</v>
          </cell>
          <cell r="C586" t="str">
            <v>(B=0.3M)</v>
          </cell>
          <cell r="D586" t="str">
            <v>M</v>
          </cell>
          <cell r="E586">
            <v>8</v>
          </cell>
        </row>
        <row r="587">
          <cell r="B587" t="str">
            <v>구조물뒷채움</v>
          </cell>
          <cell r="D587" t="str">
            <v>M3</v>
          </cell>
          <cell r="E587">
            <v>17</v>
          </cell>
        </row>
        <row r="588">
          <cell r="B588" t="str">
            <v>레미콘</v>
          </cell>
          <cell r="C588" t="str">
            <v>40-180-12</v>
          </cell>
          <cell r="D588" t="str">
            <v>M3</v>
          </cell>
          <cell r="E588">
            <v>2</v>
          </cell>
        </row>
        <row r="589">
          <cell r="B589" t="str">
            <v>레미콘</v>
          </cell>
          <cell r="C589" t="str">
            <v>40-160- 8</v>
          </cell>
          <cell r="D589" t="str">
            <v>M3</v>
          </cell>
          <cell r="E589">
            <v>17</v>
          </cell>
        </row>
        <row r="591">
          <cell r="B591" t="str">
            <v>스라브 NOTCH</v>
          </cell>
          <cell r="C591" t="str">
            <v>(알루미늄 30*20)</v>
          </cell>
          <cell r="D591" t="str">
            <v>M</v>
          </cell>
          <cell r="E591">
            <v>121</v>
          </cell>
        </row>
        <row r="592">
          <cell r="B592" t="str">
            <v>교대및교각번호판설치</v>
          </cell>
          <cell r="C592" t="str">
            <v>(600x600)</v>
          </cell>
          <cell r="D592" t="str">
            <v>EA</v>
          </cell>
          <cell r="E592">
            <v>4</v>
          </cell>
        </row>
        <row r="594">
          <cell r="B594" t="str">
            <v>시멘트운반</v>
          </cell>
          <cell r="C594" t="str">
            <v>(40 KG/대)</v>
          </cell>
          <cell r="D594" t="str">
            <v>대</v>
          </cell>
          <cell r="E594">
            <v>230</v>
          </cell>
        </row>
        <row r="595">
          <cell r="B595" t="str">
            <v>철근운반</v>
          </cell>
          <cell r="D595" t="str">
            <v>TON</v>
          </cell>
          <cell r="E595">
            <v>357</v>
          </cell>
        </row>
        <row r="598">
          <cell r="B598" t="str">
            <v>시멘트</v>
          </cell>
          <cell r="C598" t="str">
            <v>(40 KG/대)</v>
          </cell>
          <cell r="D598" t="str">
            <v>대</v>
          </cell>
          <cell r="E598">
            <v>230</v>
          </cell>
        </row>
        <row r="600">
          <cell r="B600" t="str">
            <v>레미콘</v>
          </cell>
          <cell r="C600" t="str">
            <v>25-350-12</v>
          </cell>
          <cell r="D600" t="str">
            <v>M3</v>
          </cell>
          <cell r="E600">
            <v>245</v>
          </cell>
        </row>
        <row r="601">
          <cell r="B601" t="str">
            <v>레미콘</v>
          </cell>
          <cell r="C601" t="str">
            <v>25-270-12</v>
          </cell>
          <cell r="D601" t="str">
            <v>M3</v>
          </cell>
          <cell r="E601">
            <v>413</v>
          </cell>
        </row>
        <row r="602">
          <cell r="B602" t="str">
            <v>레미콘</v>
          </cell>
          <cell r="C602" t="str">
            <v>25-240-12</v>
          </cell>
          <cell r="D602" t="str">
            <v>M3</v>
          </cell>
          <cell r="E602">
            <v>1799</v>
          </cell>
        </row>
        <row r="603">
          <cell r="B603" t="str">
            <v>레미콘</v>
          </cell>
          <cell r="C603" t="str">
            <v>25-210-12</v>
          </cell>
          <cell r="D603" t="str">
            <v>M3</v>
          </cell>
          <cell r="E603">
            <v>42</v>
          </cell>
        </row>
        <row r="604">
          <cell r="B604" t="str">
            <v>레미콘</v>
          </cell>
          <cell r="C604" t="str">
            <v>40-180-12</v>
          </cell>
          <cell r="D604" t="str">
            <v>M3</v>
          </cell>
          <cell r="E604">
            <v>1000</v>
          </cell>
        </row>
        <row r="605">
          <cell r="B605" t="str">
            <v>레미콘</v>
          </cell>
          <cell r="C605" t="str">
            <v>40-160- 8</v>
          </cell>
          <cell r="D605" t="str">
            <v>M3</v>
          </cell>
          <cell r="E605">
            <v>18</v>
          </cell>
        </row>
        <row r="607">
          <cell r="B607" t="str">
            <v>철  근</v>
          </cell>
          <cell r="C607" t="str">
            <v>D 10 M/M</v>
          </cell>
          <cell r="D607" t="str">
            <v>TON</v>
          </cell>
          <cell r="E607">
            <v>0.56699999999999995</v>
          </cell>
        </row>
        <row r="608">
          <cell r="B608" t="str">
            <v>철  근</v>
          </cell>
          <cell r="C608" t="str">
            <v>D 13 M/M</v>
          </cell>
          <cell r="D608" t="str">
            <v>TON</v>
          </cell>
          <cell r="E608">
            <v>4.0590000000000002</v>
          </cell>
        </row>
        <row r="609">
          <cell r="B609" t="str">
            <v>철  근</v>
          </cell>
          <cell r="C609" t="str">
            <v>D 16 M/M 이상</v>
          </cell>
          <cell r="D609" t="str">
            <v>TON</v>
          </cell>
          <cell r="E609">
            <v>279.39800000000002</v>
          </cell>
        </row>
        <row r="610">
          <cell r="B610" t="str">
            <v>철  근</v>
          </cell>
          <cell r="C610" t="str">
            <v>H 13 M/M</v>
          </cell>
          <cell r="D610" t="str">
            <v>TON</v>
          </cell>
          <cell r="E610">
            <v>18.431999999999999</v>
          </cell>
        </row>
        <row r="611">
          <cell r="B611" t="str">
            <v>철  근</v>
          </cell>
          <cell r="C611" t="str">
            <v>H 16 M/M 이상</v>
          </cell>
          <cell r="D611" t="str">
            <v>TON</v>
          </cell>
          <cell r="E611">
            <v>54.301000000000002</v>
          </cell>
        </row>
        <row r="612">
          <cell r="B612" t="str">
            <v>고  철</v>
          </cell>
          <cell r="D612" t="str">
            <v>TON</v>
          </cell>
          <cell r="E612">
            <v>10.702</v>
          </cell>
        </row>
        <row r="617">
          <cell r="B617" t="str">
            <v>구조물터파기</v>
          </cell>
          <cell r="C617" t="str">
            <v>(육상토사0-4M)</v>
          </cell>
          <cell r="D617" t="str">
            <v>M3</v>
          </cell>
          <cell r="E617">
            <v>3677</v>
          </cell>
        </row>
        <row r="618">
          <cell r="B618" t="str">
            <v>구조물터파기</v>
          </cell>
          <cell r="C618" t="str">
            <v>(육상토사4M이상)</v>
          </cell>
          <cell r="D618" t="str">
            <v>M3</v>
          </cell>
          <cell r="E618">
            <v>136</v>
          </cell>
        </row>
        <row r="619">
          <cell r="B619" t="str">
            <v>구조물터파기</v>
          </cell>
          <cell r="C619" t="str">
            <v>(육상리핑암0-4M)</v>
          </cell>
          <cell r="D619" t="str">
            <v>M3</v>
          </cell>
          <cell r="E619">
            <v>424</v>
          </cell>
        </row>
        <row r="620">
          <cell r="B620" t="str">
            <v>구조물터파기</v>
          </cell>
          <cell r="C620" t="str">
            <v>(육상리핑암4M이상)</v>
          </cell>
          <cell r="D620" t="str">
            <v>M3</v>
          </cell>
          <cell r="E620">
            <v>119</v>
          </cell>
        </row>
        <row r="621">
          <cell r="B621" t="str">
            <v>되메우기및다짐</v>
          </cell>
          <cell r="C621" t="str">
            <v>(인력50%+기계50%)</v>
          </cell>
          <cell r="D621" t="str">
            <v>M3</v>
          </cell>
          <cell r="E621">
            <v>2898</v>
          </cell>
        </row>
        <row r="622">
          <cell r="B622" t="str">
            <v>구조물뒷채움</v>
          </cell>
          <cell r="D622" t="str">
            <v>M3</v>
          </cell>
          <cell r="E622">
            <v>1386</v>
          </cell>
        </row>
        <row r="625">
          <cell r="B625" t="str">
            <v>콘크리트펌프카타설</v>
          </cell>
          <cell r="C625" t="str">
            <v>(철  근)</v>
          </cell>
          <cell r="D625" t="str">
            <v>M3</v>
          </cell>
          <cell r="E625">
            <v>4490</v>
          </cell>
        </row>
        <row r="626">
          <cell r="B626" t="str">
            <v>콘크리트타설</v>
          </cell>
          <cell r="C626" t="str">
            <v>(철근,VIB포함)</v>
          </cell>
          <cell r="D626" t="str">
            <v>M3</v>
          </cell>
          <cell r="E626">
            <v>72</v>
          </cell>
        </row>
        <row r="627">
          <cell r="B627" t="str">
            <v>콘크리트타설</v>
          </cell>
          <cell r="C627" t="str">
            <v>(무근,VIB포함)</v>
          </cell>
          <cell r="D627" t="str">
            <v>M3</v>
          </cell>
          <cell r="E627">
            <v>12</v>
          </cell>
        </row>
        <row r="628">
          <cell r="B628" t="str">
            <v>콘크리트타설</v>
          </cell>
          <cell r="C628" t="str">
            <v>(무근,VIB제외)</v>
          </cell>
          <cell r="D628" t="str">
            <v>M3</v>
          </cell>
          <cell r="E628">
            <v>105</v>
          </cell>
        </row>
        <row r="631">
          <cell r="B631" t="str">
            <v>합판거푸집</v>
          </cell>
          <cell r="C631" t="str">
            <v>(3회 0- 7M)</v>
          </cell>
          <cell r="D631" t="str">
            <v>M2</v>
          </cell>
          <cell r="E631">
            <v>3820</v>
          </cell>
        </row>
        <row r="632">
          <cell r="B632" t="str">
            <v>합판거푸집</v>
          </cell>
          <cell r="C632" t="str">
            <v>(3회 7-10M)</v>
          </cell>
          <cell r="D632" t="str">
            <v>M2</v>
          </cell>
          <cell r="E632">
            <v>203</v>
          </cell>
        </row>
        <row r="633">
          <cell r="B633" t="str">
            <v>합판거푸집</v>
          </cell>
          <cell r="C633" t="str">
            <v>(3회13-16M)</v>
          </cell>
          <cell r="D633" t="str">
            <v>M2</v>
          </cell>
          <cell r="E633">
            <v>296</v>
          </cell>
        </row>
        <row r="634">
          <cell r="B634" t="str">
            <v>합판거푸집</v>
          </cell>
          <cell r="C634" t="str">
            <v>(4 회)</v>
          </cell>
          <cell r="D634" t="str">
            <v>M2</v>
          </cell>
          <cell r="E634">
            <v>597</v>
          </cell>
        </row>
        <row r="635">
          <cell r="B635" t="str">
            <v>합판거푸집</v>
          </cell>
          <cell r="C635" t="str">
            <v>(6 회)</v>
          </cell>
          <cell r="D635" t="str">
            <v>M2</v>
          </cell>
          <cell r="E635">
            <v>28</v>
          </cell>
        </row>
        <row r="636">
          <cell r="B636" t="str">
            <v>강재거푸집</v>
          </cell>
          <cell r="C636" t="str">
            <v>STEEL 3.2m/m</v>
          </cell>
          <cell r="D636" t="str">
            <v>M2</v>
          </cell>
          <cell r="E636">
            <v>440</v>
          </cell>
        </row>
        <row r="637">
          <cell r="B637" t="str">
            <v>강재거푸집</v>
          </cell>
          <cell r="C637" t="str">
            <v>STEEL 3.2m/m(10-13)</v>
          </cell>
          <cell r="D637" t="str">
            <v>M2</v>
          </cell>
          <cell r="E637">
            <v>188</v>
          </cell>
        </row>
        <row r="638">
          <cell r="B638" t="str">
            <v>강재거푸집</v>
          </cell>
          <cell r="C638" t="str">
            <v>STEEL 3.2m/m(7-10)</v>
          </cell>
          <cell r="D638" t="str">
            <v>M2</v>
          </cell>
          <cell r="E638">
            <v>115</v>
          </cell>
        </row>
        <row r="640">
          <cell r="B640" t="str">
            <v>강관비계</v>
          </cell>
          <cell r="D640" t="str">
            <v>M2</v>
          </cell>
          <cell r="E640">
            <v>2900</v>
          </cell>
        </row>
        <row r="642">
          <cell r="B642" t="str">
            <v>목재동바리</v>
          </cell>
          <cell r="C642" t="str">
            <v>(4 회)</v>
          </cell>
          <cell r="D642" t="str">
            <v>공/M3</v>
          </cell>
          <cell r="E642">
            <v>1975</v>
          </cell>
        </row>
        <row r="643">
          <cell r="B643" t="str">
            <v>강관동바리</v>
          </cell>
          <cell r="C643" t="str">
            <v>(교량용)</v>
          </cell>
          <cell r="D643" t="str">
            <v>공/M3</v>
          </cell>
          <cell r="E643">
            <v>925</v>
          </cell>
        </row>
        <row r="644">
          <cell r="B644" t="str">
            <v>목재동바리</v>
          </cell>
          <cell r="C644" t="str">
            <v>(1 회)</v>
          </cell>
          <cell r="D644" t="str">
            <v>공/M3</v>
          </cell>
          <cell r="E644">
            <v>326</v>
          </cell>
        </row>
        <row r="647">
          <cell r="B647" t="str">
            <v>교좌장치(내줄교)</v>
          </cell>
          <cell r="C647" t="str">
            <v>135TON,고정단</v>
          </cell>
          <cell r="D647" t="str">
            <v>EA</v>
          </cell>
          <cell r="E647">
            <v>4</v>
          </cell>
        </row>
        <row r="648">
          <cell r="B648" t="str">
            <v>교좌장치(내줄교)</v>
          </cell>
          <cell r="C648" t="str">
            <v>135TON,종방향,가동단</v>
          </cell>
          <cell r="D648" t="str">
            <v>EA</v>
          </cell>
          <cell r="E648">
            <v>8</v>
          </cell>
        </row>
        <row r="649">
          <cell r="B649" t="str">
            <v>교좌장치(내줄교)</v>
          </cell>
          <cell r="C649" t="str">
            <v>135TON,횡방향,가동단</v>
          </cell>
          <cell r="D649" t="str">
            <v>EA</v>
          </cell>
          <cell r="E649">
            <v>18</v>
          </cell>
        </row>
        <row r="650">
          <cell r="B650" t="str">
            <v>교좌장치(내줄교)</v>
          </cell>
          <cell r="C650" t="str">
            <v>135TON,양방향,가동단</v>
          </cell>
          <cell r="D650" t="str">
            <v>EA</v>
          </cell>
          <cell r="E650">
            <v>36</v>
          </cell>
        </row>
        <row r="653">
          <cell r="B653" t="str">
            <v>신축이음장치</v>
          </cell>
          <cell r="C653" t="str">
            <v>(KR-NO50)</v>
          </cell>
          <cell r="D653" t="str">
            <v>M</v>
          </cell>
          <cell r="E653">
            <v>22.58</v>
          </cell>
        </row>
        <row r="654">
          <cell r="B654" t="str">
            <v>신축이음장치</v>
          </cell>
          <cell r="C654" t="str">
            <v>(KR-NO80)</v>
          </cell>
          <cell r="D654" t="str">
            <v>M</v>
          </cell>
          <cell r="E654">
            <v>22.58</v>
          </cell>
        </row>
        <row r="657">
          <cell r="B657" t="str">
            <v>P.S.C빔제작</v>
          </cell>
          <cell r="C657" t="str">
            <v>(L=30 M)</v>
          </cell>
          <cell r="D657" t="str">
            <v>본</v>
          </cell>
          <cell r="E657">
            <v>33</v>
          </cell>
        </row>
        <row r="658">
          <cell r="B658" t="str">
            <v>P.S.C빔운반및가설</v>
          </cell>
          <cell r="C658" t="str">
            <v>(L=30 M)</v>
          </cell>
          <cell r="D658" t="str">
            <v>본</v>
          </cell>
          <cell r="E658">
            <v>33</v>
          </cell>
        </row>
        <row r="661">
          <cell r="B661" t="str">
            <v>강관PILE자재비</v>
          </cell>
          <cell r="C661" t="str">
            <v>(φ508.0M/M,T=12M/M)</v>
          </cell>
          <cell r="D661" t="str">
            <v>M</v>
          </cell>
          <cell r="E661">
            <v>1170</v>
          </cell>
        </row>
        <row r="662">
          <cell r="B662" t="str">
            <v>강관PILE천공및항타</v>
          </cell>
          <cell r="C662" t="str">
            <v>(φ508M/M,토사,직항)</v>
          </cell>
          <cell r="D662" t="str">
            <v>M</v>
          </cell>
          <cell r="E662">
            <v>777.6</v>
          </cell>
        </row>
        <row r="663">
          <cell r="B663" t="str">
            <v>강관PILE천공및항타</v>
          </cell>
          <cell r="C663" t="str">
            <v>(φ508MM,풍화암,직항</v>
          </cell>
          <cell r="D663" t="str">
            <v>M</v>
          </cell>
          <cell r="E663">
            <v>144</v>
          </cell>
        </row>
        <row r="664">
          <cell r="B664" t="str">
            <v>강관PILE천공및항타</v>
          </cell>
          <cell r="C664" t="str">
            <v>Φ508MM,토사,경사항</v>
          </cell>
          <cell r="D664" t="str">
            <v>M</v>
          </cell>
          <cell r="E664">
            <v>194.4</v>
          </cell>
        </row>
        <row r="665">
          <cell r="B665" t="str">
            <v>강관PILE천공및항타</v>
          </cell>
          <cell r="C665" t="str">
            <v>φ508MM,풍화암경사항</v>
          </cell>
          <cell r="D665" t="str">
            <v>M</v>
          </cell>
          <cell r="E665">
            <v>36</v>
          </cell>
        </row>
        <row r="666">
          <cell r="B666" t="str">
            <v>두부및선단보강</v>
          </cell>
          <cell r="C666" t="str">
            <v>(φ508.0 M/M)</v>
          </cell>
          <cell r="D666" t="str">
            <v>EA</v>
          </cell>
          <cell r="E666">
            <v>90</v>
          </cell>
        </row>
        <row r="668">
          <cell r="B668" t="str">
            <v>슬라브양생</v>
          </cell>
          <cell r="C668" t="str">
            <v>(피막양생재)</v>
          </cell>
          <cell r="D668" t="str">
            <v>M2</v>
          </cell>
          <cell r="E668">
            <v>1996</v>
          </cell>
        </row>
        <row r="669">
          <cell r="B669" t="str">
            <v>교면방수</v>
          </cell>
          <cell r="C669" t="str">
            <v>(도막방수)</v>
          </cell>
          <cell r="D669" t="str">
            <v>M2</v>
          </cell>
          <cell r="E669">
            <v>1996</v>
          </cell>
        </row>
        <row r="670">
          <cell r="B670" t="str">
            <v>슬라브면고르기</v>
          </cell>
          <cell r="D670" t="str">
            <v>M2</v>
          </cell>
          <cell r="E670">
            <v>1996</v>
          </cell>
        </row>
        <row r="671">
          <cell r="B671" t="str">
            <v>스페이샤설치</v>
          </cell>
          <cell r="D671" t="str">
            <v>M2</v>
          </cell>
          <cell r="E671">
            <v>6084</v>
          </cell>
        </row>
        <row r="672">
          <cell r="B672" t="str">
            <v>아스팔트방수</v>
          </cell>
          <cell r="C672" t="str">
            <v>(2 회)</v>
          </cell>
          <cell r="D672" t="str">
            <v>M2</v>
          </cell>
          <cell r="E672">
            <v>464</v>
          </cell>
        </row>
        <row r="674">
          <cell r="B674" t="str">
            <v>하천용배수구</v>
          </cell>
          <cell r="C674" t="str">
            <v>(D165 M/M)</v>
          </cell>
          <cell r="D674" t="str">
            <v>M</v>
          </cell>
          <cell r="E674">
            <v>25</v>
          </cell>
        </row>
        <row r="675">
          <cell r="B675" t="str">
            <v>하천용집수구</v>
          </cell>
          <cell r="D675" t="str">
            <v>EA</v>
          </cell>
          <cell r="E675">
            <v>12</v>
          </cell>
        </row>
        <row r="677">
          <cell r="B677" t="str">
            <v>T.B.M 설치</v>
          </cell>
          <cell r="D677" t="str">
            <v>EA</v>
          </cell>
          <cell r="E677">
            <v>2</v>
          </cell>
        </row>
        <row r="678">
          <cell r="B678" t="str">
            <v>DOWEL BAR 설치</v>
          </cell>
          <cell r="C678" t="str">
            <v>(D25,L=600)</v>
          </cell>
          <cell r="D678" t="str">
            <v>EA</v>
          </cell>
          <cell r="E678">
            <v>109</v>
          </cell>
        </row>
        <row r="680">
          <cell r="B680" t="str">
            <v>스치로폴</v>
          </cell>
          <cell r="C680" t="str">
            <v>(T=10 M/M)</v>
          </cell>
          <cell r="D680" t="str">
            <v>M2</v>
          </cell>
          <cell r="E680">
            <v>125</v>
          </cell>
        </row>
        <row r="681">
          <cell r="B681" t="str">
            <v>스치로폴</v>
          </cell>
          <cell r="C681" t="str">
            <v>(T=20 M/M)</v>
          </cell>
          <cell r="D681" t="str">
            <v>M2</v>
          </cell>
          <cell r="E681">
            <v>46</v>
          </cell>
        </row>
        <row r="683">
          <cell r="B683" t="str">
            <v>교명판</v>
          </cell>
          <cell r="D683" t="str">
            <v>EA</v>
          </cell>
          <cell r="E683">
            <v>4</v>
          </cell>
        </row>
        <row r="684">
          <cell r="B684" t="str">
            <v>설명판</v>
          </cell>
          <cell r="D684" t="str">
            <v>EA</v>
          </cell>
          <cell r="E684">
            <v>4</v>
          </cell>
        </row>
        <row r="685">
          <cell r="B685" t="str">
            <v>교명주</v>
          </cell>
          <cell r="C685" t="str">
            <v>(화강암)</v>
          </cell>
          <cell r="D685" t="str">
            <v>EA</v>
          </cell>
          <cell r="E685">
            <v>4</v>
          </cell>
        </row>
        <row r="686">
          <cell r="B686" t="str">
            <v>전선관설치</v>
          </cell>
          <cell r="C686" t="str">
            <v>(PVC,D150 M/M)</v>
          </cell>
          <cell r="D686" t="str">
            <v>M</v>
          </cell>
          <cell r="E686">
            <v>200</v>
          </cell>
        </row>
        <row r="687">
          <cell r="B687" t="str">
            <v>스라브 NOTCH</v>
          </cell>
          <cell r="C687" t="str">
            <v>(알루미늄 30*20)</v>
          </cell>
          <cell r="D687" t="str">
            <v>M</v>
          </cell>
          <cell r="E687">
            <v>360</v>
          </cell>
        </row>
        <row r="689">
          <cell r="B689" t="str">
            <v>철근가공조립</v>
          </cell>
          <cell r="C689" t="str">
            <v>(간 단)</v>
          </cell>
          <cell r="D689" t="str">
            <v>TON</v>
          </cell>
          <cell r="E689">
            <v>0.91800000000000004</v>
          </cell>
        </row>
        <row r="690">
          <cell r="B690" t="str">
            <v>철근가공조립</v>
          </cell>
          <cell r="C690" t="str">
            <v>(보 통)</v>
          </cell>
          <cell r="D690" t="str">
            <v>TON</v>
          </cell>
          <cell r="E690">
            <v>41.698</v>
          </cell>
        </row>
        <row r="691">
          <cell r="B691" t="str">
            <v>철근가공조립</v>
          </cell>
          <cell r="C691" t="str">
            <v>(복 잡)</v>
          </cell>
          <cell r="D691" t="str">
            <v>TON</v>
          </cell>
          <cell r="E691">
            <v>617.83699999999999</v>
          </cell>
        </row>
        <row r="693">
          <cell r="B693" t="str">
            <v>무수축몰탈</v>
          </cell>
          <cell r="D693" t="str">
            <v>M3</v>
          </cell>
          <cell r="E693">
            <v>2.9620000000000002</v>
          </cell>
        </row>
        <row r="694">
          <cell r="B694" t="str">
            <v>무수축콘크리트</v>
          </cell>
          <cell r="D694" t="str">
            <v>M3</v>
          </cell>
          <cell r="E694">
            <v>7.8959999999999999</v>
          </cell>
        </row>
        <row r="695">
          <cell r="B695" t="str">
            <v>교대및교각번호판설치</v>
          </cell>
          <cell r="C695" t="str">
            <v>(600x600)</v>
          </cell>
          <cell r="D695" t="str">
            <v>EA</v>
          </cell>
          <cell r="E695">
            <v>8</v>
          </cell>
        </row>
        <row r="696">
          <cell r="B696" t="str">
            <v>교량안전점검 통로</v>
          </cell>
          <cell r="C696" t="str">
            <v>(내줄교)</v>
          </cell>
          <cell r="D696" t="str">
            <v>PS</v>
          </cell>
          <cell r="E696">
            <v>1</v>
          </cell>
        </row>
        <row r="698">
          <cell r="B698" t="str">
            <v>교대법면보호</v>
          </cell>
          <cell r="C698" t="str">
            <v>(기초및천단)</v>
          </cell>
          <cell r="D698" t="str">
            <v>M</v>
          </cell>
          <cell r="E698">
            <v>29</v>
          </cell>
        </row>
        <row r="699">
          <cell r="B699" t="str">
            <v>교대보호공</v>
          </cell>
          <cell r="C699" t="str">
            <v>(블럭:228*112*60)</v>
          </cell>
          <cell r="D699" t="str">
            <v>M2</v>
          </cell>
          <cell r="E699">
            <v>652</v>
          </cell>
        </row>
        <row r="700">
          <cell r="B700" t="str">
            <v>교대보호도수로</v>
          </cell>
          <cell r="C700" t="str">
            <v>(B=0.3M)</v>
          </cell>
          <cell r="D700" t="str">
            <v>M</v>
          </cell>
          <cell r="E700">
            <v>22</v>
          </cell>
        </row>
        <row r="701">
          <cell r="B701" t="str">
            <v>구조물뒷채움</v>
          </cell>
          <cell r="D701" t="str">
            <v>M3</v>
          </cell>
          <cell r="E701">
            <v>20</v>
          </cell>
        </row>
        <row r="702">
          <cell r="B702" t="str">
            <v>레미콘</v>
          </cell>
          <cell r="C702" t="str">
            <v>40-180-12</v>
          </cell>
          <cell r="D702" t="str">
            <v>M3</v>
          </cell>
          <cell r="E702">
            <v>6</v>
          </cell>
        </row>
        <row r="703">
          <cell r="B703" t="str">
            <v>레미콘</v>
          </cell>
          <cell r="C703" t="str">
            <v>40-160- 8</v>
          </cell>
          <cell r="D703" t="str">
            <v>M3</v>
          </cell>
          <cell r="E703">
            <v>77</v>
          </cell>
        </row>
        <row r="705">
          <cell r="B705" t="str">
            <v>물푸기</v>
          </cell>
          <cell r="C705" t="str">
            <v>(교  량)</v>
          </cell>
          <cell r="D705" t="str">
            <v>HR</v>
          </cell>
          <cell r="E705">
            <v>64</v>
          </cell>
        </row>
        <row r="707">
          <cell r="B707" t="str">
            <v>철근운반</v>
          </cell>
          <cell r="D707" t="str">
            <v>TON</v>
          </cell>
          <cell r="E707">
            <v>674</v>
          </cell>
        </row>
        <row r="708">
          <cell r="B708" t="str">
            <v>시멘트운반</v>
          </cell>
          <cell r="C708" t="str">
            <v>(40 KG/대)</v>
          </cell>
          <cell r="D708" t="str">
            <v>대</v>
          </cell>
          <cell r="E708">
            <v>509</v>
          </cell>
        </row>
        <row r="712">
          <cell r="B712" t="str">
            <v>레미콘</v>
          </cell>
          <cell r="C712" t="str">
            <v>25-350-12</v>
          </cell>
          <cell r="D712" t="str">
            <v>M3</v>
          </cell>
          <cell r="E712">
            <v>811</v>
          </cell>
        </row>
        <row r="713">
          <cell r="B713" t="str">
            <v>레미콘</v>
          </cell>
          <cell r="C713" t="str">
            <v>25-270-12</v>
          </cell>
          <cell r="D713" t="str">
            <v>M3</v>
          </cell>
          <cell r="E713">
            <v>945</v>
          </cell>
        </row>
        <row r="714">
          <cell r="B714" t="str">
            <v>레미콘</v>
          </cell>
          <cell r="C714" t="str">
            <v>25-240-12</v>
          </cell>
          <cell r="D714" t="str">
            <v>M3</v>
          </cell>
          <cell r="E714">
            <v>2778</v>
          </cell>
        </row>
        <row r="715">
          <cell r="B715" t="str">
            <v>레미콘</v>
          </cell>
          <cell r="C715" t="str">
            <v>25-210-12</v>
          </cell>
          <cell r="D715" t="str">
            <v>M3</v>
          </cell>
          <cell r="E715">
            <v>74</v>
          </cell>
        </row>
        <row r="716">
          <cell r="B716" t="str">
            <v>레미콘</v>
          </cell>
          <cell r="C716" t="str">
            <v>40-180-12</v>
          </cell>
          <cell r="D716" t="str">
            <v>M3</v>
          </cell>
          <cell r="E716">
            <v>12</v>
          </cell>
        </row>
        <row r="717">
          <cell r="B717" t="str">
            <v>레미콘</v>
          </cell>
          <cell r="C717" t="str">
            <v>40-160- 8</v>
          </cell>
          <cell r="D717" t="str">
            <v>M3</v>
          </cell>
          <cell r="E717">
            <v>107</v>
          </cell>
        </row>
        <row r="719">
          <cell r="B719" t="str">
            <v>철  근</v>
          </cell>
          <cell r="C719" t="str">
            <v>D 10 M/M</v>
          </cell>
          <cell r="D719" t="str">
            <v>TON</v>
          </cell>
          <cell r="E719">
            <v>1.869</v>
          </cell>
        </row>
        <row r="720">
          <cell r="B720" t="str">
            <v>철  근</v>
          </cell>
          <cell r="C720" t="str">
            <v>D 13 M/M</v>
          </cell>
          <cell r="D720" t="str">
            <v>TON</v>
          </cell>
          <cell r="E720">
            <v>4.1959999999999997</v>
          </cell>
        </row>
        <row r="721">
          <cell r="B721" t="str">
            <v>철  근</v>
          </cell>
          <cell r="C721" t="str">
            <v>D 16 M/M 이상</v>
          </cell>
          <cell r="D721" t="str">
            <v>TON</v>
          </cell>
          <cell r="E721">
            <v>510.96600000000001</v>
          </cell>
        </row>
        <row r="722">
          <cell r="B722" t="str">
            <v>철  근</v>
          </cell>
          <cell r="C722" t="str">
            <v>H 13 M/M</v>
          </cell>
          <cell r="D722" t="str">
            <v>TON</v>
          </cell>
          <cell r="E722">
            <v>39.258000000000003</v>
          </cell>
        </row>
        <row r="723">
          <cell r="B723" t="str">
            <v>철  근</v>
          </cell>
          <cell r="C723" t="str">
            <v>H 16 M/M 이상</v>
          </cell>
          <cell r="D723" t="str">
            <v>TON</v>
          </cell>
          <cell r="E723">
            <v>123.97799999999999</v>
          </cell>
        </row>
        <row r="724">
          <cell r="B724" t="str">
            <v>고  철</v>
          </cell>
          <cell r="D724" t="str">
            <v>TON</v>
          </cell>
          <cell r="E724">
            <v>20.408000000000001</v>
          </cell>
        </row>
        <row r="729">
          <cell r="B729" t="str">
            <v>구조물터파기</v>
          </cell>
          <cell r="C729" t="str">
            <v>(육상토사0-4M)</v>
          </cell>
          <cell r="D729" t="str">
            <v>M3</v>
          </cell>
          <cell r="E729">
            <v>149</v>
          </cell>
        </row>
        <row r="730">
          <cell r="B730" t="str">
            <v>되메우기및다짐</v>
          </cell>
          <cell r="C730" t="str">
            <v>(인력50%+기계50%)</v>
          </cell>
          <cell r="D730" t="str">
            <v>M3</v>
          </cell>
          <cell r="E730">
            <v>60</v>
          </cell>
        </row>
        <row r="731">
          <cell r="B731" t="str">
            <v>구조물뒷채움</v>
          </cell>
          <cell r="D731" t="str">
            <v>M3</v>
          </cell>
          <cell r="E731">
            <v>1365</v>
          </cell>
        </row>
        <row r="734">
          <cell r="B734" t="str">
            <v>콘크리트펌프카타설</v>
          </cell>
          <cell r="C734" t="str">
            <v>(철  근)</v>
          </cell>
          <cell r="D734" t="str">
            <v>M3</v>
          </cell>
          <cell r="E734">
            <v>1760</v>
          </cell>
        </row>
        <row r="735">
          <cell r="B735" t="str">
            <v>콘크리트타설</v>
          </cell>
          <cell r="C735" t="str">
            <v>(철근,VIB포함)</v>
          </cell>
          <cell r="D735" t="str">
            <v>M3</v>
          </cell>
          <cell r="E735">
            <v>30</v>
          </cell>
        </row>
        <row r="736">
          <cell r="B736" t="str">
            <v>콘크리트타설</v>
          </cell>
          <cell r="C736" t="str">
            <v>(무근,VIB제외)</v>
          </cell>
          <cell r="D736" t="str">
            <v>M3</v>
          </cell>
          <cell r="E736">
            <v>67</v>
          </cell>
        </row>
        <row r="739">
          <cell r="B739" t="str">
            <v>합판거푸집</v>
          </cell>
          <cell r="C739" t="str">
            <v>(3회 0- 7M)</v>
          </cell>
          <cell r="D739" t="str">
            <v>M2</v>
          </cell>
          <cell r="E739">
            <v>1394</v>
          </cell>
        </row>
        <row r="740">
          <cell r="B740" t="str">
            <v>합판거푸집</v>
          </cell>
          <cell r="C740" t="str">
            <v>(3회 7-10M)</v>
          </cell>
          <cell r="D740" t="str">
            <v>M2</v>
          </cell>
          <cell r="E740">
            <v>277</v>
          </cell>
        </row>
        <row r="741">
          <cell r="B741" t="str">
            <v>합판거푸집</v>
          </cell>
          <cell r="C741" t="str">
            <v>(4 회)</v>
          </cell>
          <cell r="D741" t="str">
            <v>M2</v>
          </cell>
          <cell r="E741">
            <v>241</v>
          </cell>
        </row>
        <row r="742">
          <cell r="B742" t="str">
            <v>합판거푸집</v>
          </cell>
          <cell r="C742" t="str">
            <v>(6 회)</v>
          </cell>
          <cell r="D742" t="str">
            <v>M2</v>
          </cell>
          <cell r="E742">
            <v>20</v>
          </cell>
        </row>
        <row r="743">
          <cell r="B743" t="str">
            <v>문양거푸집(0-7M)</v>
          </cell>
          <cell r="C743" t="str">
            <v>20회사용</v>
          </cell>
          <cell r="D743" t="str">
            <v>M2</v>
          </cell>
          <cell r="E743">
            <v>327</v>
          </cell>
        </row>
        <row r="745">
          <cell r="B745" t="str">
            <v>강관비계</v>
          </cell>
          <cell r="D745" t="str">
            <v>M2</v>
          </cell>
          <cell r="E745">
            <v>1255</v>
          </cell>
        </row>
        <row r="747">
          <cell r="B747" t="str">
            <v>목재동바리</v>
          </cell>
          <cell r="C747" t="str">
            <v>(4 회)</v>
          </cell>
          <cell r="D747" t="str">
            <v>공/M3</v>
          </cell>
          <cell r="E747">
            <v>593</v>
          </cell>
        </row>
        <row r="748">
          <cell r="B748" t="str">
            <v>강관동바리</v>
          </cell>
          <cell r="C748" t="str">
            <v>(교량용)</v>
          </cell>
          <cell r="D748" t="str">
            <v>공/M3</v>
          </cell>
          <cell r="E748">
            <v>161</v>
          </cell>
        </row>
        <row r="749">
          <cell r="B749" t="str">
            <v>목재동바리</v>
          </cell>
          <cell r="C749" t="str">
            <v>(1 회)</v>
          </cell>
          <cell r="D749" t="str">
            <v>공/M3</v>
          </cell>
          <cell r="E749">
            <v>105</v>
          </cell>
        </row>
        <row r="752">
          <cell r="B752" t="str">
            <v>교좌장치(신전IC교)</v>
          </cell>
          <cell r="C752" t="str">
            <v>135TON,고정단</v>
          </cell>
          <cell r="D752" t="str">
            <v>EA</v>
          </cell>
          <cell r="E752">
            <v>2</v>
          </cell>
        </row>
        <row r="753">
          <cell r="B753" t="str">
            <v>교좌장치(신전IC교)</v>
          </cell>
          <cell r="C753" t="str">
            <v>135TON,종방향,가동단</v>
          </cell>
          <cell r="D753" t="str">
            <v>EA</v>
          </cell>
          <cell r="E753">
            <v>2</v>
          </cell>
        </row>
        <row r="754">
          <cell r="B754" t="str">
            <v>교좌장치(신전IC교)</v>
          </cell>
          <cell r="C754" t="str">
            <v>135TON,횡방향,가동단</v>
          </cell>
          <cell r="D754" t="str">
            <v>EA</v>
          </cell>
          <cell r="E754">
            <v>8</v>
          </cell>
        </row>
        <row r="755">
          <cell r="B755" t="str">
            <v>교좌장치(신전IC교)</v>
          </cell>
          <cell r="C755" t="str">
            <v>135TON,양방향,가동단</v>
          </cell>
          <cell r="D755" t="str">
            <v>EA</v>
          </cell>
          <cell r="E755">
            <v>8</v>
          </cell>
        </row>
        <row r="758">
          <cell r="B758" t="str">
            <v>신축이음장치</v>
          </cell>
          <cell r="C758" t="str">
            <v>(KR-N035)</v>
          </cell>
          <cell r="D758" t="str">
            <v>M</v>
          </cell>
          <cell r="E758">
            <v>19.829999999999998</v>
          </cell>
        </row>
        <row r="759">
          <cell r="B759" t="str">
            <v>신축이음장치</v>
          </cell>
          <cell r="C759" t="str">
            <v>(KR-NO50)</v>
          </cell>
          <cell r="D759" t="str">
            <v>M</v>
          </cell>
          <cell r="E759">
            <v>19.829999999999998</v>
          </cell>
        </row>
        <row r="762">
          <cell r="B762" t="str">
            <v>P.S.C빔제작</v>
          </cell>
          <cell r="C762" t="str">
            <v>(L=30 M)</v>
          </cell>
          <cell r="D762" t="str">
            <v>본</v>
          </cell>
          <cell r="E762">
            <v>10</v>
          </cell>
        </row>
        <row r="763">
          <cell r="B763" t="str">
            <v>P.S.C빔운반및가설</v>
          </cell>
          <cell r="C763" t="str">
            <v>(L=30 M)</v>
          </cell>
          <cell r="D763" t="str">
            <v>본</v>
          </cell>
          <cell r="E763">
            <v>10</v>
          </cell>
        </row>
        <row r="766">
          <cell r="B766" t="str">
            <v>강관PILE자재비</v>
          </cell>
          <cell r="C766" t="str">
            <v>(φ508.0M/M,T=12M/M)</v>
          </cell>
          <cell r="D766" t="str">
            <v>M</v>
          </cell>
          <cell r="E766">
            <v>1300</v>
          </cell>
        </row>
        <row r="767">
          <cell r="B767" t="str">
            <v>강관PILE천공및항타</v>
          </cell>
          <cell r="C767" t="str">
            <v>(φ508M/M,토사,직항)</v>
          </cell>
          <cell r="D767" t="str">
            <v>M</v>
          </cell>
          <cell r="E767">
            <v>1015</v>
          </cell>
        </row>
        <row r="768">
          <cell r="B768" t="str">
            <v>강관PILE천공및항타</v>
          </cell>
          <cell r="C768" t="str">
            <v>(φ508MM,풍화암,직항</v>
          </cell>
          <cell r="D768" t="str">
            <v>M</v>
          </cell>
          <cell r="E768">
            <v>265</v>
          </cell>
        </row>
        <row r="769">
          <cell r="B769" t="str">
            <v>두부및선단보강</v>
          </cell>
          <cell r="C769" t="str">
            <v>(φ508.0 M/M)</v>
          </cell>
          <cell r="D769" t="str">
            <v>EA</v>
          </cell>
          <cell r="E769">
            <v>100</v>
          </cell>
        </row>
        <row r="771">
          <cell r="B771" t="str">
            <v>슬라브양생</v>
          </cell>
          <cell r="C771" t="str">
            <v>(피막양생재)</v>
          </cell>
          <cell r="D771" t="str">
            <v>M2</v>
          </cell>
          <cell r="E771">
            <v>583</v>
          </cell>
        </row>
        <row r="772">
          <cell r="B772" t="str">
            <v>교면방수</v>
          </cell>
          <cell r="C772" t="str">
            <v>(도막방수)</v>
          </cell>
          <cell r="D772" t="str">
            <v>M2</v>
          </cell>
          <cell r="E772">
            <v>583</v>
          </cell>
        </row>
        <row r="773">
          <cell r="B773" t="str">
            <v>슬라브면고르기</v>
          </cell>
          <cell r="D773" t="str">
            <v>M2</v>
          </cell>
          <cell r="E773">
            <v>583</v>
          </cell>
        </row>
        <row r="774">
          <cell r="B774" t="str">
            <v>스페이샤설치</v>
          </cell>
          <cell r="D774" t="str">
            <v>M2</v>
          </cell>
          <cell r="E774">
            <v>2673</v>
          </cell>
        </row>
        <row r="775">
          <cell r="B775" t="str">
            <v>아스팔트방수</v>
          </cell>
          <cell r="C775" t="str">
            <v>(2 회)</v>
          </cell>
          <cell r="D775" t="str">
            <v>M2</v>
          </cell>
          <cell r="E775">
            <v>471</v>
          </cell>
        </row>
        <row r="777">
          <cell r="B777" t="str">
            <v>육교용집수구</v>
          </cell>
          <cell r="C777" t="str">
            <v>(주 철)</v>
          </cell>
          <cell r="D777" t="str">
            <v>EA</v>
          </cell>
          <cell r="E777">
            <v>2</v>
          </cell>
        </row>
        <row r="778">
          <cell r="B778" t="str">
            <v>직  관</v>
          </cell>
          <cell r="C778" t="str">
            <v>(Φ150)</v>
          </cell>
          <cell r="D778" t="str">
            <v>M</v>
          </cell>
          <cell r="E778">
            <v>11</v>
          </cell>
        </row>
        <row r="779">
          <cell r="B779" t="str">
            <v>정착부</v>
          </cell>
          <cell r="D779" t="str">
            <v>EA</v>
          </cell>
          <cell r="E779">
            <v>3</v>
          </cell>
        </row>
        <row r="781">
          <cell r="B781" t="str">
            <v>T.B.M 설치</v>
          </cell>
          <cell r="D781" t="str">
            <v>EA</v>
          </cell>
          <cell r="E781">
            <v>2</v>
          </cell>
        </row>
        <row r="782">
          <cell r="B782" t="str">
            <v>DOWEL BAR 설치</v>
          </cell>
          <cell r="C782" t="str">
            <v>(D25,L=600)</v>
          </cell>
          <cell r="D782" t="str">
            <v>EA</v>
          </cell>
          <cell r="E782">
            <v>96</v>
          </cell>
        </row>
        <row r="784">
          <cell r="B784" t="str">
            <v>스치로폴</v>
          </cell>
          <cell r="C784" t="str">
            <v>(T=10 M/M)</v>
          </cell>
          <cell r="D784" t="str">
            <v>M2</v>
          </cell>
          <cell r="E784">
            <v>63</v>
          </cell>
        </row>
        <row r="785">
          <cell r="B785" t="str">
            <v>스치로폴</v>
          </cell>
          <cell r="C785" t="str">
            <v>(T=20 M/M)</v>
          </cell>
          <cell r="D785" t="str">
            <v>M2</v>
          </cell>
          <cell r="E785">
            <v>40</v>
          </cell>
        </row>
        <row r="787">
          <cell r="B787" t="str">
            <v>교명판</v>
          </cell>
          <cell r="D787" t="str">
            <v>EA</v>
          </cell>
          <cell r="E787">
            <v>4</v>
          </cell>
        </row>
        <row r="788">
          <cell r="B788" t="str">
            <v>설명판</v>
          </cell>
          <cell r="D788" t="str">
            <v>EA</v>
          </cell>
          <cell r="E788">
            <v>4</v>
          </cell>
        </row>
        <row r="789">
          <cell r="B789" t="str">
            <v>교명주</v>
          </cell>
          <cell r="C789" t="str">
            <v>(화강암)</v>
          </cell>
          <cell r="D789" t="str">
            <v>EA</v>
          </cell>
          <cell r="E789">
            <v>4</v>
          </cell>
        </row>
        <row r="790">
          <cell r="B790" t="str">
            <v>전선관설치</v>
          </cell>
          <cell r="C790" t="str">
            <v>(PVC,D150 M/M)</v>
          </cell>
          <cell r="D790" t="str">
            <v>M</v>
          </cell>
          <cell r="E790">
            <v>84</v>
          </cell>
        </row>
        <row r="791">
          <cell r="B791" t="str">
            <v>스라브 NOTCH</v>
          </cell>
          <cell r="C791" t="str">
            <v>(알루미늄 30*20)</v>
          </cell>
          <cell r="D791" t="str">
            <v>M</v>
          </cell>
          <cell r="E791">
            <v>120</v>
          </cell>
        </row>
        <row r="793">
          <cell r="B793" t="str">
            <v>철근가공조립</v>
          </cell>
          <cell r="C793" t="str">
            <v>(간 단)</v>
          </cell>
          <cell r="D793" t="str">
            <v>TON</v>
          </cell>
          <cell r="E793">
            <v>0.80800000000000005</v>
          </cell>
        </row>
        <row r="794">
          <cell r="B794" t="str">
            <v>철근가공조립</v>
          </cell>
          <cell r="C794" t="str">
            <v>(보 통)</v>
          </cell>
          <cell r="D794" t="str">
            <v>TON</v>
          </cell>
          <cell r="E794">
            <v>33.411999999999999</v>
          </cell>
        </row>
        <row r="795">
          <cell r="B795" t="str">
            <v>철근가공조립</v>
          </cell>
          <cell r="C795" t="str">
            <v>(복 잡)</v>
          </cell>
          <cell r="D795" t="str">
            <v>TON</v>
          </cell>
          <cell r="E795">
            <v>217.43100000000001</v>
          </cell>
        </row>
        <row r="797">
          <cell r="B797" t="str">
            <v>무수축몰탈</v>
          </cell>
          <cell r="D797" t="str">
            <v>M3</v>
          </cell>
          <cell r="E797">
            <v>0.872</v>
          </cell>
        </row>
        <row r="798">
          <cell r="B798" t="str">
            <v>무수축콘크리트</v>
          </cell>
          <cell r="D798" t="str">
            <v>M3</v>
          </cell>
          <cell r="E798">
            <v>6.944</v>
          </cell>
        </row>
        <row r="799">
          <cell r="B799" t="str">
            <v>교대및교각번호판설치</v>
          </cell>
          <cell r="C799" t="str">
            <v>(600x600)</v>
          </cell>
          <cell r="D799" t="str">
            <v>EA</v>
          </cell>
          <cell r="E799">
            <v>4</v>
          </cell>
        </row>
        <row r="801">
          <cell r="B801" t="str">
            <v>교대법면보호</v>
          </cell>
          <cell r="C801" t="str">
            <v>(기초및천단)</v>
          </cell>
          <cell r="D801" t="str">
            <v>M</v>
          </cell>
          <cell r="E801">
            <v>45</v>
          </cell>
        </row>
        <row r="802">
          <cell r="B802" t="str">
            <v>교대보호공</v>
          </cell>
          <cell r="C802" t="str">
            <v>(블럭:228*112*60)</v>
          </cell>
          <cell r="D802" t="str">
            <v>M2</v>
          </cell>
          <cell r="E802">
            <v>314</v>
          </cell>
        </row>
        <row r="803">
          <cell r="B803" t="str">
            <v>교대보호도수로</v>
          </cell>
          <cell r="C803" t="str">
            <v>(B=0.3M)</v>
          </cell>
          <cell r="D803" t="str">
            <v>M</v>
          </cell>
          <cell r="E803">
            <v>14</v>
          </cell>
        </row>
        <row r="804">
          <cell r="B804" t="str">
            <v>구조물뒷채움</v>
          </cell>
          <cell r="D804" t="str">
            <v>M3</v>
          </cell>
          <cell r="E804">
            <v>31</v>
          </cell>
        </row>
        <row r="805">
          <cell r="B805" t="str">
            <v>레미콘</v>
          </cell>
          <cell r="C805" t="str">
            <v>40-180-12</v>
          </cell>
          <cell r="D805" t="str">
            <v>M3</v>
          </cell>
          <cell r="E805">
            <v>4</v>
          </cell>
        </row>
        <row r="806">
          <cell r="B806" t="str">
            <v>레미콘</v>
          </cell>
          <cell r="C806" t="str">
            <v>40-160- 8</v>
          </cell>
          <cell r="D806" t="str">
            <v>M3</v>
          </cell>
          <cell r="E806">
            <v>44</v>
          </cell>
        </row>
        <row r="809">
          <cell r="B809" t="str">
            <v>철근운반</v>
          </cell>
          <cell r="D809" t="str">
            <v>TON</v>
          </cell>
          <cell r="E809">
            <v>259</v>
          </cell>
        </row>
        <row r="810">
          <cell r="B810" t="str">
            <v>시멘트운반</v>
          </cell>
          <cell r="C810" t="str">
            <v>(40 KG/대)</v>
          </cell>
          <cell r="D810" t="str">
            <v>대</v>
          </cell>
          <cell r="E810">
            <v>223</v>
          </cell>
        </row>
        <row r="814">
          <cell r="B814" t="str">
            <v>레미콘</v>
          </cell>
          <cell r="C814" t="str">
            <v>25-350-12</v>
          </cell>
          <cell r="D814" t="str">
            <v>M3</v>
          </cell>
          <cell r="E814">
            <v>245</v>
          </cell>
        </row>
        <row r="815">
          <cell r="B815" t="str">
            <v>레미콘</v>
          </cell>
          <cell r="C815" t="str">
            <v>25-270-12</v>
          </cell>
          <cell r="D815" t="str">
            <v>M3</v>
          </cell>
          <cell r="E815">
            <v>281</v>
          </cell>
        </row>
        <row r="816">
          <cell r="B816" t="str">
            <v>레미콘</v>
          </cell>
          <cell r="C816" t="str">
            <v>25-240-12</v>
          </cell>
          <cell r="D816" t="str">
            <v>M3</v>
          </cell>
          <cell r="E816">
            <v>1250</v>
          </cell>
        </row>
        <row r="817">
          <cell r="B817" t="str">
            <v>레미콘</v>
          </cell>
          <cell r="C817" t="str">
            <v>25-210-12</v>
          </cell>
          <cell r="D817" t="str">
            <v>M3</v>
          </cell>
          <cell r="E817">
            <v>30</v>
          </cell>
        </row>
        <row r="818">
          <cell r="B818" t="str">
            <v>레미콘</v>
          </cell>
          <cell r="C818" t="str">
            <v>40-160- 8</v>
          </cell>
          <cell r="D818" t="str">
            <v>M3</v>
          </cell>
          <cell r="E818">
            <v>68</v>
          </cell>
        </row>
        <row r="820">
          <cell r="B820" t="str">
            <v>철  근</v>
          </cell>
          <cell r="C820" t="str">
            <v>D 10 M/M</v>
          </cell>
          <cell r="D820" t="str">
            <v>TON</v>
          </cell>
          <cell r="E820">
            <v>0.56699999999999995</v>
          </cell>
        </row>
        <row r="821">
          <cell r="B821" t="str">
            <v>철  근</v>
          </cell>
          <cell r="C821" t="str">
            <v>D 13 M/M</v>
          </cell>
          <cell r="D821" t="str">
            <v>TON</v>
          </cell>
          <cell r="E821">
            <v>5.0090000000000003</v>
          </cell>
        </row>
        <row r="822">
          <cell r="B822" t="str">
            <v>철  근</v>
          </cell>
          <cell r="C822" t="str">
            <v>D 16 M/M 이상</v>
          </cell>
          <cell r="D822" t="str">
            <v>TON</v>
          </cell>
          <cell r="E822">
            <v>203.709</v>
          </cell>
        </row>
        <row r="823">
          <cell r="B823" t="str">
            <v>철  근</v>
          </cell>
          <cell r="C823" t="str">
            <v>H 13 M/M</v>
          </cell>
          <cell r="D823" t="str">
            <v>TON</v>
          </cell>
          <cell r="E823">
            <v>14.323</v>
          </cell>
        </row>
        <row r="824">
          <cell r="B824" t="str">
            <v>철  근</v>
          </cell>
          <cell r="C824" t="str">
            <v>H 16 M/M 이상</v>
          </cell>
          <cell r="D824" t="str">
            <v>TON</v>
          </cell>
          <cell r="E824">
            <v>35.593000000000004</v>
          </cell>
        </row>
        <row r="825">
          <cell r="B825" t="str">
            <v>고  철</v>
          </cell>
          <cell r="D825" t="str">
            <v>TON</v>
          </cell>
          <cell r="E825">
            <v>7.7759999999999998</v>
          </cell>
        </row>
        <row r="832">
          <cell r="B832" t="str">
            <v>구조물터파기</v>
          </cell>
          <cell r="C832" t="str">
            <v>(육상토사0-4M)</v>
          </cell>
          <cell r="D832" t="str">
            <v>M3</v>
          </cell>
          <cell r="E832">
            <v>2517</v>
          </cell>
        </row>
        <row r="833">
          <cell r="B833" t="str">
            <v>되메우기및다짐</v>
          </cell>
          <cell r="C833" t="str">
            <v>(인력50%+기계50%)</v>
          </cell>
          <cell r="D833" t="str">
            <v>M3</v>
          </cell>
          <cell r="E833">
            <v>1852</v>
          </cell>
        </row>
        <row r="834">
          <cell r="B834" t="str">
            <v>기초잡석부설및다짐</v>
          </cell>
          <cell r="D834" t="str">
            <v>M3</v>
          </cell>
          <cell r="E834">
            <v>211</v>
          </cell>
        </row>
        <row r="837">
          <cell r="B837" t="str">
            <v>콘크리트타설</v>
          </cell>
          <cell r="C837" t="str">
            <v>(철근,VIB포함)</v>
          </cell>
          <cell r="D837" t="str">
            <v>M3</v>
          </cell>
          <cell r="E837">
            <v>771</v>
          </cell>
        </row>
        <row r="838">
          <cell r="B838" t="str">
            <v>콘크리트타설</v>
          </cell>
          <cell r="C838" t="str">
            <v>(무근,VIB제외)</v>
          </cell>
          <cell r="D838" t="str">
            <v>M3</v>
          </cell>
          <cell r="E838">
            <v>32</v>
          </cell>
        </row>
        <row r="841">
          <cell r="B841" t="str">
            <v>문양거푸집(0-7M)</v>
          </cell>
          <cell r="C841" t="str">
            <v>20회사용</v>
          </cell>
          <cell r="D841" t="str">
            <v>M2</v>
          </cell>
          <cell r="E841">
            <v>413</v>
          </cell>
        </row>
        <row r="842">
          <cell r="B842" t="str">
            <v>합판거푸집</v>
          </cell>
          <cell r="C842" t="str">
            <v>(3회 0- 7M)</v>
          </cell>
          <cell r="D842" t="str">
            <v>M2</v>
          </cell>
          <cell r="E842">
            <v>772</v>
          </cell>
        </row>
        <row r="843">
          <cell r="B843" t="str">
            <v>합판거푸집</v>
          </cell>
          <cell r="C843" t="str">
            <v>(4 회)</v>
          </cell>
          <cell r="D843" t="str">
            <v>M2</v>
          </cell>
          <cell r="E843">
            <v>160</v>
          </cell>
        </row>
        <row r="844">
          <cell r="B844" t="str">
            <v>합판거푸집</v>
          </cell>
          <cell r="C844" t="str">
            <v>(6 회)</v>
          </cell>
          <cell r="D844" t="str">
            <v>M2</v>
          </cell>
          <cell r="E844">
            <v>23</v>
          </cell>
        </row>
        <row r="846">
          <cell r="B846" t="str">
            <v>강관비계</v>
          </cell>
          <cell r="C846" t="str">
            <v>(암거및소형구조물)</v>
          </cell>
          <cell r="D846" t="str">
            <v>M2</v>
          </cell>
          <cell r="E846">
            <v>1063</v>
          </cell>
        </row>
        <row r="847">
          <cell r="B847" t="str">
            <v>PVC PIPE 설치</v>
          </cell>
          <cell r="C847" t="str">
            <v>(D=100 M/M)</v>
          </cell>
          <cell r="D847" t="str">
            <v>M</v>
          </cell>
          <cell r="E847">
            <v>106</v>
          </cell>
        </row>
        <row r="848">
          <cell r="B848" t="str">
            <v>부직포</v>
          </cell>
          <cell r="D848" t="str">
            <v>M2</v>
          </cell>
          <cell r="E848">
            <v>273</v>
          </cell>
        </row>
        <row r="849">
          <cell r="B849" t="str">
            <v>DOWEL BAR 설치</v>
          </cell>
          <cell r="C849" t="str">
            <v>(D25,L=800)</v>
          </cell>
          <cell r="D849" t="str">
            <v>EA</v>
          </cell>
          <cell r="E849">
            <v>58</v>
          </cell>
        </row>
        <row r="850">
          <cell r="B850" t="str">
            <v>스치로폴</v>
          </cell>
          <cell r="C850" t="str">
            <v>(T=20 M/M)</v>
          </cell>
          <cell r="D850" t="str">
            <v>M2</v>
          </cell>
          <cell r="E850">
            <v>51</v>
          </cell>
        </row>
        <row r="851">
          <cell r="B851" t="str">
            <v>스페이샤설치</v>
          </cell>
          <cell r="D851" t="str">
            <v>M2</v>
          </cell>
          <cell r="E851">
            <v>1248</v>
          </cell>
        </row>
        <row r="853">
          <cell r="B853" t="str">
            <v>철근가공조립</v>
          </cell>
          <cell r="C853" t="str">
            <v>(간 단)</v>
          </cell>
          <cell r="D853" t="str">
            <v>TON</v>
          </cell>
          <cell r="E853">
            <v>0.28999999999999998</v>
          </cell>
        </row>
        <row r="854">
          <cell r="B854" t="str">
            <v>철근가공조립</v>
          </cell>
          <cell r="C854" t="str">
            <v>(복 잡)</v>
          </cell>
          <cell r="D854" t="str">
            <v>TON</v>
          </cell>
          <cell r="E854">
            <v>79.78</v>
          </cell>
        </row>
        <row r="856">
          <cell r="B856" t="str">
            <v>우레탄실란트</v>
          </cell>
          <cell r="D856" t="str">
            <v>KG</v>
          </cell>
          <cell r="E856">
            <v>0.57099999999999995</v>
          </cell>
        </row>
        <row r="857">
          <cell r="B857" t="str">
            <v>철근운반</v>
          </cell>
          <cell r="D857" t="str">
            <v>TON</v>
          </cell>
          <cell r="E857">
            <v>75</v>
          </cell>
        </row>
        <row r="860">
          <cell r="B860" t="str">
            <v>레미콘</v>
          </cell>
          <cell r="C860" t="str">
            <v>25-240-12</v>
          </cell>
          <cell r="D860" t="str">
            <v>M3</v>
          </cell>
          <cell r="E860">
            <v>778</v>
          </cell>
        </row>
        <row r="861">
          <cell r="B861" t="str">
            <v>레미콘</v>
          </cell>
          <cell r="C861" t="str">
            <v>40-160- 8</v>
          </cell>
          <cell r="D861" t="str">
            <v>M3</v>
          </cell>
          <cell r="E861">
            <v>32</v>
          </cell>
        </row>
        <row r="863">
          <cell r="B863" t="str">
            <v>철  근</v>
          </cell>
          <cell r="C863" t="str">
            <v>D 13 M/M</v>
          </cell>
          <cell r="D863" t="str">
            <v>TON</v>
          </cell>
          <cell r="E863">
            <v>4.6189999999999998</v>
          </cell>
        </row>
        <row r="864">
          <cell r="B864" t="str">
            <v>철  근</v>
          </cell>
          <cell r="C864" t="str">
            <v>D 16 M/M 이상</v>
          </cell>
          <cell r="D864" t="str">
            <v>TON</v>
          </cell>
          <cell r="E864">
            <v>75.450999999999993</v>
          </cell>
        </row>
        <row r="865">
          <cell r="B865" t="str">
            <v>고  철</v>
          </cell>
          <cell r="D865" t="str">
            <v>TON</v>
          </cell>
          <cell r="E865">
            <v>2.4020000000000001</v>
          </cell>
        </row>
        <row r="870">
          <cell r="B870" t="str">
            <v>암거구조물터파기</v>
          </cell>
          <cell r="C870" t="str">
            <v>(육상토사0-4M)</v>
          </cell>
          <cell r="D870" t="str">
            <v>M3</v>
          </cell>
          <cell r="E870">
            <v>6062</v>
          </cell>
        </row>
        <row r="871">
          <cell r="B871" t="str">
            <v>되메우기및다짐</v>
          </cell>
          <cell r="C871" t="str">
            <v>(인력50%+기계50%)</v>
          </cell>
          <cell r="D871" t="str">
            <v>M3</v>
          </cell>
          <cell r="E871">
            <v>1520</v>
          </cell>
        </row>
        <row r="872">
          <cell r="B872" t="str">
            <v>구조물뒷채움</v>
          </cell>
          <cell r="D872" t="str">
            <v>M3</v>
          </cell>
          <cell r="E872">
            <v>1907</v>
          </cell>
        </row>
        <row r="873">
          <cell r="B873" t="str">
            <v>기초잡석부설및다짐</v>
          </cell>
          <cell r="D873" t="str">
            <v>M3</v>
          </cell>
          <cell r="E873">
            <v>940</v>
          </cell>
        </row>
        <row r="876">
          <cell r="B876" t="str">
            <v>합판거푸집</v>
          </cell>
          <cell r="C876" t="str">
            <v>(3회 0- 7M)</v>
          </cell>
          <cell r="D876" t="str">
            <v>M2</v>
          </cell>
          <cell r="E876">
            <v>7058</v>
          </cell>
        </row>
        <row r="877">
          <cell r="B877" t="str">
            <v>합판거푸집</v>
          </cell>
          <cell r="C877" t="str">
            <v>(4 회)</v>
          </cell>
          <cell r="D877" t="str">
            <v>M2</v>
          </cell>
          <cell r="E877">
            <v>1731</v>
          </cell>
        </row>
        <row r="878">
          <cell r="B878" t="str">
            <v>합판거푸집</v>
          </cell>
          <cell r="C878" t="str">
            <v>(6 회)</v>
          </cell>
          <cell r="D878" t="str">
            <v>M2</v>
          </cell>
          <cell r="E878">
            <v>154</v>
          </cell>
        </row>
        <row r="879">
          <cell r="B879" t="str">
            <v>문양거푸집(0-7M)</v>
          </cell>
          <cell r="C879" t="str">
            <v>20회사용</v>
          </cell>
          <cell r="D879" t="str">
            <v>M2</v>
          </cell>
          <cell r="E879">
            <v>1055</v>
          </cell>
        </row>
        <row r="881">
          <cell r="B881" t="str">
            <v>강관비계</v>
          </cell>
          <cell r="C881" t="str">
            <v>(암거및소형구조물)</v>
          </cell>
          <cell r="D881" t="str">
            <v>M2</v>
          </cell>
          <cell r="E881">
            <v>4586</v>
          </cell>
        </row>
        <row r="882">
          <cell r="B882" t="str">
            <v>강관동바리</v>
          </cell>
          <cell r="C882" t="str">
            <v>(암거용)</v>
          </cell>
          <cell r="D882" t="str">
            <v>공/M3</v>
          </cell>
          <cell r="E882">
            <v>5360</v>
          </cell>
        </row>
        <row r="884">
          <cell r="B884" t="str">
            <v>콘크리트펌프카타설</v>
          </cell>
          <cell r="C884" t="str">
            <v>(철  근)</v>
          </cell>
          <cell r="D884" t="str">
            <v>M3</v>
          </cell>
          <cell r="E884">
            <v>4281</v>
          </cell>
        </row>
        <row r="885">
          <cell r="B885" t="str">
            <v>콘크리트타설</v>
          </cell>
          <cell r="C885" t="str">
            <v>(무근,VIB제외)</v>
          </cell>
          <cell r="D885" t="str">
            <v>M3</v>
          </cell>
          <cell r="E885">
            <v>323</v>
          </cell>
        </row>
        <row r="888">
          <cell r="B888" t="str">
            <v>PVC지수판</v>
          </cell>
          <cell r="C888" t="str">
            <v>(200*5T)</v>
          </cell>
          <cell r="D888" t="str">
            <v>M</v>
          </cell>
          <cell r="E888">
            <v>258</v>
          </cell>
        </row>
        <row r="889">
          <cell r="B889" t="str">
            <v>DOWEL BAR 설치</v>
          </cell>
          <cell r="C889" t="str">
            <v>(D25,L=800)</v>
          </cell>
          <cell r="D889" t="str">
            <v>EA</v>
          </cell>
          <cell r="E889">
            <v>524</v>
          </cell>
        </row>
        <row r="890">
          <cell r="B890" t="str">
            <v>우레탄실란트</v>
          </cell>
          <cell r="D890" t="str">
            <v>KG</v>
          </cell>
          <cell r="E890">
            <v>2.2799999999999998</v>
          </cell>
        </row>
        <row r="893">
          <cell r="B893" t="str">
            <v>DOWEL BAR 설치</v>
          </cell>
          <cell r="C893" t="str">
            <v>(D25,L=600)</v>
          </cell>
          <cell r="D893" t="str">
            <v>EA</v>
          </cell>
          <cell r="E893">
            <v>418</v>
          </cell>
        </row>
        <row r="894">
          <cell r="B894" t="str">
            <v>타르페이퍼</v>
          </cell>
          <cell r="C894" t="str">
            <v>T=15 M/M</v>
          </cell>
          <cell r="D894" t="str">
            <v>M2</v>
          </cell>
          <cell r="E894">
            <v>40</v>
          </cell>
        </row>
        <row r="895">
          <cell r="B895" t="str">
            <v>스틸파이프.</v>
          </cell>
          <cell r="C895" t="str">
            <v>(D=65*1.5T)</v>
          </cell>
          <cell r="D895" t="str">
            <v>M</v>
          </cell>
          <cell r="E895">
            <v>100</v>
          </cell>
        </row>
        <row r="897">
          <cell r="B897" t="str">
            <v>스치로폴</v>
          </cell>
          <cell r="C897" t="str">
            <v>(T=20 M/M)</v>
          </cell>
          <cell r="D897" t="str">
            <v>M2</v>
          </cell>
          <cell r="E897">
            <v>232</v>
          </cell>
        </row>
        <row r="898">
          <cell r="B898" t="str">
            <v>PVC PIPE 설치</v>
          </cell>
          <cell r="C898" t="str">
            <v>(D=100 M/M)</v>
          </cell>
          <cell r="D898" t="str">
            <v>M</v>
          </cell>
          <cell r="E898">
            <v>113</v>
          </cell>
        </row>
        <row r="899">
          <cell r="B899" t="str">
            <v>부직포</v>
          </cell>
          <cell r="D899" t="str">
            <v>M2</v>
          </cell>
          <cell r="E899">
            <v>515</v>
          </cell>
        </row>
        <row r="900">
          <cell r="B900" t="str">
            <v>아스팔트방수</v>
          </cell>
          <cell r="C900" t="str">
            <v>(2 회)</v>
          </cell>
          <cell r="D900" t="str">
            <v>M2</v>
          </cell>
          <cell r="E900">
            <v>4574</v>
          </cell>
        </row>
        <row r="901">
          <cell r="B901" t="str">
            <v>스페이샤설치</v>
          </cell>
          <cell r="D901" t="str">
            <v>M2</v>
          </cell>
          <cell r="E901">
            <v>11478</v>
          </cell>
        </row>
        <row r="903">
          <cell r="B903" t="str">
            <v>철근가공조립</v>
          </cell>
          <cell r="C903" t="str">
            <v>(간 단)</v>
          </cell>
          <cell r="D903" t="str">
            <v>TON</v>
          </cell>
          <cell r="E903">
            <v>6.1340000000000003</v>
          </cell>
        </row>
        <row r="904">
          <cell r="B904" t="str">
            <v>철근가공조립</v>
          </cell>
          <cell r="C904" t="str">
            <v>(복 잡)</v>
          </cell>
          <cell r="D904" t="str">
            <v>TON</v>
          </cell>
          <cell r="E904">
            <v>925.26499999999999</v>
          </cell>
        </row>
        <row r="906">
          <cell r="B906" t="str">
            <v>전선관설치</v>
          </cell>
          <cell r="C906" t="str">
            <v>(D=100 M/M)</v>
          </cell>
          <cell r="D906" t="str">
            <v>M</v>
          </cell>
          <cell r="E906">
            <v>556</v>
          </cell>
        </row>
        <row r="907">
          <cell r="B907" t="str">
            <v>철근운반</v>
          </cell>
          <cell r="D907" t="str">
            <v>TON</v>
          </cell>
          <cell r="E907">
            <v>931</v>
          </cell>
        </row>
        <row r="910">
          <cell r="B910" t="str">
            <v>레미콘</v>
          </cell>
          <cell r="C910" t="str">
            <v>25-240-12</v>
          </cell>
          <cell r="D910" t="str">
            <v>M3</v>
          </cell>
          <cell r="E910">
            <v>4280</v>
          </cell>
        </row>
        <row r="911">
          <cell r="B911" t="str">
            <v>레미콘</v>
          </cell>
          <cell r="C911" t="str">
            <v>40-160- 8</v>
          </cell>
          <cell r="D911" t="str">
            <v>M3</v>
          </cell>
          <cell r="E911">
            <v>323</v>
          </cell>
        </row>
        <row r="913">
          <cell r="B913" t="str">
            <v>철  근</v>
          </cell>
          <cell r="C913" t="str">
            <v>D 13 M/M</v>
          </cell>
          <cell r="D913" t="str">
            <v>TON</v>
          </cell>
          <cell r="E913">
            <v>4.3789999999999996</v>
          </cell>
        </row>
        <row r="914">
          <cell r="B914" t="str">
            <v>철  근</v>
          </cell>
          <cell r="C914" t="str">
            <v>D 16 M/M 이상</v>
          </cell>
          <cell r="D914" t="str">
            <v>TON</v>
          </cell>
          <cell r="E914">
            <v>926.31200000000001</v>
          </cell>
        </row>
        <row r="915">
          <cell r="B915" t="str">
            <v>고  철</v>
          </cell>
          <cell r="D915" t="str">
            <v>TON</v>
          </cell>
          <cell r="E915">
            <v>27.940999999999999</v>
          </cell>
        </row>
        <row r="921">
          <cell r="B921" t="str">
            <v>보조기층구입및운반 .</v>
          </cell>
          <cell r="D921" t="str">
            <v>M3</v>
          </cell>
          <cell r="E921">
            <v>42820</v>
          </cell>
        </row>
        <row r="922">
          <cell r="B922" t="str">
            <v>보조기층포설및다짐</v>
          </cell>
          <cell r="C922" t="str">
            <v>(T = 15 CM)</v>
          </cell>
          <cell r="D922" t="str">
            <v>M3</v>
          </cell>
          <cell r="E922">
            <v>17067</v>
          </cell>
        </row>
        <row r="923">
          <cell r="B923" t="str">
            <v>보조기층포설및다짐</v>
          </cell>
          <cell r="C923" t="str">
            <v>(T = 20 CM)</v>
          </cell>
          <cell r="D923" t="str">
            <v>M3</v>
          </cell>
          <cell r="E923">
            <v>1619</v>
          </cell>
        </row>
        <row r="924">
          <cell r="B924" t="str">
            <v>보조기층포설및다짐</v>
          </cell>
          <cell r="C924" t="str">
            <v>(T = 30 CM)</v>
          </cell>
          <cell r="D924" t="str">
            <v>M3</v>
          </cell>
          <cell r="E924">
            <v>11397</v>
          </cell>
        </row>
        <row r="925">
          <cell r="B925" t="str">
            <v>보조기층포설및다짐</v>
          </cell>
          <cell r="C925" t="str">
            <v>(백호우포설T=15CM)</v>
          </cell>
          <cell r="D925" t="str">
            <v>M3</v>
          </cell>
          <cell r="E925">
            <v>3205</v>
          </cell>
        </row>
        <row r="928">
          <cell r="B928" t="str">
            <v>린콘크리트 기층</v>
          </cell>
          <cell r="C928" t="str">
            <v>(포설및다짐)T=15 CM</v>
          </cell>
          <cell r="D928" t="str">
            <v>M3</v>
          </cell>
          <cell r="E928">
            <v>14631</v>
          </cell>
        </row>
        <row r="932">
          <cell r="B932" t="str">
            <v>시멘트콘크리트포장</v>
          </cell>
          <cell r="C932" t="str">
            <v>(본선2차선,기계포설)</v>
          </cell>
          <cell r="D932" t="str">
            <v>M3</v>
          </cell>
          <cell r="E932">
            <v>19087</v>
          </cell>
        </row>
        <row r="933">
          <cell r="B933" t="str">
            <v>시멘트콘크리트포장</v>
          </cell>
          <cell r="C933" t="str">
            <v>(본선1차선기계포설)</v>
          </cell>
          <cell r="D933" t="str">
            <v>M3</v>
          </cell>
          <cell r="E933">
            <v>1181</v>
          </cell>
        </row>
        <row r="936">
          <cell r="B936" t="str">
            <v>시멘트콘크리트포장</v>
          </cell>
          <cell r="C936" t="str">
            <v>교량접속,완충슬래브</v>
          </cell>
          <cell r="D936" t="str">
            <v>M3</v>
          </cell>
          <cell r="E936">
            <v>441</v>
          </cell>
        </row>
        <row r="937">
          <cell r="B937" t="str">
            <v>시멘트콘크리트포장</v>
          </cell>
          <cell r="C937" t="str">
            <v>연결로접속,암거보강</v>
          </cell>
          <cell r="D937" t="str">
            <v>M3</v>
          </cell>
          <cell r="E937">
            <v>902</v>
          </cell>
        </row>
        <row r="938">
          <cell r="B938" t="str">
            <v>시멘트콘크리트포장</v>
          </cell>
          <cell r="C938" t="str">
            <v>(절성경계보강부)</v>
          </cell>
          <cell r="D938" t="str">
            <v>M3</v>
          </cell>
          <cell r="E938">
            <v>3607</v>
          </cell>
        </row>
        <row r="939">
          <cell r="B939" t="str">
            <v>시멘트콘크리트포장</v>
          </cell>
          <cell r="C939" t="str">
            <v>(부체도로인력포설)</v>
          </cell>
          <cell r="D939" t="str">
            <v>M3</v>
          </cell>
          <cell r="E939">
            <v>1343</v>
          </cell>
        </row>
        <row r="940">
          <cell r="B940" t="str">
            <v>시멘트콘크리트포장</v>
          </cell>
          <cell r="C940" t="str">
            <v>(중분대기초,인력포설</v>
          </cell>
          <cell r="D940" t="str">
            <v>M3</v>
          </cell>
          <cell r="E940">
            <v>696</v>
          </cell>
        </row>
        <row r="944">
          <cell r="B944" t="str">
            <v>철근운반</v>
          </cell>
          <cell r="D944" t="str">
            <v>TON</v>
          </cell>
          <cell r="E944">
            <v>367</v>
          </cell>
        </row>
        <row r="945">
          <cell r="B945" t="str">
            <v>철근가공조립</v>
          </cell>
          <cell r="C945" t="str">
            <v>(간 단)</v>
          </cell>
          <cell r="D945" t="str">
            <v>TON</v>
          </cell>
          <cell r="E945">
            <v>17.077000000000002</v>
          </cell>
        </row>
        <row r="946">
          <cell r="B946" t="str">
            <v>철근가공조립</v>
          </cell>
          <cell r="C946" t="str">
            <v>(보 통)</v>
          </cell>
          <cell r="D946" t="str">
            <v>TON</v>
          </cell>
          <cell r="E946">
            <v>338.923</v>
          </cell>
        </row>
        <row r="947">
          <cell r="B947" t="str">
            <v>와이어메쉬설치</v>
          </cell>
          <cell r="C947" t="str">
            <v>(#8-150*150)</v>
          </cell>
          <cell r="D947" t="str">
            <v>M2</v>
          </cell>
          <cell r="E947">
            <v>6872</v>
          </cell>
        </row>
        <row r="948">
          <cell r="B948" t="str">
            <v>스페이샤설치</v>
          </cell>
          <cell r="D948" t="str">
            <v>M2</v>
          </cell>
          <cell r="E948">
            <v>13123</v>
          </cell>
        </row>
        <row r="949">
          <cell r="B949" t="str">
            <v>비닐깔기</v>
          </cell>
          <cell r="D949" t="str">
            <v>M2</v>
          </cell>
          <cell r="E949">
            <v>95033</v>
          </cell>
        </row>
        <row r="950">
          <cell r="B950" t="str">
            <v>합판거푸집</v>
          </cell>
          <cell r="C950" t="str">
            <v>(4 회)</v>
          </cell>
          <cell r="D950" t="str">
            <v>M2</v>
          </cell>
          <cell r="E950">
            <v>2112</v>
          </cell>
        </row>
        <row r="954">
          <cell r="B954" t="str">
            <v>줄눈설치(세로줄눈)</v>
          </cell>
          <cell r="C954" t="str">
            <v>(본선2차선)</v>
          </cell>
          <cell r="D954" t="str">
            <v>M</v>
          </cell>
          <cell r="E954">
            <v>9463</v>
          </cell>
        </row>
        <row r="955">
          <cell r="B955" t="str">
            <v>줄눈설치(세로줄눈)</v>
          </cell>
          <cell r="C955" t="str">
            <v>(1차선포설)</v>
          </cell>
          <cell r="D955" t="str">
            <v>M</v>
          </cell>
          <cell r="E955">
            <v>3287</v>
          </cell>
        </row>
        <row r="956">
          <cell r="B956" t="str">
            <v>줄눈설치(세로줄눈)</v>
          </cell>
          <cell r="C956" t="str">
            <v>(중분대기초)</v>
          </cell>
          <cell r="D956" t="str">
            <v>M</v>
          </cell>
          <cell r="E956">
            <v>8787</v>
          </cell>
        </row>
        <row r="959">
          <cell r="B959" t="str">
            <v>줄눈설치(가로줄눈)</v>
          </cell>
          <cell r="C959" t="str">
            <v>(본선2차선)</v>
          </cell>
          <cell r="D959" t="str">
            <v>M</v>
          </cell>
          <cell r="E959">
            <v>13531</v>
          </cell>
        </row>
        <row r="960">
          <cell r="B960" t="str">
            <v>줄눈설치(가로줄눈)</v>
          </cell>
          <cell r="C960" t="str">
            <v>(교량접속부)</v>
          </cell>
          <cell r="D960" t="str">
            <v>M</v>
          </cell>
          <cell r="E960">
            <v>199</v>
          </cell>
        </row>
        <row r="961">
          <cell r="B961" t="str">
            <v>줄눈설치(가로줄눈)</v>
          </cell>
          <cell r="C961" t="str">
            <v>(중분대기초)</v>
          </cell>
          <cell r="D961" t="str">
            <v>M</v>
          </cell>
          <cell r="E961">
            <v>769</v>
          </cell>
        </row>
        <row r="964">
          <cell r="B964" t="str">
            <v>줄눈설치(팽창줄눈)</v>
          </cell>
          <cell r="C964" t="str">
            <v>(본선2차선)</v>
          </cell>
          <cell r="D964" t="str">
            <v>M</v>
          </cell>
          <cell r="E964">
            <v>249</v>
          </cell>
        </row>
        <row r="965">
          <cell r="B965" t="str">
            <v>줄눈설치(팽창줄눈)</v>
          </cell>
          <cell r="C965" t="str">
            <v>(교량접속부)</v>
          </cell>
          <cell r="D965" t="str">
            <v>M</v>
          </cell>
          <cell r="E965">
            <v>161</v>
          </cell>
        </row>
        <row r="966">
          <cell r="B966" t="str">
            <v>줄눈설치(팽창줄눈)</v>
          </cell>
          <cell r="C966" t="str">
            <v>(아스콘포장접속부)</v>
          </cell>
          <cell r="D966" t="str">
            <v>M</v>
          </cell>
          <cell r="E966">
            <v>37</v>
          </cell>
        </row>
        <row r="967">
          <cell r="B967" t="str">
            <v>줄눈설치(팽창줄눈)</v>
          </cell>
          <cell r="C967" t="str">
            <v>(중분대기초)</v>
          </cell>
          <cell r="D967" t="str">
            <v>M</v>
          </cell>
          <cell r="E967">
            <v>13</v>
          </cell>
        </row>
        <row r="968">
          <cell r="B968" t="str">
            <v>줄눈설치(부체도로용)</v>
          </cell>
          <cell r="C968" t="str">
            <v>(판재 200*15)</v>
          </cell>
          <cell r="D968" t="str">
            <v>M</v>
          </cell>
          <cell r="E968">
            <v>1287</v>
          </cell>
        </row>
        <row r="971">
          <cell r="B971" t="str">
            <v>콘크리트포장 연마</v>
          </cell>
          <cell r="D971" t="str">
            <v>M2</v>
          </cell>
          <cell r="E971">
            <v>1296</v>
          </cell>
        </row>
        <row r="973">
          <cell r="B973" t="str">
            <v>프라임코팅</v>
          </cell>
          <cell r="C973" t="str">
            <v>(MC-1,80L/a)</v>
          </cell>
          <cell r="D973" t="str">
            <v>a</v>
          </cell>
          <cell r="E973">
            <v>358</v>
          </cell>
        </row>
        <row r="974">
          <cell r="B974" t="str">
            <v>아스팔트운반</v>
          </cell>
          <cell r="C974" t="str">
            <v>(MC-1)</v>
          </cell>
          <cell r="D974" t="str">
            <v>D/M</v>
          </cell>
          <cell r="E974">
            <v>146</v>
          </cell>
        </row>
        <row r="977">
          <cell r="B977" t="str">
            <v>택코팅</v>
          </cell>
          <cell r="C977" t="str">
            <v>(RSC-4,35L/a)</v>
          </cell>
          <cell r="D977" t="str">
            <v>a</v>
          </cell>
          <cell r="E977">
            <v>794</v>
          </cell>
        </row>
        <row r="978">
          <cell r="B978" t="str">
            <v>아스팔트운반</v>
          </cell>
          <cell r="C978" t="str">
            <v>(RSC-4)</v>
          </cell>
          <cell r="D978" t="str">
            <v>D/M</v>
          </cell>
          <cell r="E978">
            <v>142</v>
          </cell>
        </row>
        <row r="980">
          <cell r="B980" t="str">
            <v>기층아스콘포설및다짐</v>
          </cell>
          <cell r="C980" t="str">
            <v>(T=20 CM)</v>
          </cell>
          <cell r="D980" t="str">
            <v>a</v>
          </cell>
          <cell r="E980">
            <v>355</v>
          </cell>
        </row>
        <row r="982">
          <cell r="B982" t="str">
            <v>표층포설및다짐</v>
          </cell>
          <cell r="C982" t="str">
            <v>(T= 8 CM)</v>
          </cell>
          <cell r="D982" t="str">
            <v>a</v>
          </cell>
          <cell r="E982">
            <v>81</v>
          </cell>
        </row>
        <row r="983">
          <cell r="B983" t="str">
            <v>표층포설및다짐</v>
          </cell>
          <cell r="C983" t="str">
            <v>(T=10 CM)</v>
          </cell>
          <cell r="D983" t="str">
            <v>a</v>
          </cell>
          <cell r="E983">
            <v>358</v>
          </cell>
        </row>
        <row r="986">
          <cell r="B986" t="str">
            <v>노견토</v>
          </cell>
          <cell r="C986" t="str">
            <v>(구입및운반)</v>
          </cell>
          <cell r="D986" t="str">
            <v>M3</v>
          </cell>
          <cell r="E986">
            <v>2949</v>
          </cell>
        </row>
        <row r="987">
          <cell r="B987" t="str">
            <v>노견토포설및다짐</v>
          </cell>
          <cell r="C987" t="str">
            <v>(T=30 CM)</v>
          </cell>
          <cell r="D987" t="str">
            <v>M3</v>
          </cell>
          <cell r="E987">
            <v>2293</v>
          </cell>
        </row>
        <row r="989">
          <cell r="B989" t="str">
            <v>포장장비임대료</v>
          </cell>
          <cell r="C989" t="str">
            <v>(2차로포설장비)</v>
          </cell>
          <cell r="D989" t="str">
            <v>개월</v>
          </cell>
          <cell r="E989">
            <v>8</v>
          </cell>
        </row>
        <row r="992">
          <cell r="B992" t="str">
            <v>레미콘</v>
          </cell>
          <cell r="C992" t="str">
            <v>32-45- 5</v>
          </cell>
          <cell r="D992" t="str">
            <v>M3</v>
          </cell>
          <cell r="E992">
            <v>25949</v>
          </cell>
        </row>
        <row r="993">
          <cell r="B993" t="str">
            <v>레미콘</v>
          </cell>
          <cell r="C993" t="str">
            <v>40-100-8</v>
          </cell>
          <cell r="D993" t="str">
            <v>M3</v>
          </cell>
          <cell r="E993">
            <v>14924</v>
          </cell>
        </row>
        <row r="994">
          <cell r="B994" t="str">
            <v>레미콘</v>
          </cell>
          <cell r="C994" t="str">
            <v>25-270-15</v>
          </cell>
          <cell r="D994" t="str">
            <v>M3</v>
          </cell>
          <cell r="E994">
            <v>445</v>
          </cell>
        </row>
        <row r="995">
          <cell r="B995" t="str">
            <v>레미콘</v>
          </cell>
          <cell r="C995" t="str">
            <v>40-180- 8</v>
          </cell>
          <cell r="D995" t="str">
            <v>M3</v>
          </cell>
          <cell r="E995">
            <v>1370</v>
          </cell>
        </row>
        <row r="998">
          <cell r="B998" t="str">
            <v>기층아스콘</v>
          </cell>
          <cell r="C998" t="str">
            <v>기층용(#467)</v>
          </cell>
          <cell r="D998" t="str">
            <v>TON</v>
          </cell>
          <cell r="E998">
            <v>16978</v>
          </cell>
        </row>
        <row r="999">
          <cell r="B999" t="str">
            <v>표층아스콘</v>
          </cell>
          <cell r="C999" t="str">
            <v>표층용(# 78)</v>
          </cell>
          <cell r="D999" t="str">
            <v>TON</v>
          </cell>
          <cell r="E999">
            <v>10031</v>
          </cell>
        </row>
        <row r="1002">
          <cell r="B1002" t="str">
            <v>아스팔트</v>
          </cell>
          <cell r="C1002" t="str">
            <v>MC -1</v>
          </cell>
          <cell r="D1002" t="str">
            <v>D/M</v>
          </cell>
          <cell r="E1002">
            <v>146</v>
          </cell>
        </row>
        <row r="1003">
          <cell r="B1003" t="str">
            <v>아스팔트</v>
          </cell>
          <cell r="C1003" t="str">
            <v>RSC-4</v>
          </cell>
          <cell r="D1003" t="str">
            <v>D/M</v>
          </cell>
          <cell r="E1003">
            <v>142</v>
          </cell>
        </row>
        <row r="1006">
          <cell r="B1006" t="str">
            <v>철  근</v>
          </cell>
          <cell r="C1006" t="str">
            <v>D 13 M/M</v>
          </cell>
          <cell r="D1006" t="str">
            <v>TON</v>
          </cell>
          <cell r="E1006">
            <v>79.335999999999999</v>
          </cell>
        </row>
        <row r="1007">
          <cell r="B1007" t="str">
            <v>철  근</v>
          </cell>
          <cell r="C1007" t="str">
            <v>D 16 M/M 이상</v>
          </cell>
          <cell r="D1007" t="str">
            <v>TON</v>
          </cell>
          <cell r="E1007">
            <v>287.34399999999999</v>
          </cell>
        </row>
        <row r="1009">
          <cell r="B1009" t="str">
            <v>고  철</v>
          </cell>
          <cell r="D1009" t="str">
            <v>TON</v>
          </cell>
          <cell r="E1009">
            <v>11</v>
          </cell>
        </row>
        <row r="1011">
          <cell r="B1011" t="str">
            <v>철근운반</v>
          </cell>
          <cell r="D1011" t="str">
            <v>TON</v>
          </cell>
          <cell r="E1011">
            <v>366.68</v>
          </cell>
        </row>
        <row r="1015">
          <cell r="B1015" t="str">
            <v>백색실선</v>
          </cell>
          <cell r="C1015" t="str">
            <v>(가열형)</v>
          </cell>
          <cell r="D1015" t="str">
            <v>M2</v>
          </cell>
          <cell r="E1015">
            <v>3303</v>
          </cell>
        </row>
        <row r="1016">
          <cell r="B1016" t="str">
            <v>백색파선</v>
          </cell>
          <cell r="C1016" t="str">
            <v>(가열형)</v>
          </cell>
          <cell r="D1016" t="str">
            <v>M2</v>
          </cell>
          <cell r="E1016">
            <v>4081</v>
          </cell>
        </row>
        <row r="1017">
          <cell r="B1017" t="str">
            <v>황색실선</v>
          </cell>
          <cell r="C1017" t="str">
            <v>(가열형)</v>
          </cell>
          <cell r="D1017" t="str">
            <v>M2</v>
          </cell>
          <cell r="E1017">
            <v>1861</v>
          </cell>
        </row>
        <row r="1018">
          <cell r="B1018" t="str">
            <v>황색파선</v>
          </cell>
          <cell r="C1018" t="str">
            <v>(가열형)</v>
          </cell>
          <cell r="D1018" t="str">
            <v>M2</v>
          </cell>
          <cell r="E1018">
            <v>15</v>
          </cell>
        </row>
        <row r="1019">
          <cell r="B1019" t="str">
            <v>문자기호및횡단보도</v>
          </cell>
          <cell r="C1019" t="str">
            <v>(융착식:백색)</v>
          </cell>
          <cell r="D1019" t="str">
            <v>M2</v>
          </cell>
          <cell r="E1019">
            <v>126</v>
          </cell>
        </row>
        <row r="1022">
          <cell r="B1022" t="str">
            <v>터파기</v>
          </cell>
          <cell r="C1022" t="str">
            <v>(인력100%)</v>
          </cell>
          <cell r="D1022" t="str">
            <v>M3</v>
          </cell>
          <cell r="E1022">
            <v>753</v>
          </cell>
        </row>
        <row r="1023">
          <cell r="B1023" t="str">
            <v>되메우기</v>
          </cell>
          <cell r="C1023" t="str">
            <v>(인력100%)</v>
          </cell>
          <cell r="D1023" t="str">
            <v>M3</v>
          </cell>
          <cell r="E1023">
            <v>649</v>
          </cell>
        </row>
        <row r="1024">
          <cell r="B1024" t="str">
            <v>콘크리트타설</v>
          </cell>
          <cell r="C1024" t="str">
            <v>(소형,VIB제외)</v>
          </cell>
          <cell r="D1024" t="str">
            <v>M3</v>
          </cell>
          <cell r="E1024">
            <v>59</v>
          </cell>
        </row>
        <row r="1025">
          <cell r="B1025" t="str">
            <v>콘크리트타설</v>
          </cell>
          <cell r="C1025" t="str">
            <v>(철근,VIB제외)</v>
          </cell>
          <cell r="D1025" t="str">
            <v>M3</v>
          </cell>
          <cell r="E1025">
            <v>43</v>
          </cell>
        </row>
        <row r="1026">
          <cell r="B1026" t="str">
            <v>합판거푸집</v>
          </cell>
          <cell r="C1026" t="str">
            <v>(4 회)</v>
          </cell>
          <cell r="D1026" t="str">
            <v>M2</v>
          </cell>
          <cell r="E1026">
            <v>409</v>
          </cell>
        </row>
        <row r="1027">
          <cell r="B1027" t="str">
            <v>철근가공조립</v>
          </cell>
          <cell r="C1027" t="str">
            <v>(간 단)</v>
          </cell>
          <cell r="D1027" t="str">
            <v>TON</v>
          </cell>
          <cell r="E1027">
            <v>3.2879999999999998</v>
          </cell>
        </row>
        <row r="1028">
          <cell r="B1028" t="str">
            <v>삼각표지판</v>
          </cell>
          <cell r="C1028" t="str">
            <v>(120 CM)</v>
          </cell>
          <cell r="D1028" t="str">
            <v>EA</v>
          </cell>
          <cell r="E1028">
            <v>32</v>
          </cell>
        </row>
        <row r="1029">
          <cell r="B1029" t="str">
            <v>원형표지판</v>
          </cell>
          <cell r="C1029" t="str">
            <v>90 CM</v>
          </cell>
          <cell r="D1029" t="str">
            <v>EA</v>
          </cell>
          <cell r="E1029">
            <v>19</v>
          </cell>
        </row>
        <row r="1030">
          <cell r="B1030" t="str">
            <v>삼각이중표지판</v>
          </cell>
          <cell r="D1030" t="str">
            <v>EA</v>
          </cell>
          <cell r="E1030">
            <v>17</v>
          </cell>
        </row>
        <row r="1031">
          <cell r="B1031" t="str">
            <v>삼각+원형표지판</v>
          </cell>
          <cell r="C1031" t="str">
            <v>120*900</v>
          </cell>
          <cell r="D1031" t="str">
            <v>EA</v>
          </cell>
          <cell r="E1031">
            <v>4</v>
          </cell>
        </row>
        <row r="1032">
          <cell r="B1032" t="str">
            <v>1지명방향표지판</v>
          </cell>
          <cell r="C1032" t="str">
            <v>(1850*1350)</v>
          </cell>
          <cell r="D1032" t="str">
            <v>EA</v>
          </cell>
          <cell r="E1032">
            <v>1</v>
          </cell>
        </row>
        <row r="1033">
          <cell r="B1033" t="str">
            <v>1지명출구예고표지판</v>
          </cell>
          <cell r="C1033" t="str">
            <v>(2500*1750)</v>
          </cell>
          <cell r="D1033" t="str">
            <v>EA</v>
          </cell>
          <cell r="E1033">
            <v>6</v>
          </cell>
        </row>
        <row r="1034">
          <cell r="B1034" t="str">
            <v>1지명출구점표지판</v>
          </cell>
          <cell r="C1034" t="str">
            <v>(2500*1750)</v>
          </cell>
          <cell r="D1034" t="str">
            <v>EA</v>
          </cell>
          <cell r="E1034">
            <v>6</v>
          </cell>
        </row>
        <row r="1035">
          <cell r="B1035" t="str">
            <v>2지명이정표지판</v>
          </cell>
          <cell r="C1035" t="str">
            <v>(3000*2000)</v>
          </cell>
          <cell r="D1035" t="str">
            <v>EA</v>
          </cell>
          <cell r="E1035">
            <v>2</v>
          </cell>
        </row>
        <row r="1036">
          <cell r="B1036" t="str">
            <v>2방향표지판</v>
          </cell>
          <cell r="C1036" t="str">
            <v>(3600*2200)</v>
          </cell>
          <cell r="D1036" t="str">
            <v>EA</v>
          </cell>
          <cell r="E1036">
            <v>4</v>
          </cell>
        </row>
        <row r="1037">
          <cell r="B1037" t="str">
            <v>2방향예고표지판</v>
          </cell>
          <cell r="C1037" t="str">
            <v>(4000*2500)</v>
          </cell>
          <cell r="D1037" t="str">
            <v>EA</v>
          </cell>
          <cell r="E1037">
            <v>6</v>
          </cell>
        </row>
        <row r="1038">
          <cell r="B1038" t="str">
            <v>2지명출구예고표지판</v>
          </cell>
          <cell r="C1038" t="str">
            <v>(3600*2200)</v>
          </cell>
          <cell r="D1038" t="str">
            <v>EA</v>
          </cell>
          <cell r="E1038">
            <v>2</v>
          </cell>
        </row>
        <row r="1039">
          <cell r="B1039" t="str">
            <v>2지명출구점표지판</v>
          </cell>
          <cell r="C1039" t="str">
            <v>(3600*2200)</v>
          </cell>
          <cell r="D1039" t="str">
            <v>EA</v>
          </cell>
          <cell r="E1039">
            <v>2</v>
          </cell>
        </row>
        <row r="1040">
          <cell r="B1040" t="str">
            <v>3방향예고표지판</v>
          </cell>
          <cell r="C1040" t="str">
            <v>4450*2200</v>
          </cell>
          <cell r="D1040" t="str">
            <v>EA</v>
          </cell>
          <cell r="E1040">
            <v>2</v>
          </cell>
        </row>
        <row r="1041">
          <cell r="B1041" t="str">
            <v>3방향표지판</v>
          </cell>
          <cell r="C1041" t="str">
            <v>4450*2200</v>
          </cell>
          <cell r="D1041" t="str">
            <v>EA</v>
          </cell>
          <cell r="E1041">
            <v>2</v>
          </cell>
        </row>
        <row r="1042">
          <cell r="B1042" t="str">
            <v>자동차전용도로표지판</v>
          </cell>
          <cell r="C1042" t="str">
            <v>765*900</v>
          </cell>
          <cell r="D1042" t="str">
            <v>EA</v>
          </cell>
          <cell r="E1042">
            <v>1</v>
          </cell>
        </row>
        <row r="1043">
          <cell r="B1043" t="str">
            <v>자동차전용도로해제표</v>
          </cell>
          <cell r="C1043" t="str">
            <v>지판(765*900)</v>
          </cell>
          <cell r="D1043" t="str">
            <v>EA</v>
          </cell>
          <cell r="E1043">
            <v>1</v>
          </cell>
        </row>
        <row r="1046">
          <cell r="B1046" t="str">
            <v>터파기</v>
          </cell>
          <cell r="C1046" t="str">
            <v>(인력100%)</v>
          </cell>
          <cell r="D1046" t="str">
            <v>M3</v>
          </cell>
          <cell r="E1046">
            <v>7</v>
          </cell>
        </row>
        <row r="1047">
          <cell r="B1047" t="str">
            <v>되메우기</v>
          </cell>
          <cell r="C1047" t="str">
            <v>(인력100%)</v>
          </cell>
          <cell r="D1047" t="str">
            <v>M3</v>
          </cell>
          <cell r="E1047">
            <v>6</v>
          </cell>
        </row>
        <row r="1048">
          <cell r="B1048" t="str">
            <v>콘크리트타설</v>
          </cell>
          <cell r="C1048" t="str">
            <v>(소형,VIB제외)</v>
          </cell>
          <cell r="D1048" t="str">
            <v>M3</v>
          </cell>
          <cell r="E1048">
            <v>1</v>
          </cell>
        </row>
        <row r="1049">
          <cell r="B1049" t="str">
            <v>합판거푸집</v>
          </cell>
          <cell r="C1049" t="str">
            <v>(소형 4회)</v>
          </cell>
          <cell r="D1049" t="str">
            <v>M2</v>
          </cell>
          <cell r="E1049">
            <v>4</v>
          </cell>
        </row>
        <row r="1050">
          <cell r="B1050" t="str">
            <v>갈매기표지판 양면</v>
          </cell>
          <cell r="C1050" t="str">
            <v>(600*300)</v>
          </cell>
          <cell r="D1050" t="str">
            <v>EA</v>
          </cell>
          <cell r="E1050">
            <v>10</v>
          </cell>
        </row>
        <row r="1051">
          <cell r="B1051" t="str">
            <v>갈매기표지판 단면</v>
          </cell>
          <cell r="C1051" t="str">
            <v>(600*300)</v>
          </cell>
          <cell r="D1051" t="str">
            <v>EA</v>
          </cell>
          <cell r="E1051">
            <v>42</v>
          </cell>
        </row>
        <row r="1054">
          <cell r="B1054" t="str">
            <v>가드레일</v>
          </cell>
          <cell r="C1054" t="str">
            <v>(3.2*455*4330)</v>
          </cell>
          <cell r="D1054" t="str">
            <v>경간</v>
          </cell>
          <cell r="E1054">
            <v>2922</v>
          </cell>
        </row>
        <row r="1055">
          <cell r="B1055" t="str">
            <v>단부레일</v>
          </cell>
          <cell r="C1055" t="str">
            <v>(3.2*455*765)</v>
          </cell>
          <cell r="D1055" t="str">
            <v>EA</v>
          </cell>
          <cell r="E1055">
            <v>110</v>
          </cell>
        </row>
        <row r="1056">
          <cell r="B1056" t="str">
            <v>가드레일포스트</v>
          </cell>
          <cell r="C1056" t="str">
            <v>(L=2.2 M)</v>
          </cell>
          <cell r="D1056" t="str">
            <v>EA</v>
          </cell>
          <cell r="E1056">
            <v>1977</v>
          </cell>
        </row>
        <row r="1059">
          <cell r="B1059" t="str">
            <v>데리네이타</v>
          </cell>
          <cell r="C1059" t="str">
            <v>(토공용)</v>
          </cell>
          <cell r="D1059" t="str">
            <v>EA</v>
          </cell>
          <cell r="E1059">
            <v>48</v>
          </cell>
        </row>
        <row r="1060">
          <cell r="B1060" t="str">
            <v>데리네이터</v>
          </cell>
          <cell r="C1060" t="str">
            <v>(가드레일용)</v>
          </cell>
          <cell r="D1060" t="str">
            <v>EA</v>
          </cell>
          <cell r="E1060">
            <v>133</v>
          </cell>
        </row>
        <row r="1061">
          <cell r="B1061" t="str">
            <v>데리네이타</v>
          </cell>
          <cell r="C1061" t="str">
            <v>(교량용)</v>
          </cell>
          <cell r="D1061" t="str">
            <v>EA</v>
          </cell>
          <cell r="E1061">
            <v>4</v>
          </cell>
        </row>
        <row r="1062">
          <cell r="B1062" t="str">
            <v>데리네이터</v>
          </cell>
          <cell r="C1062" t="str">
            <v>(옹벽용)</v>
          </cell>
          <cell r="D1062" t="str">
            <v>EA</v>
          </cell>
          <cell r="E1062">
            <v>34</v>
          </cell>
        </row>
        <row r="1063">
          <cell r="B1063" t="str">
            <v>데리네이터</v>
          </cell>
          <cell r="C1063" t="str">
            <v>(중분대용)</v>
          </cell>
          <cell r="D1063" t="str">
            <v>EA</v>
          </cell>
          <cell r="E1063">
            <v>272</v>
          </cell>
        </row>
        <row r="1064">
          <cell r="B1064" t="str">
            <v>SOLAR형시선유도등</v>
          </cell>
          <cell r="D1064" t="str">
            <v>EA</v>
          </cell>
          <cell r="E1064">
            <v>12</v>
          </cell>
        </row>
        <row r="1066">
          <cell r="B1066" t="str">
            <v>도로표지병</v>
          </cell>
          <cell r="D1066" t="str">
            <v>EA</v>
          </cell>
          <cell r="E1066">
            <v>371</v>
          </cell>
        </row>
        <row r="1068">
          <cell r="B1068" t="str">
            <v>콘크리트타설</v>
          </cell>
          <cell r="C1068" t="str">
            <v>(무근,VIB제외)</v>
          </cell>
          <cell r="D1068" t="str">
            <v>M3</v>
          </cell>
          <cell r="E1068">
            <v>7</v>
          </cell>
        </row>
        <row r="1069">
          <cell r="B1069" t="str">
            <v>합판거푸집</v>
          </cell>
          <cell r="C1069" t="str">
            <v>(4 회)</v>
          </cell>
          <cell r="D1069" t="str">
            <v>M2</v>
          </cell>
          <cell r="E1069">
            <v>31</v>
          </cell>
        </row>
        <row r="1070">
          <cell r="B1070" t="str">
            <v>철근가공조립</v>
          </cell>
          <cell r="C1070" t="str">
            <v>(간 단)</v>
          </cell>
          <cell r="D1070" t="str">
            <v>TON</v>
          </cell>
          <cell r="E1070">
            <v>46.332000000000001</v>
          </cell>
        </row>
        <row r="1071">
          <cell r="B1071" t="str">
            <v>낙석방지책</v>
          </cell>
          <cell r="C1071" t="str">
            <v>(표준구간)</v>
          </cell>
          <cell r="D1071" t="str">
            <v>경간</v>
          </cell>
          <cell r="E1071">
            <v>21</v>
          </cell>
        </row>
        <row r="1072">
          <cell r="B1072" t="str">
            <v>낙석방지책</v>
          </cell>
          <cell r="C1072" t="str">
            <v>(단부)</v>
          </cell>
          <cell r="D1072" t="str">
            <v>EA</v>
          </cell>
          <cell r="E1072">
            <v>6</v>
          </cell>
        </row>
        <row r="1074">
          <cell r="B1074" t="str">
            <v>미끄럼방지공</v>
          </cell>
          <cell r="D1074" t="str">
            <v>M2</v>
          </cell>
          <cell r="E1074">
            <v>664</v>
          </cell>
        </row>
        <row r="1076">
          <cell r="B1076" t="str">
            <v>중앙분리대(토공용)</v>
          </cell>
          <cell r="C1076" t="str">
            <v>(콘크리트포장구간)</v>
          </cell>
          <cell r="D1076" t="str">
            <v>M</v>
          </cell>
          <cell r="E1076">
            <v>5086</v>
          </cell>
        </row>
        <row r="1077">
          <cell r="B1077" t="str">
            <v>중앙분리대(토공용)</v>
          </cell>
          <cell r="C1077" t="str">
            <v>(아스팔트포장구간)</v>
          </cell>
          <cell r="D1077" t="str">
            <v>M</v>
          </cell>
          <cell r="E1077">
            <v>303</v>
          </cell>
        </row>
        <row r="1078">
          <cell r="B1078" t="str">
            <v>중앙분리대(단부)</v>
          </cell>
          <cell r="C1078" t="str">
            <v>(콘크리트포장구간)</v>
          </cell>
          <cell r="D1078" t="str">
            <v>EA</v>
          </cell>
          <cell r="E1078">
            <v>6</v>
          </cell>
        </row>
        <row r="1079">
          <cell r="B1079" t="str">
            <v>중앙분리대(단부)</v>
          </cell>
          <cell r="C1079" t="str">
            <v>(아스팔트포장구간)</v>
          </cell>
          <cell r="D1079" t="str">
            <v>EA</v>
          </cell>
          <cell r="E1079">
            <v>1</v>
          </cell>
        </row>
        <row r="1081">
          <cell r="B1081" t="str">
            <v>중앙분리대개구부</v>
          </cell>
          <cell r="C1081" t="str">
            <v>콘크리트포장용</v>
          </cell>
          <cell r="D1081" t="str">
            <v>EA</v>
          </cell>
          <cell r="E1081">
            <v>5</v>
          </cell>
        </row>
        <row r="1082">
          <cell r="B1082" t="str">
            <v>방현망 설치</v>
          </cell>
          <cell r="D1082" t="str">
            <v>EA</v>
          </cell>
          <cell r="E1082">
            <v>1281</v>
          </cell>
        </row>
        <row r="1083">
          <cell r="B1083" t="str">
            <v>공사중 안전시설</v>
          </cell>
          <cell r="D1083" t="str">
            <v>PS</v>
          </cell>
          <cell r="E1083">
            <v>1</v>
          </cell>
        </row>
        <row r="1084">
          <cell r="B1084" t="str">
            <v>차선규제봉</v>
          </cell>
          <cell r="C1084" t="str">
            <v>(SHR-845,80*450*200)</v>
          </cell>
          <cell r="D1084" t="str">
            <v>M3</v>
          </cell>
          <cell r="E1084">
            <v>341</v>
          </cell>
        </row>
        <row r="1085">
          <cell r="B1085" t="str">
            <v>암절개면보호식재공</v>
          </cell>
          <cell r="C1085" t="str">
            <v>(T=10 CM)</v>
          </cell>
          <cell r="D1085" t="str">
            <v>M2</v>
          </cell>
          <cell r="E1085">
            <v>1575</v>
          </cell>
        </row>
        <row r="1086">
          <cell r="B1086" t="str">
            <v>철근운반</v>
          </cell>
          <cell r="D1086" t="str">
            <v>TON</v>
          </cell>
          <cell r="E1086">
            <v>62</v>
          </cell>
        </row>
        <row r="1089">
          <cell r="B1089" t="str">
            <v>레미콘</v>
          </cell>
          <cell r="C1089" t="str">
            <v>19-240- 8</v>
          </cell>
          <cell r="D1089" t="str">
            <v>M3</v>
          </cell>
          <cell r="E1089">
            <v>1314</v>
          </cell>
        </row>
        <row r="1090">
          <cell r="B1090" t="str">
            <v>레미콘</v>
          </cell>
          <cell r="C1090" t="str">
            <v>40-180- 8</v>
          </cell>
          <cell r="D1090" t="str">
            <v>M3</v>
          </cell>
          <cell r="E1090">
            <v>69</v>
          </cell>
        </row>
        <row r="1093">
          <cell r="B1093" t="str">
            <v>철  근</v>
          </cell>
          <cell r="C1093" t="str">
            <v>D 13 M/M</v>
          </cell>
          <cell r="D1093" t="str">
            <v>TON</v>
          </cell>
          <cell r="E1093">
            <v>0.14799999999999999</v>
          </cell>
        </row>
        <row r="1094">
          <cell r="B1094" t="str">
            <v>철  근</v>
          </cell>
          <cell r="C1094" t="str">
            <v>D 16 M/M 이상</v>
          </cell>
          <cell r="D1094" t="str">
            <v>TON</v>
          </cell>
          <cell r="E1094">
            <v>61.856999999999999</v>
          </cell>
        </row>
        <row r="1096">
          <cell r="B1096" t="str">
            <v>고  철</v>
          </cell>
          <cell r="D1096" t="str">
            <v>TON</v>
          </cell>
          <cell r="E1096">
            <v>1.86</v>
          </cell>
        </row>
        <row r="1102">
          <cell r="B1102" t="str">
            <v>터파기</v>
          </cell>
          <cell r="C1102" t="str">
            <v>(인력100%)</v>
          </cell>
          <cell r="D1102" t="str">
            <v>M3</v>
          </cell>
          <cell r="E1102">
            <v>14007</v>
          </cell>
        </row>
        <row r="1103">
          <cell r="B1103" t="str">
            <v>되메우기</v>
          </cell>
          <cell r="C1103" t="str">
            <v>(인력100%)</v>
          </cell>
          <cell r="D1103" t="str">
            <v>M3</v>
          </cell>
          <cell r="E1103">
            <v>9831</v>
          </cell>
        </row>
        <row r="1106">
          <cell r="B1106" t="str">
            <v>콘크리트타설</v>
          </cell>
          <cell r="C1106" t="str">
            <v>(무근,VIB제외)</v>
          </cell>
          <cell r="D1106" t="str">
            <v>M3</v>
          </cell>
          <cell r="E1106">
            <v>426</v>
          </cell>
        </row>
        <row r="1107">
          <cell r="B1107" t="str">
            <v>콘크리트타설</v>
          </cell>
          <cell r="C1107" t="str">
            <v>(철근,VIB포함)</v>
          </cell>
          <cell r="D1107" t="str">
            <v>M3</v>
          </cell>
          <cell r="E1107">
            <v>2909</v>
          </cell>
        </row>
        <row r="1110">
          <cell r="B1110" t="str">
            <v>합판거푸집</v>
          </cell>
          <cell r="C1110" t="str">
            <v>(4 회)</v>
          </cell>
          <cell r="D1110" t="str">
            <v>M2</v>
          </cell>
          <cell r="E1110">
            <v>5329</v>
          </cell>
        </row>
        <row r="1111">
          <cell r="B1111" t="str">
            <v>합판거푸집</v>
          </cell>
          <cell r="C1111" t="str">
            <v>(6 회)</v>
          </cell>
          <cell r="D1111" t="str">
            <v>M2</v>
          </cell>
          <cell r="E1111">
            <v>1654</v>
          </cell>
        </row>
        <row r="1112">
          <cell r="B1112" t="str">
            <v>문양거푸집</v>
          </cell>
          <cell r="C1112" t="str">
            <v>(20회사용)</v>
          </cell>
          <cell r="D1112" t="str">
            <v>M2</v>
          </cell>
          <cell r="E1112">
            <v>676</v>
          </cell>
        </row>
        <row r="1114">
          <cell r="B1114" t="str">
            <v>기초잡석부설및다짐</v>
          </cell>
          <cell r="D1114" t="str">
            <v>M3</v>
          </cell>
          <cell r="E1114">
            <v>1177</v>
          </cell>
        </row>
        <row r="1115">
          <cell r="B1115" t="str">
            <v>강관비계</v>
          </cell>
          <cell r="C1115" t="str">
            <v>(암거및소형구조물)</v>
          </cell>
          <cell r="D1115" t="str">
            <v>M2</v>
          </cell>
          <cell r="E1115">
            <v>2571</v>
          </cell>
        </row>
        <row r="1116">
          <cell r="B1116" t="str">
            <v>철근가공조립</v>
          </cell>
          <cell r="C1116" t="str">
            <v>(보 통)</v>
          </cell>
          <cell r="D1116" t="str">
            <v>TON</v>
          </cell>
          <cell r="E1116">
            <v>265.36799999999999</v>
          </cell>
        </row>
        <row r="1117">
          <cell r="B1117" t="str">
            <v>방음벽(흡음형)</v>
          </cell>
          <cell r="C1117" t="str">
            <v>(H = 3.0M)</v>
          </cell>
          <cell r="D1117" t="str">
            <v>M</v>
          </cell>
          <cell r="E1117">
            <v>1439</v>
          </cell>
        </row>
        <row r="1120">
          <cell r="B1120" t="str">
            <v>기초잡석부설및다짐</v>
          </cell>
          <cell r="D1120" t="str">
            <v>M3</v>
          </cell>
          <cell r="E1120">
            <v>37</v>
          </cell>
        </row>
        <row r="1121">
          <cell r="B1121" t="str">
            <v>철근가공조립</v>
          </cell>
          <cell r="C1121" t="str">
            <v>(보 통)</v>
          </cell>
          <cell r="D1121" t="str">
            <v>TON</v>
          </cell>
          <cell r="E1121">
            <v>1.3280000000000001</v>
          </cell>
        </row>
        <row r="1122">
          <cell r="B1122" t="str">
            <v>콘크리트타설</v>
          </cell>
          <cell r="C1122" t="str">
            <v>(철근,VIB포함)</v>
          </cell>
          <cell r="D1122" t="str">
            <v>M3</v>
          </cell>
          <cell r="E1122">
            <v>37</v>
          </cell>
        </row>
        <row r="1123">
          <cell r="B1123" t="str">
            <v>합판거푸집</v>
          </cell>
          <cell r="C1123" t="str">
            <v>(4 회)</v>
          </cell>
          <cell r="D1123" t="str">
            <v>M2</v>
          </cell>
          <cell r="E1123">
            <v>85</v>
          </cell>
        </row>
        <row r="1124">
          <cell r="B1124" t="str">
            <v>세륜세차기</v>
          </cell>
          <cell r="C1124" t="str">
            <v>(자동)</v>
          </cell>
          <cell r="D1124" t="str">
            <v>EA</v>
          </cell>
          <cell r="E1124">
            <v>2</v>
          </cell>
        </row>
        <row r="1128">
          <cell r="B1128" t="str">
            <v>기계기구 설치</v>
          </cell>
          <cell r="C1128" t="str">
            <v>(보링)</v>
          </cell>
          <cell r="D1128" t="str">
            <v>개소</v>
          </cell>
          <cell r="E1128">
            <v>6</v>
          </cell>
        </row>
        <row r="1129">
          <cell r="B1129" t="str">
            <v>보링기계급수비</v>
          </cell>
          <cell r="D1129" t="str">
            <v>개소</v>
          </cell>
          <cell r="E1129">
            <v>6</v>
          </cell>
        </row>
        <row r="1132">
          <cell r="B1132" t="str">
            <v>점토및풍화암층시추</v>
          </cell>
          <cell r="C1132" t="str">
            <v>(BX)</v>
          </cell>
          <cell r="D1132" t="str">
            <v>M</v>
          </cell>
          <cell r="E1132">
            <v>78</v>
          </cell>
        </row>
        <row r="1133">
          <cell r="B1133" t="str">
            <v>모래층시추</v>
          </cell>
          <cell r="C1133" t="str">
            <v>(BX)</v>
          </cell>
          <cell r="D1133" t="str">
            <v>M</v>
          </cell>
          <cell r="E1133">
            <v>18</v>
          </cell>
        </row>
        <row r="1134">
          <cell r="B1134" t="str">
            <v>자갈층시추</v>
          </cell>
          <cell r="C1134" t="str">
            <v>(BX)</v>
          </cell>
          <cell r="D1134" t="str">
            <v>M</v>
          </cell>
          <cell r="E1134">
            <v>21</v>
          </cell>
        </row>
        <row r="1135">
          <cell r="B1135" t="str">
            <v>연암층시추</v>
          </cell>
          <cell r="C1135" t="str">
            <v>(BX)</v>
          </cell>
          <cell r="D1135" t="str">
            <v>M</v>
          </cell>
          <cell r="E1135">
            <v>3</v>
          </cell>
        </row>
        <row r="1137">
          <cell r="B1137" t="str">
            <v>표준관입시험</v>
          </cell>
          <cell r="C1137" t="str">
            <v>(육상)</v>
          </cell>
          <cell r="D1137" t="str">
            <v>회</v>
          </cell>
          <cell r="E1137">
            <v>50</v>
          </cell>
        </row>
        <row r="1139">
          <cell r="B1139" t="str">
            <v>시험비</v>
          </cell>
          <cell r="C1139" t="str">
            <v>입  도</v>
          </cell>
          <cell r="D1139" t="str">
            <v>회</v>
          </cell>
          <cell r="E1139">
            <v>9</v>
          </cell>
        </row>
        <row r="1140">
          <cell r="B1140" t="str">
            <v>시험비</v>
          </cell>
          <cell r="C1140" t="str">
            <v>비  중</v>
          </cell>
          <cell r="D1140" t="str">
            <v>회</v>
          </cell>
          <cell r="E1140">
            <v>9</v>
          </cell>
        </row>
        <row r="1141">
          <cell r="B1141" t="str">
            <v>시험비</v>
          </cell>
          <cell r="C1141" t="str">
            <v>함수량</v>
          </cell>
          <cell r="D1141" t="str">
            <v>회</v>
          </cell>
          <cell r="E1141">
            <v>9</v>
          </cell>
        </row>
        <row r="1142">
          <cell r="B1142" t="str">
            <v>시험비</v>
          </cell>
          <cell r="C1142" t="str">
            <v>체가름</v>
          </cell>
          <cell r="D1142" t="str">
            <v>회</v>
          </cell>
          <cell r="E1142">
            <v>9</v>
          </cell>
        </row>
        <row r="1144">
          <cell r="B1144" t="str">
            <v>PILE재하시험비</v>
          </cell>
          <cell r="C1144" t="str">
            <v>강관PILE 정재하시험</v>
          </cell>
          <cell r="D1144" t="str">
            <v>회</v>
          </cell>
          <cell r="E1144">
            <v>5</v>
          </cell>
        </row>
        <row r="1145">
          <cell r="B1145" t="str">
            <v>PILE재하시험</v>
          </cell>
          <cell r="C1145" t="str">
            <v>강재운반및손료</v>
          </cell>
          <cell r="D1145" t="str">
            <v>PS</v>
          </cell>
          <cell r="E1145">
            <v>1</v>
          </cell>
        </row>
        <row r="1147">
          <cell r="B1147" t="str">
            <v>기존도로유지보수</v>
          </cell>
          <cell r="C1147" t="str">
            <v>(T=5 CM)</v>
          </cell>
          <cell r="D1147" t="str">
            <v>PS</v>
          </cell>
          <cell r="E1147">
            <v>1</v>
          </cell>
        </row>
        <row r="1148">
          <cell r="B1148" t="str">
            <v>기존교량유지보수비</v>
          </cell>
          <cell r="D1148" t="str">
            <v>회</v>
          </cell>
          <cell r="E1148">
            <v>5</v>
          </cell>
        </row>
        <row r="1150">
          <cell r="B1150" t="str">
            <v>건설폐기물처리비</v>
          </cell>
          <cell r="C1150" t="str">
            <v>폐콘크리트</v>
          </cell>
          <cell r="D1150" t="str">
            <v>TON</v>
          </cell>
          <cell r="E1150">
            <v>1542</v>
          </cell>
        </row>
        <row r="1151">
          <cell r="B1151" t="str">
            <v>건설폐기물처리</v>
          </cell>
          <cell r="C1151" t="str">
            <v>혼합물</v>
          </cell>
          <cell r="D1151" t="str">
            <v>M3</v>
          </cell>
          <cell r="E1151">
            <v>811</v>
          </cell>
        </row>
        <row r="1152">
          <cell r="B1152" t="str">
            <v>건설폐기물처리</v>
          </cell>
          <cell r="C1152" t="str">
            <v>아스콘</v>
          </cell>
          <cell r="D1152" t="str">
            <v>TON</v>
          </cell>
          <cell r="E1152">
            <v>790</v>
          </cell>
        </row>
        <row r="1154">
          <cell r="B1154" t="str">
            <v>시공측량비.</v>
          </cell>
          <cell r="D1154" t="str">
            <v>PS</v>
          </cell>
          <cell r="E1154">
            <v>1</v>
          </cell>
        </row>
        <row r="1155">
          <cell r="B1155" t="str">
            <v>도로대장</v>
          </cell>
          <cell r="D1155" t="str">
            <v>KM</v>
          </cell>
          <cell r="E1155">
            <v>5.44</v>
          </cell>
        </row>
        <row r="1156">
          <cell r="B1156" t="str">
            <v>도로경계표주</v>
          </cell>
          <cell r="C1156" t="str">
            <v>(10*10*75CM)</v>
          </cell>
          <cell r="D1156" t="str">
            <v>EA</v>
          </cell>
          <cell r="E1156">
            <v>174</v>
          </cell>
        </row>
        <row r="1157">
          <cell r="B1157" t="str">
            <v>준공표지석</v>
          </cell>
          <cell r="C1157" t="str">
            <v>(화강석)</v>
          </cell>
          <cell r="D1157" t="str">
            <v>EA</v>
          </cell>
          <cell r="E1157">
            <v>2</v>
          </cell>
        </row>
        <row r="1158">
          <cell r="B1158" t="str">
            <v>수목 이식</v>
          </cell>
          <cell r="C1158" t="str">
            <v>(흉고직경 10CM-20CM)</v>
          </cell>
          <cell r="D1158" t="str">
            <v>주</v>
          </cell>
          <cell r="E1158">
            <v>201</v>
          </cell>
        </row>
        <row r="1160">
          <cell r="B1160" t="str">
            <v>가설사무실</v>
          </cell>
          <cell r="C1160" t="str">
            <v>(조립식)</v>
          </cell>
          <cell r="D1160" t="str">
            <v>M2</v>
          </cell>
          <cell r="E1160">
            <v>580</v>
          </cell>
        </row>
        <row r="1161">
          <cell r="B1161" t="str">
            <v>가설창고</v>
          </cell>
          <cell r="C1161" t="str">
            <v>(조립식)</v>
          </cell>
          <cell r="D1161" t="str">
            <v>M2</v>
          </cell>
          <cell r="E1161">
            <v>120</v>
          </cell>
        </row>
        <row r="1162">
          <cell r="B1162" t="str">
            <v>가설작업소</v>
          </cell>
          <cell r="C1162" t="str">
            <v>(조립식)</v>
          </cell>
          <cell r="D1162" t="str">
            <v>M2</v>
          </cell>
          <cell r="E1162">
            <v>240</v>
          </cell>
        </row>
        <row r="1163">
          <cell r="B1163" t="str">
            <v>가설바닥콘크리트</v>
          </cell>
          <cell r="D1163" t="str">
            <v>M2</v>
          </cell>
          <cell r="E1163">
            <v>940</v>
          </cell>
        </row>
        <row r="1164">
          <cell r="B1164" t="str">
            <v>가설건물부지</v>
          </cell>
          <cell r="D1164" t="str">
            <v>M2</v>
          </cell>
          <cell r="E1164">
            <v>940</v>
          </cell>
        </row>
        <row r="1165">
          <cell r="B1165" t="str">
            <v>가설건물 잡공사</v>
          </cell>
          <cell r="D1165" t="str">
            <v>PS</v>
          </cell>
          <cell r="E1165">
            <v>1</v>
          </cell>
        </row>
        <row r="1168">
          <cell r="B1168" t="str">
            <v>시험비</v>
          </cell>
          <cell r="C1168" t="str">
            <v>(선정시험)</v>
          </cell>
          <cell r="D1168" t="str">
            <v>PS</v>
          </cell>
          <cell r="E1168">
            <v>1</v>
          </cell>
        </row>
        <row r="1169">
          <cell r="B1169" t="str">
            <v>시험비</v>
          </cell>
          <cell r="C1169" t="str">
            <v>(관리시험)</v>
          </cell>
          <cell r="D1169" t="str">
            <v>PS</v>
          </cell>
          <cell r="E1169">
            <v>1</v>
          </cell>
        </row>
        <row r="1170">
          <cell r="B1170" t="str">
            <v>품질관리차량비</v>
          </cell>
          <cell r="D1170" t="str">
            <v>개월</v>
          </cell>
          <cell r="E1170">
            <v>48</v>
          </cell>
        </row>
        <row r="1173">
          <cell r="B1173" t="str">
            <v>중기운반비</v>
          </cell>
          <cell r="C1173" t="str">
            <v>(트레일러20TON)</v>
          </cell>
          <cell r="D1173" t="str">
            <v>회</v>
          </cell>
          <cell r="E1173">
            <v>18</v>
          </cell>
        </row>
        <row r="1174">
          <cell r="B1174" t="str">
            <v>중기운반비</v>
          </cell>
          <cell r="C1174" t="str">
            <v>(트레일러30TON)</v>
          </cell>
          <cell r="D1174" t="str">
            <v>회</v>
          </cell>
          <cell r="E1174">
            <v>8</v>
          </cell>
        </row>
        <row r="1175">
          <cell r="B1175" t="str">
            <v>중기운반비</v>
          </cell>
          <cell r="C1175" t="str">
            <v>(카고운반10.5TON)</v>
          </cell>
          <cell r="D1175" t="str">
            <v>회</v>
          </cell>
          <cell r="E1175">
            <v>20</v>
          </cell>
        </row>
        <row r="1176">
          <cell r="B1176" t="str">
            <v>중기운반비</v>
          </cell>
          <cell r="C1176" t="str">
            <v>(자주식운반)</v>
          </cell>
          <cell r="D1176" t="str">
            <v>대</v>
          </cell>
          <cell r="E1176">
            <v>12</v>
          </cell>
        </row>
        <row r="1179">
          <cell r="B1179" t="str">
            <v>철근운반</v>
          </cell>
          <cell r="D1179" t="str">
            <v>TON</v>
          </cell>
          <cell r="E1179">
            <v>275</v>
          </cell>
        </row>
        <row r="1183">
          <cell r="B1183" t="str">
            <v>레미콘</v>
          </cell>
          <cell r="C1183" t="str">
            <v>25-210- 8</v>
          </cell>
          <cell r="D1183" t="str">
            <v>M3</v>
          </cell>
          <cell r="E1183">
            <v>2977</v>
          </cell>
        </row>
        <row r="1184">
          <cell r="B1184" t="str">
            <v>레미콘</v>
          </cell>
          <cell r="C1184" t="str">
            <v>40-180- 8</v>
          </cell>
          <cell r="D1184" t="str">
            <v>M3</v>
          </cell>
          <cell r="E1184">
            <v>434</v>
          </cell>
        </row>
        <row r="1187">
          <cell r="B1187" t="str">
            <v>철  근</v>
          </cell>
          <cell r="C1187" t="str">
            <v>D 13 M/M</v>
          </cell>
          <cell r="D1187" t="str">
            <v>TON</v>
          </cell>
          <cell r="E1187">
            <v>91.197999999999993</v>
          </cell>
        </row>
        <row r="1188">
          <cell r="B1188" t="str">
            <v>철  근</v>
          </cell>
          <cell r="C1188" t="str">
            <v>D 16 M/M 이상</v>
          </cell>
          <cell r="D1188" t="str">
            <v>TON</v>
          </cell>
          <cell r="E1188">
            <v>183.499</v>
          </cell>
        </row>
        <row r="1190">
          <cell r="B1190" t="str">
            <v>고  철</v>
          </cell>
          <cell r="D1190" t="str">
            <v>TON</v>
          </cell>
          <cell r="E1190">
            <v>8.24</v>
          </cell>
        </row>
        <row r="1194">
          <cell r="B1194" t="str">
            <v>간접 노무비</v>
          </cell>
          <cell r="D1194" t="str">
            <v>식</v>
          </cell>
          <cell r="E1194">
            <v>1</v>
          </cell>
        </row>
        <row r="1195">
          <cell r="B1195" t="str">
            <v>산재 보험료</v>
          </cell>
          <cell r="D1195" t="str">
            <v>식</v>
          </cell>
          <cell r="E1195">
            <v>1</v>
          </cell>
        </row>
        <row r="1196">
          <cell r="B1196" t="str">
            <v>고용 보험료</v>
          </cell>
          <cell r="D1196" t="str">
            <v>식</v>
          </cell>
          <cell r="E1196">
            <v>1</v>
          </cell>
        </row>
        <row r="1197">
          <cell r="B1197" t="str">
            <v>안전 관리비</v>
          </cell>
          <cell r="D1197" t="str">
            <v>식</v>
          </cell>
          <cell r="E1197">
            <v>1</v>
          </cell>
        </row>
        <row r="1198">
          <cell r="B1198" t="str">
            <v>기타   경비</v>
          </cell>
          <cell r="D1198" t="str">
            <v>식</v>
          </cell>
          <cell r="E1198">
            <v>1</v>
          </cell>
        </row>
        <row r="1199">
          <cell r="B1199" t="str">
            <v>퇴직 부금비</v>
          </cell>
          <cell r="D1199" t="str">
            <v>식</v>
          </cell>
          <cell r="E1199">
            <v>1</v>
          </cell>
        </row>
        <row r="1200">
          <cell r="B1200" t="str">
            <v>정기안전점검비</v>
          </cell>
          <cell r="D1200" t="str">
            <v>식</v>
          </cell>
          <cell r="E1200">
            <v>1</v>
          </cell>
        </row>
        <row r="1201">
          <cell r="B1201" t="str">
            <v>사후환경영향평가비</v>
          </cell>
          <cell r="D1201" t="str">
            <v>식</v>
          </cell>
          <cell r="E1201">
            <v>1</v>
          </cell>
        </row>
        <row r="1202">
          <cell r="B1202" t="str">
            <v>일반 관리비</v>
          </cell>
          <cell r="D1202" t="str">
            <v>식</v>
          </cell>
          <cell r="E1202">
            <v>1</v>
          </cell>
        </row>
        <row r="1203">
          <cell r="B1203" t="str">
            <v>이       윤</v>
          </cell>
          <cell r="D1203" t="str">
            <v>식</v>
          </cell>
          <cell r="E1203">
            <v>1</v>
          </cell>
        </row>
        <row r="1204">
          <cell r="B1204" t="str">
            <v>부가 가치세</v>
          </cell>
          <cell r="D1204" t="str">
            <v>식</v>
          </cell>
          <cell r="E1204">
            <v>1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건축내역"/>
      <sheetName val="계정"/>
      <sheetName val="해외"/>
      <sheetName val="대외공문"/>
      <sheetName val="파이프류"/>
      <sheetName val="2000년1차"/>
      <sheetName val="도"/>
      <sheetName val="XL4Poppy"/>
      <sheetName val="집계표"/>
      <sheetName val="인부신상자료"/>
      <sheetName val="총괄표"/>
      <sheetName val="입력"/>
      <sheetName val="차량별점검"/>
      <sheetName val="이자율"/>
      <sheetName val="1.기안지"/>
      <sheetName val="Sheet2"/>
      <sheetName val="Sheet1"/>
      <sheetName val="1.기안을지"/>
      <sheetName val="3.시행문"/>
      <sheetName val="4.협조전"/>
      <sheetName val="5.문서수발"/>
      <sheetName val="6.발송인"/>
      <sheetName val="7.우편물발송의뢰서"/>
      <sheetName val="8.간행물관리대장"/>
      <sheetName val="10.문서처리"/>
      <sheetName val="11.회람"/>
      <sheetName val="12.문서색인표"/>
      <sheetName val="14.문서목록"/>
      <sheetName val="15.이관문서목록표"/>
      <sheetName val="17.폐기문서목록표"/>
      <sheetName val="21.열람증"/>
      <sheetName val="문서열람및반출대장"/>
      <sheetName val="서식등록신청서"/>
      <sheetName val="서식등록대장"/>
      <sheetName val="회의록"/>
      <sheetName val="회의록 (을)"/>
      <sheetName val="도급"/>
      <sheetName val="DATA"/>
      <sheetName val="SULKEA"/>
      <sheetName val="식당동(010424)"/>
      <sheetName val="기본단가표"/>
      <sheetName val="2_대외공문"/>
      <sheetName val="노임이"/>
      <sheetName val="NYS"/>
      <sheetName val="투찰(하수)"/>
      <sheetName val="기계경비(시간당)"/>
      <sheetName val="램머"/>
      <sheetName val="#REF"/>
      <sheetName val="전입"/>
      <sheetName val="소개"/>
      <sheetName val="중기조종사 단위단가"/>
      <sheetName val="DATA(VTL)"/>
      <sheetName val="남양구조시험동"/>
      <sheetName val="경비"/>
      <sheetName val="코드"/>
      <sheetName val="표준문서"/>
      <sheetName val="일위대가목차"/>
      <sheetName val="교사기준면적(초등)"/>
      <sheetName val="내역서을지"/>
      <sheetName val="APT"/>
      <sheetName val="옹벽기초자료"/>
      <sheetName val="현황산출서"/>
      <sheetName val="건축집계"/>
      <sheetName val="내역"/>
      <sheetName val="P-산#1-1(WOWA1)"/>
      <sheetName val="98지급계획"/>
      <sheetName val="작성"/>
      <sheetName val="울산시산표"/>
      <sheetName val="토공집계표"/>
      <sheetName val="투자-국내2"/>
      <sheetName val="원가data"/>
      <sheetName val="정공공사"/>
      <sheetName val="조건 (A)"/>
      <sheetName val="샘플표지"/>
      <sheetName val="영업.일1"/>
      <sheetName val="6호기"/>
      <sheetName val="전문품의"/>
      <sheetName val="현장관리비 산출내역"/>
      <sheetName val="단양 00 아파트-세부내역"/>
      <sheetName val="실행철강하도"/>
      <sheetName val="10.문서처리 (2)"/>
      <sheetName val="월별수입"/>
      <sheetName val="품의서P1"/>
      <sheetName val="품의서P2"/>
      <sheetName val="발송의뢰서"/>
      <sheetName val="회람"/>
      <sheetName val="문서색인표"/>
      <sheetName val="이관문서목록표"/>
      <sheetName val="폐기문서목록표"/>
      <sheetName val="문서수발"/>
      <sheetName val="시행문"/>
      <sheetName val="발송인"/>
      <sheetName val="간행물관리"/>
      <sheetName val="문서목록"/>
      <sheetName val="열람증"/>
      <sheetName val="재종"/>
      <sheetName val="품셈TABLE"/>
      <sheetName val="TABLE DB"/>
      <sheetName val="쌍용 data base"/>
      <sheetName val="항목(1)"/>
      <sheetName val="입찰안"/>
      <sheetName val="BOOK4"/>
      <sheetName val="문서처리"/>
      <sheetName val="협조전"/>
      <sheetName val="간이연락"/>
      <sheetName val="2_대외공문1"/>
      <sheetName val="원가총괄"/>
      <sheetName val="9-1차이내역"/>
      <sheetName val="업무분장"/>
      <sheetName val="원가계산서"/>
      <sheetName val="데이타"/>
      <sheetName val="식재인부"/>
      <sheetName val="단위수량"/>
      <sheetName val="가시설수량"/>
      <sheetName val="단면 (2)"/>
      <sheetName val="남양시작동자105노65기1.3화1.2"/>
      <sheetName val="출금실적"/>
      <sheetName val="G.R300경비"/>
      <sheetName val="전체"/>
      <sheetName val="B-III"/>
      <sheetName val="020114"/>
      <sheetName val="0111월"/>
      <sheetName val="월별손익"/>
      <sheetName val="5사남"/>
      <sheetName val="비품"/>
      <sheetName val="가정"/>
      <sheetName val="공량산출서"/>
      <sheetName val="BID"/>
      <sheetName val="일위(PN)"/>
      <sheetName val="수입"/>
      <sheetName val="계열사현황종합"/>
      <sheetName val="CALENDAR"/>
      <sheetName val="차수"/>
      <sheetName val="선급비용"/>
      <sheetName val="교수설계"/>
      <sheetName val="Summary by type of CIP"/>
      <sheetName val="CIP transfer to FA"/>
      <sheetName val="220 (2)"/>
      <sheetName val="JUM"/>
      <sheetName val="대차"/>
      <sheetName val="소방"/>
      <sheetName val="주요공사"/>
      <sheetName val="수량산출서"/>
      <sheetName val="차액보증"/>
      <sheetName val="품의서(TL)"/>
      <sheetName val="맨홀수량산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"/>
      <sheetName val="수정내역"/>
      <sheetName val="일위대가표"/>
      <sheetName val="일위대가"/>
      <sheetName val="실행내역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XXXXXX"/>
      <sheetName val="VXXX"/>
      <sheetName val="진짜내역"/>
      <sheetName val="전시원"/>
      <sheetName val="전시내"/>
      <sheetName val="Sheet1"/>
      <sheetName val="Sheet2"/>
      <sheetName val="Sheet3"/>
      <sheetName val="표"/>
      <sheetName val="목"/>
      <sheetName val="설 (3)"/>
      <sheetName val="설 (2)"/>
      <sheetName val="설"/>
      <sheetName val="일"/>
      <sheetName val="일집표"/>
      <sheetName val="일위표"/>
      <sheetName val="수표"/>
      <sheetName val="총집"/>
      <sheetName val="원가"/>
      <sheetName val="집계표"/>
      <sheetName val="제작총집계표"/>
      <sheetName val="총경기장별내역서(10-11)"/>
      <sheetName val="경기장별내역서(12-107)"/>
      <sheetName val="내역서"/>
      <sheetName val="단가산출서"/>
      <sheetName val="중기사용료"/>
      <sheetName val="재료단가"/>
      <sheetName val="노임단가"/>
      <sheetName val="현장"/>
      <sheetName val="예산M11A"/>
      <sheetName val="출자한도"/>
      <sheetName val="건축내역"/>
      <sheetName val="내역"/>
      <sheetName val="#REF"/>
      <sheetName val="101동"/>
      <sheetName val="2000년1차"/>
      <sheetName val="2000전체분"/>
      <sheetName val="일대-1"/>
      <sheetName val="3BL공동구 수량"/>
      <sheetName val="교통대책내역"/>
      <sheetName val="MAIN_TABLE"/>
      <sheetName val="백암비스타내역"/>
      <sheetName val="KKK"/>
      <sheetName val="기본일위"/>
      <sheetName val="J直材4"/>
      <sheetName val="I一般比"/>
      <sheetName val="기초자료"/>
      <sheetName val="공사개요(서광주)"/>
      <sheetName val="산출내역서"/>
      <sheetName val="지질조사"/>
      <sheetName val="재료"/>
      <sheetName val="총괄표"/>
      <sheetName val="교각별철근수량집계표"/>
      <sheetName val="공사비총괄표"/>
      <sheetName val="산근"/>
      <sheetName val="금액내역서"/>
      <sheetName val="철탑공사"/>
      <sheetName val="골재산출"/>
      <sheetName val="5공철탑검토표"/>
      <sheetName val="4공철탑검토"/>
      <sheetName val="차수공개요"/>
      <sheetName val="단가조사"/>
      <sheetName val="경산"/>
      <sheetName val="대공종"/>
      <sheetName val="기본단가표"/>
      <sheetName val="식재인부"/>
      <sheetName val="단중표"/>
      <sheetName val="설계서"/>
      <sheetName val="AIR SHOWER(3인용)"/>
      <sheetName val="조명율표"/>
      <sheetName val="N賃率-職"/>
      <sheetName val="CTEMCOST"/>
      <sheetName val="적용토목"/>
      <sheetName val="설직재-1"/>
      <sheetName val="실행"/>
      <sheetName val="산출근거"/>
      <sheetName val="스포회원매출"/>
      <sheetName val="Customer Databas"/>
      <sheetName val="자료"/>
      <sheetName val="노임"/>
      <sheetName val="당초"/>
      <sheetName val="토공(우물통,기타) "/>
      <sheetName val="자재단가"/>
      <sheetName val="LF자재단가"/>
      <sheetName val="코드표"/>
      <sheetName val="영창26"/>
      <sheetName val="본공사"/>
      <sheetName val="기초내역서"/>
      <sheetName val="수량산출"/>
      <sheetName val="대가목록표"/>
      <sheetName val="요율"/>
      <sheetName val="갑지"/>
      <sheetName val="NYS"/>
      <sheetName val="특외대"/>
      <sheetName val="물가자료"/>
      <sheetName val="위생설비"/>
      <sheetName val="갑지(추정)"/>
      <sheetName val="본체"/>
      <sheetName val="일위대가목차"/>
      <sheetName val=" HIT-&gt;HMC 견적(3900)"/>
      <sheetName val="단가산출"/>
      <sheetName val="Sheet5"/>
      <sheetName val="6PILE  (돌출)"/>
      <sheetName val="asd"/>
      <sheetName val="RE9604"/>
      <sheetName val="토공 total"/>
      <sheetName val="조명시설"/>
      <sheetName val="노임,재료비"/>
      <sheetName val="목록"/>
      <sheetName val="중기"/>
      <sheetName val="철거산출근거"/>
      <sheetName val="공정율"/>
      <sheetName val="pldt"/>
      <sheetName val="건집"/>
      <sheetName val="건축"/>
      <sheetName val="기설집"/>
      <sheetName val="설집"/>
      <sheetName val="식재수량표"/>
      <sheetName val="총괄"/>
      <sheetName val="집계"/>
      <sheetName val="공량집"/>
      <sheetName val="단가"/>
      <sheetName val="배부율"/>
      <sheetName val="완성1"/>
      <sheetName val="완성2"/>
      <sheetName val="산재비율"/>
      <sheetName val="안전비율"/>
      <sheetName val="일반비율"/>
      <sheetName val="공량"/>
      <sheetName val="VXXXXX"/>
      <sheetName val="적용대가"/>
      <sheetName val="지수내역"/>
      <sheetName val="노(97.1,97.9,98.1)"/>
      <sheetName val="표지"/>
      <sheetName val="교수설계"/>
      <sheetName val="96정변2"/>
      <sheetName val="식생블럭단위수량"/>
      <sheetName val="재료비노무비"/>
      <sheetName val="공사직종별노임"/>
      <sheetName val="첨부1"/>
      <sheetName val="기술부대조건"/>
      <sheetName val="설_(3)"/>
      <sheetName val="설_(2)"/>
      <sheetName val="3BL공동구_수량"/>
      <sheetName val="본사업"/>
      <sheetName val="가설공사"/>
      <sheetName val="102역사"/>
      <sheetName val="내역(원안-대안)"/>
      <sheetName val="견적"/>
      <sheetName val="Sheet6"/>
      <sheetName val="공통가설공사"/>
      <sheetName val="내역서2안"/>
      <sheetName val="Baby일위대가"/>
      <sheetName val="을지"/>
      <sheetName val="노무비"/>
      <sheetName val="데이타"/>
      <sheetName val="DATA"/>
      <sheetName val="물량표"/>
      <sheetName val="부하자료"/>
      <sheetName val="당진1,2호기전선관설치및접지4차공사내역서-을지"/>
      <sheetName val="원가계산서"/>
      <sheetName val="원가서"/>
      <sheetName val="조경일람"/>
      <sheetName val="입찰안"/>
      <sheetName val="기계경비(시간당)"/>
      <sheetName val="율촌법률사무소2내역"/>
      <sheetName val="예산"/>
      <sheetName val="원가 (2)"/>
      <sheetName val="사다리"/>
      <sheetName val="CIVIL4"/>
      <sheetName val="견적서"/>
      <sheetName val="지하"/>
      <sheetName val="도급기성"/>
      <sheetName val="설비단가표"/>
      <sheetName val="LEGEND"/>
      <sheetName val="오수공수량집계표"/>
      <sheetName val="연부97-1"/>
      <sheetName val="조건표"/>
      <sheetName val="자갈,시멘트,모래산출"/>
      <sheetName val="일위(철거)"/>
      <sheetName val="산출-설비"/>
      <sheetName val="제작비추산총괄표"/>
      <sheetName val="갑"/>
      <sheetName val="국내"/>
      <sheetName val="내역서 제출"/>
      <sheetName val="기계공사비집계(원안)"/>
      <sheetName val="2000년 공정표"/>
      <sheetName val="단"/>
      <sheetName val="대치판정"/>
      <sheetName val="토공집계표"/>
      <sheetName val="48전력선로일위"/>
      <sheetName val="단가표"/>
      <sheetName val="본체철근표"/>
      <sheetName val="노무,재료"/>
      <sheetName val="guard(mac)"/>
      <sheetName val="1.설계조건"/>
      <sheetName val="시설물기초"/>
      <sheetName val=" 냉각수펌프"/>
      <sheetName val="AHU집계"/>
      <sheetName val="아파트건축"/>
      <sheetName val="물량입력"/>
      <sheetName val="200"/>
      <sheetName val="6호기"/>
      <sheetName val="부대공Ⅱ"/>
      <sheetName val="찍기"/>
      <sheetName val="데리네이타현황"/>
      <sheetName val="DATE"/>
      <sheetName val="토공"/>
      <sheetName val="터파기및재료"/>
      <sheetName val="배수내역"/>
      <sheetName val="기흥하도용"/>
      <sheetName val="일위대가1"/>
      <sheetName val="카메라"/>
      <sheetName val="상가분양"/>
      <sheetName val="부대내역"/>
      <sheetName val="세골재  T2 변경 현황"/>
      <sheetName val="내역서(중수)"/>
      <sheetName val="설계조건"/>
      <sheetName val="통합집계표"/>
      <sheetName val="공사착공계"/>
      <sheetName val="3본사"/>
      <sheetName val="간접1"/>
      <sheetName val="장비가동"/>
      <sheetName val="도급견적가"/>
      <sheetName val="전기일위목록"/>
      <sheetName val="공통가설"/>
      <sheetName val="금액집계"/>
      <sheetName val="001"/>
      <sheetName val="단위내역서"/>
      <sheetName val="공사개요"/>
      <sheetName val="단가비교표_공통1"/>
      <sheetName val="수주추정"/>
      <sheetName val="시멘트"/>
      <sheetName val="내역표지"/>
      <sheetName val="단가일람"/>
      <sheetName val="CAT_5"/>
      <sheetName val="유기공정"/>
      <sheetName val="갑지.을지"/>
      <sheetName val="실행철강하도"/>
      <sheetName val="BID"/>
      <sheetName val="일위대가(1)"/>
      <sheetName val="청주(철골발주의뢰서)"/>
      <sheetName val="sub"/>
      <sheetName val="반포2차"/>
      <sheetName val="하도급원가계산총괄표(식재)"/>
      <sheetName val="저"/>
      <sheetName val="직접공사비"/>
      <sheetName val="JUCKEYK"/>
      <sheetName val="ELEC"/>
      <sheetName val="9GNG운반"/>
      <sheetName val="공조기휀"/>
      <sheetName val="N賃率_職"/>
      <sheetName val="역공종"/>
      <sheetName val="제-노임"/>
      <sheetName val="제직재"/>
      <sheetName val="주beam"/>
      <sheetName val="갑지1"/>
      <sheetName val="전선 및 전선관"/>
      <sheetName val="내역(설계)"/>
      <sheetName val="유림콘도"/>
      <sheetName val="내역서 "/>
      <sheetName val="약품공급2"/>
      <sheetName val="현장관리비"/>
      <sheetName val="총수량집계표"/>
      <sheetName val="ITEM"/>
      <sheetName val="내역관리1"/>
      <sheetName val="백룡교차로"/>
      <sheetName val="산정교차로"/>
      <sheetName val="신영교차로"/>
      <sheetName val="E총15"/>
      <sheetName val="내역서(기성청구)"/>
      <sheetName val="노 무 비"/>
      <sheetName val="별표"/>
      <sheetName val="Sheet7(ㅅ)"/>
      <sheetName val="노무비단가"/>
      <sheetName val="원본"/>
      <sheetName val="Customer_Databas"/>
      <sheetName val="토공_total"/>
      <sheetName val="_HIT-&gt;HMC_견적(3900)"/>
      <sheetName val="토공(우물통,기타)_"/>
      <sheetName val="AIR_SHOWER(3인용)"/>
      <sheetName val="노(97_1,97_9,98_1)"/>
      <sheetName val="6PILE__(돌출)"/>
      <sheetName val="원가_(2)"/>
      <sheetName val="적용단위길이"/>
      <sheetName val="피벗테이블데이터분석"/>
      <sheetName val="특별땅고르기"/>
      <sheetName val="계약서"/>
      <sheetName val="노무비 근거"/>
      <sheetName val="연결관암거"/>
      <sheetName val="소비자가"/>
      <sheetName val="일위대가목록"/>
      <sheetName val="일위_파일"/>
      <sheetName val="일위(PANEL)"/>
      <sheetName val="효성CB 1P기초"/>
      <sheetName val="계수시트"/>
      <sheetName val="램머"/>
      <sheetName val="경영상태"/>
      <sheetName val="민감도"/>
      <sheetName val="전체"/>
      <sheetName val="직재"/>
      <sheetName val="을"/>
      <sheetName val="별표 "/>
      <sheetName val="자재표"/>
      <sheetName val="현장관리비참조"/>
      <sheetName val="부대"/>
      <sheetName val="일위CODE"/>
      <sheetName val="gyun"/>
      <sheetName val="내역서적용수량"/>
      <sheetName val="가도공"/>
      <sheetName val="날개벽수량표"/>
      <sheetName val="지점장"/>
      <sheetName val="간접비계산"/>
      <sheetName val="J-EQ"/>
      <sheetName val="전기내역"/>
      <sheetName val="신우"/>
      <sheetName val="0Title"/>
      <sheetName val="추가예산"/>
      <sheetName val="일반전기C"/>
      <sheetName val="예가표"/>
      <sheetName val="COST"/>
      <sheetName val="3.2제조설비"/>
      <sheetName val="적용건축"/>
      <sheetName val="Inst."/>
      <sheetName val="01상노임"/>
      <sheetName val="2공구산출내역"/>
      <sheetName val="입력변수"/>
      <sheetName val="일위"/>
      <sheetName val="단위단가"/>
      <sheetName val="INPUT"/>
      <sheetName val="건축원가"/>
      <sheetName val="#3_일위대가목록"/>
      <sheetName val="손익분석"/>
      <sheetName val="기타 정보통신공사"/>
      <sheetName val="그림"/>
      <sheetName val="그림2"/>
      <sheetName val="차액보증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내역서1"/>
      <sheetName val="1공구산출내역서"/>
      <sheetName val="봉방동근생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개요"/>
      <sheetName val="노임단가(08.01)"/>
      <sheetName val="Macro1"/>
      <sheetName val="총괄내역"/>
      <sheetName val="하이테콤직원"/>
      <sheetName val="품셈"/>
      <sheetName val="세부내역서(전기)"/>
      <sheetName val="수량산출(생반)"/>
      <sheetName val="기초일위"/>
      <sheetName val="단가대비표 (3)"/>
      <sheetName val="DB"/>
      <sheetName val="공연,전시"/>
      <sheetName val="A 견적"/>
      <sheetName val="s.v"/>
      <sheetName val="철근중량"/>
      <sheetName val="ABUT수량-A1"/>
      <sheetName val="유림총괄"/>
      <sheetName val="연습"/>
      <sheetName val="계측기"/>
      <sheetName val="출력은 금물"/>
      <sheetName val="일위대가(건축)"/>
      <sheetName val="단가 "/>
      <sheetName val="COVER"/>
      <sheetName val="ESCO개보수공사"/>
      <sheetName val="구리토평1전기"/>
      <sheetName val="C.전기공사"/>
      <sheetName val="작성"/>
      <sheetName val="간접비"/>
      <sheetName val="청도공장"/>
      <sheetName val="빌딩 안내"/>
      <sheetName val="공사입찰정보입력"/>
      <sheetName val="공문"/>
      <sheetName val="MOTOR"/>
      <sheetName val="교사기준면적(초등)"/>
      <sheetName val="토사(PE)"/>
      <sheetName val="파일의이용"/>
      <sheetName val="구천"/>
      <sheetName val="견적업체"/>
      <sheetName val="일위대가 "/>
      <sheetName val="Y-WORK"/>
      <sheetName val="재집"/>
      <sheetName val="산출"/>
      <sheetName val="일위목록"/>
      <sheetName val="내역서01"/>
      <sheetName val="사급자재(1단계)"/>
      <sheetName val="도급내역서"/>
      <sheetName val="내역서(삼호)"/>
      <sheetName val="사업부배부A"/>
      <sheetName val="구성1"/>
      <sheetName val="구성2"/>
      <sheetName val="구성3"/>
      <sheetName val="구성4"/>
      <sheetName val="철콘"/>
      <sheetName val="화재 탐지 설비"/>
      <sheetName val="보증수수료산출"/>
      <sheetName val="98지급계획"/>
      <sheetName val="포승중환경개선공사(변경)"/>
      <sheetName val="접지수량"/>
      <sheetName val="제경비율"/>
      <sheetName val="기본가정"/>
      <sheetName val="수량총괄"/>
      <sheetName val="(1)본선수량집계"/>
      <sheetName val="청곡지선입력"/>
      <sheetName val="처리단락"/>
      <sheetName val="건축부하"/>
      <sheetName val="약전닥트"/>
      <sheetName val="일지-H"/>
      <sheetName val="김포IO"/>
      <sheetName val="LD"/>
      <sheetName val="FA설치명세"/>
      <sheetName val="Uint보온"/>
      <sheetName val="품셈TABLE"/>
      <sheetName val="2000.05"/>
      <sheetName val="실행대비"/>
      <sheetName val="터널조도"/>
      <sheetName val="전기"/>
      <sheetName val="직공비"/>
      <sheetName val="입상내역"/>
      <sheetName val="교각1"/>
      <sheetName val="품셈총괄"/>
      <sheetName val="조정율"/>
      <sheetName val="설계"/>
      <sheetName val="토공A1"/>
      <sheetName val="실행-집행"/>
      <sheetName val="BOX수량"/>
      <sheetName val="조명일위"/>
      <sheetName val="건축기계설비표선정수장"/>
      <sheetName val="수량산출서"/>
      <sheetName val="Sheet1 (2)"/>
      <sheetName val="PIPING"/>
      <sheetName val="정거장 설계조건"/>
      <sheetName val="단재적표"/>
      <sheetName val="양식_자재단가조사표"/>
      <sheetName val="16-1"/>
      <sheetName val="자재일람"/>
      <sheetName val="원가총괄"/>
      <sheetName val="암거단위"/>
      <sheetName val="설_(3)1"/>
      <sheetName val="설_(2)1"/>
      <sheetName val="3BL공동구_수량1"/>
      <sheetName val="토공_total1"/>
      <sheetName val="Customer_Databas1"/>
      <sheetName val="원가_(2)1"/>
      <sheetName val="AIR_SHOWER(3인용)1"/>
      <sheetName val="6PILE__(돌출)1"/>
      <sheetName val="토공(우물통,기타)_1"/>
      <sheetName val="노(97_1,97_9,98_1)1"/>
      <sheetName val="_냉각수펌프"/>
      <sheetName val="1_설계조건"/>
      <sheetName val="_HIT-&gt;HMC_견적(3900)1"/>
      <sheetName val="내역서_"/>
      <sheetName val="노_무_비"/>
      <sheetName val="전선_및_전선관"/>
      <sheetName val="Inst_"/>
      <sheetName val="내역서_제출"/>
      <sheetName val="2000년_공정표"/>
      <sheetName val="별표_"/>
      <sheetName val="3_2제조설비"/>
      <sheetName val="단가대비표_(3)"/>
      <sheetName val="효성CB_1P기초"/>
      <sheetName val="노무비_근거"/>
      <sheetName val="세골재__T2_변경_현황"/>
      <sheetName val="가락화장을지"/>
      <sheetName val="20관리비율"/>
      <sheetName val="조명율"/>
      <sheetName val="변경내역(전체)"/>
      <sheetName val="DATA테이블1 (2)"/>
      <sheetName val="1000 DB구축 부표"/>
      <sheetName val="CT "/>
      <sheetName val="발신정보"/>
      <sheetName val="기초대가"/>
      <sheetName val="조도계산서 (도서)"/>
      <sheetName val="명세서"/>
      <sheetName val="맨홀수량산출"/>
      <sheetName val="유림골조"/>
      <sheetName val="참조자료"/>
      <sheetName val="내역서중"/>
      <sheetName val="교각계산"/>
      <sheetName val="직접노무"/>
      <sheetName val="직접재료"/>
      <sheetName val="전기2005"/>
      <sheetName val="통신2005"/>
      <sheetName val="총괄집계표"/>
      <sheetName val="자료입력"/>
      <sheetName val="표  지"/>
      <sheetName val="패널"/>
      <sheetName val="분전반"/>
      <sheetName val="간접(90)"/>
      <sheetName val="표층포설및다짐"/>
      <sheetName val="인적사항"/>
      <sheetName val="투찰가"/>
      <sheetName val="견적조건"/>
      <sheetName val="기초분물량표"/>
      <sheetName val="휴가비,급량비"/>
      <sheetName val="단가대비표"/>
      <sheetName val="b_balju"/>
      <sheetName val="중기일위대가"/>
      <sheetName val="집수정토공"/>
      <sheetName val="설계명세서"/>
      <sheetName val="산출0"/>
      <sheetName val="내역전기"/>
      <sheetName val="현장경비"/>
      <sheetName val="일위(시설)"/>
      <sheetName val="BSD (2)"/>
      <sheetName val="입력"/>
      <sheetName val="&lt;--"/>
      <sheetName val="구의33고"/>
      <sheetName val="남양시작동자105노65기1.3화1.2"/>
      <sheetName val="예산총괄"/>
      <sheetName val="오동"/>
      <sheetName val="대조"/>
      <sheetName val="나한"/>
      <sheetName val="콘크리트"/>
      <sheetName val="1차 내역서"/>
      <sheetName val="공정코드"/>
      <sheetName val="바닥판"/>
      <sheetName val="입력DATA"/>
      <sheetName val="도급내역서(재노경)"/>
      <sheetName val="화의-현금흐름"/>
      <sheetName val="ELECTRIC"/>
      <sheetName val="상수도토공집계표"/>
      <sheetName val="97년 추정"/>
      <sheetName val="물집"/>
      <sheetName val="정부노임단가"/>
      <sheetName val="1구간BOQ"/>
      <sheetName val="일위대가(출입)"/>
      <sheetName val="EJ"/>
      <sheetName val="대,유,램"/>
      <sheetName val="국별인원"/>
      <sheetName val="식재일위대가"/>
      <sheetName val="일위대가(4층원격)"/>
      <sheetName val="도급내역"/>
      <sheetName val="공량(1월22일)"/>
      <sheetName val="부분별수량산출(조합기초)"/>
      <sheetName val="단위중량"/>
      <sheetName val="기자재비"/>
      <sheetName val="출력은_금물"/>
      <sheetName val="단가_"/>
      <sheetName val="일반공사"/>
      <sheetName val="외주비"/>
      <sheetName val="sst,stl창호"/>
      <sheetName val="기초자료입력"/>
      <sheetName val="견적(100%)"/>
      <sheetName val="1안"/>
      <sheetName val="국내조달(통합-1)"/>
      <sheetName val="도담구내 개소별 명세"/>
      <sheetName val="국도접속 차도부수량"/>
      <sheetName val="참고"/>
      <sheetName val="Sheet4"/>
      <sheetName val="인공산출"/>
      <sheetName val="철근량"/>
      <sheetName val="본서하반기"/>
      <sheetName val="하반기(지구대)"/>
      <sheetName val="수목표준대가"/>
      <sheetName val="Total"/>
      <sheetName val="옥외계측"/>
      <sheetName val="CODE"/>
      <sheetName val="인공"/>
      <sheetName val="도급자재"/>
      <sheetName val="지급자재"/>
      <sheetName val="工관리비율"/>
      <sheetName val="工완성공사율"/>
      <sheetName val="물가시세"/>
      <sheetName val="부하"/>
      <sheetName val="주요기준"/>
      <sheetName val="자재단가비교표"/>
      <sheetName val="노무단가산정"/>
      <sheetName val="와동수량"/>
      <sheetName val="직원현황"/>
      <sheetName val="99년하반기"/>
      <sheetName val="말뚝지지력산정"/>
      <sheetName val="금융비용"/>
      <sheetName val="철근집계"/>
      <sheetName val="COPING"/>
      <sheetName val="건설기계사용료목록"/>
      <sheetName val="단가조사서"/>
      <sheetName val="집"/>
      <sheetName val="간선계산"/>
      <sheetName val="계화배수"/>
      <sheetName val="예비용"/>
      <sheetName val="상행-교대(A1-A2)"/>
      <sheetName val="인부노임"/>
      <sheetName val="원가계산서(변경)"/>
      <sheetName val="FAX"/>
      <sheetName val="노임200103"/>
      <sheetName val="사전공사"/>
      <sheetName val="퍼스트"/>
      <sheetName val="실행(1)"/>
      <sheetName val="토목"/>
      <sheetName val="투찰내역"/>
      <sheetName val="유입맨홀산출"/>
      <sheetName val="포장복구집계"/>
      <sheetName val="ETC"/>
      <sheetName val="1-1"/>
      <sheetName val="합의경상"/>
      <sheetName val="대목"/>
      <sheetName val="3.자재비(총괄)"/>
      <sheetName val="환율change"/>
      <sheetName val="일위총괄표"/>
      <sheetName val="B-data"/>
      <sheetName val="천방교접속"/>
      <sheetName val="대포2교접속"/>
      <sheetName val="MAT"/>
      <sheetName val="공사추진현황"/>
      <sheetName val="AHU-01"/>
      <sheetName val="Data&amp;Result"/>
      <sheetName val="골조"/>
      <sheetName val="특별교실"/>
      <sheetName val="일용노임단가"/>
      <sheetName val="하중계산"/>
      <sheetName val="안정성검토"/>
      <sheetName val="설계기준"/>
      <sheetName val="기안1"/>
      <sheetName val="담장산출"/>
      <sheetName val="소방"/>
      <sheetName val="하조서"/>
      <sheetName val="호표"/>
      <sheetName val="직원자료입력"/>
      <sheetName val="BF12-R0"/>
      <sheetName val="앉음벽 (2)"/>
      <sheetName val="95년12월말"/>
      <sheetName val="준검 내역서"/>
      <sheetName val="설계명세"/>
      <sheetName val="단가비교"/>
      <sheetName val="전체제잡비"/>
      <sheetName val="1"/>
      <sheetName val="공기압축기실"/>
      <sheetName val="시운전연료비"/>
      <sheetName val="예산명세서"/>
      <sheetName val="직원관리자료"/>
      <sheetName val="개거재료산출"/>
      <sheetName val="기초목록"/>
      <sheetName val="단가(자재)"/>
      <sheetName val="총공사내역서"/>
      <sheetName val=" 토목 처리장도급내역서 "/>
      <sheetName val="99총공사내역서"/>
      <sheetName val="SHEET PILE단가"/>
      <sheetName val="사유서제출현황-2"/>
      <sheetName val="기초일위대가"/>
      <sheetName val="산출기초"/>
      <sheetName val="기계내역"/>
      <sheetName val="2F 회의실견적(5_14 일대)"/>
      <sheetName val="COL"/>
      <sheetName val="Sheet38"/>
      <sheetName val="부속동"/>
      <sheetName val="부대공"/>
      <sheetName val="포장공"/>
      <sheetName val="ilch"/>
      <sheetName val="골조시행"/>
      <sheetName val="샘플표지"/>
      <sheetName val="대보~세기"/>
      <sheetName val="쌍송교"/>
      <sheetName val="대운반(철재)"/>
      <sheetName val="공사미수"/>
      <sheetName val="현장관리비 산출내역"/>
      <sheetName val="인사자료총집계"/>
      <sheetName val="원가계산 (2)"/>
      <sheetName val="가로등내역서"/>
      <sheetName val="70%"/>
      <sheetName val="내역(100%)"/>
      <sheetName val="전기일위대가"/>
      <sheetName val="배수공"/>
      <sheetName val="건축기성"/>
      <sheetName val="공내역"/>
      <sheetName val="원내역"/>
      <sheetName val="BOQ(전체)"/>
      <sheetName val="주소"/>
      <sheetName val="일위목록-기"/>
      <sheetName val="토목내역서 (도급단가)"/>
      <sheetName val="단가산출2"/>
      <sheetName val="집수A"/>
      <sheetName val="어룡"/>
      <sheetName val="부자재 적용비율"/>
      <sheetName val="청곡지거입력"/>
      <sheetName val="청곡간선입력"/>
      <sheetName val="투찰(하수)"/>
      <sheetName val="영외수지"/>
      <sheetName val="폐토수익화 "/>
      <sheetName val="원료"/>
      <sheetName val="산출기초(기계터파기)3열"/>
      <sheetName val="전송망집계"/>
      <sheetName val="철거수량(전송)"/>
      <sheetName val="흥양2교토공집계표"/>
      <sheetName val="기계설비표선정수장"/>
      <sheetName val="수지예산"/>
      <sheetName val="주안3차A-A"/>
      <sheetName val="간접경상비"/>
      <sheetName val="Cost bd-&quot;A&quot;"/>
      <sheetName val="2.대외공문"/>
      <sheetName val="기초입력"/>
      <sheetName val="Summary Sheets"/>
      <sheetName val="4.고용보험"/>
      <sheetName val="항목등록"/>
      <sheetName val="5.동별횡주관경"/>
      <sheetName val="7.환경"/>
      <sheetName val="노임(1차)"/>
      <sheetName val="직접시공계획서"/>
      <sheetName val="백호우계수"/>
      <sheetName val="모래기초"/>
      <sheetName val="문학간접"/>
      <sheetName val="간접"/>
      <sheetName val="설계예시"/>
      <sheetName val="1.토공집계표"/>
      <sheetName val="접속단위"/>
      <sheetName val="세부내역"/>
      <sheetName val="기성내역"/>
      <sheetName val="P.M 별"/>
      <sheetName val="차수"/>
      <sheetName val="결재갑지"/>
      <sheetName val="준공정산"/>
      <sheetName val="신규 수주분(사용자 정의)"/>
      <sheetName val="동해title"/>
      <sheetName val="선급비용"/>
      <sheetName val="남평내역"/>
      <sheetName val="1,2공구원가계산서"/>
      <sheetName val="단조-노임"/>
      <sheetName val="본사"/>
      <sheetName val="공장"/>
      <sheetName val="건축2"/>
      <sheetName val="건축공사"/>
      <sheetName val="전기단가조사서"/>
      <sheetName val="Sheet15"/>
      <sheetName val="Base"/>
      <sheetName val="전국현황"/>
      <sheetName val="기계공사"/>
      <sheetName val="내역서_᎛⼗"/>
      <sheetName val="전기설계변경"/>
      <sheetName val="단가 및 재료비"/>
      <sheetName val="ATM기초철가"/>
      <sheetName val="중질쓰레기"/>
      <sheetName val="압축공기소요량"/>
      <sheetName val="보일러물질수지"/>
      <sheetName val="B2BERP"/>
      <sheetName val="원가계산서구조조정"/>
      <sheetName val="B부대공"/>
      <sheetName val="1월"/>
      <sheetName val="참조 (2)"/>
      <sheetName val="세부내역서"/>
      <sheetName val="17F MOCKUP B-1,B-2"/>
      <sheetName val="기성내역서표지"/>
      <sheetName val="P-1"/>
      <sheetName val="itm코드"/>
      <sheetName val="itm기준"/>
      <sheetName val="시중노임"/>
      <sheetName val="자재테이블"/>
      <sheetName val="플랜트 설치"/>
      <sheetName val="산출근거1"/>
      <sheetName val="공통(20-91)"/>
      <sheetName val="설-원가"/>
      <sheetName val="설치자재"/>
      <sheetName val="단중"/>
      <sheetName val="#2_일위대가목록"/>
      <sheetName val="WORK"/>
      <sheetName val="건설성적"/>
      <sheetName val="ES조서출력하기"/>
      <sheetName val="수토공단위당"/>
      <sheetName val="인건-측정"/>
      <sheetName val="수공기"/>
      <sheetName val="조건표 (2)"/>
      <sheetName val="우수공집계"/>
      <sheetName val="제출내역 (3)"/>
      <sheetName val="암거 제원표-1단계"/>
      <sheetName val="하수처리장"/>
      <sheetName val="일 위 목 록 표"/>
      <sheetName val="설계내역서"/>
      <sheetName val="기본항목 입력"/>
      <sheetName val="조사집계표(1)_솎아베기"/>
      <sheetName val="조사집계표(2)_솎아베기"/>
      <sheetName val="필지별내역서"/>
      <sheetName val="조사집계표(3)_솎아베기"/>
      <sheetName val="1Month+Sheet2!"/>
      <sheetName val="2.노임및손료"/>
      <sheetName val="일위-1"/>
      <sheetName val="지입자재집계표"/>
      <sheetName val="면적표"/>
      <sheetName val="중기사용료산출근거"/>
      <sheetName val="일위단가"/>
      <sheetName val="관리보고"/>
      <sheetName val="제잡비"/>
      <sheetName val="실행기초"/>
      <sheetName val="적용률"/>
      <sheetName val="1구간FRP수량산출"/>
      <sheetName val="wall"/>
      <sheetName val="산출내력"/>
      <sheetName val="광장"/>
      <sheetName val="간지"/>
      <sheetName val="LIST"/>
      <sheetName val="다이꾸"/>
      <sheetName val="연결원본-절대지우지말것"/>
      <sheetName val="값"/>
      <sheetName val="석축산출서"/>
      <sheetName val="unitpric"/>
      <sheetName val="기계경비시간당손료목록"/>
      <sheetName val="지하시설물작성"/>
      <sheetName val="도로일위대가표"/>
      <sheetName val="진흥지역조서(구역밖)"/>
      <sheetName val="CL분석결과"/>
      <sheetName val="전동기"/>
      <sheetName val="하자접수대장"/>
      <sheetName val="광주주공"/>
      <sheetName val="업체별기성내역"/>
      <sheetName val="GRACE"/>
      <sheetName val="포승중환경개선공사_변경_"/>
      <sheetName val="직접경비호표"/>
      <sheetName val="조업일수"/>
      <sheetName val="B.O.M"/>
      <sheetName val="5"/>
      <sheetName val="생산매출 (4)"/>
      <sheetName val="시산표"/>
      <sheetName val="STANDARD (상)-참고"/>
      <sheetName val="일위(집)"/>
      <sheetName val="직접노무비"/>
      <sheetName val="일  위  대  가  목  록"/>
      <sheetName val="PSCbeam설계"/>
      <sheetName val="일위대가(계측기설치)"/>
      <sheetName val="f산출"/>
      <sheetName val="자재단가리스트"/>
      <sheetName val="관로공정"/>
      <sheetName val="작업일보"/>
      <sheetName val="01"/>
      <sheetName val="수배전반"/>
      <sheetName val="총내역서"/>
      <sheetName val="예산서"/>
      <sheetName val="기초입력 DATA"/>
      <sheetName val="자재대"/>
      <sheetName val="견적단가"/>
      <sheetName val="기초작업"/>
      <sheetName val="부대집계"/>
      <sheetName val="전신환매도율"/>
      <sheetName val="재료집계표"/>
      <sheetName val="수안보-MBR1"/>
      <sheetName val="원형1호맨홀토공수량"/>
      <sheetName val="PARAMETER"/>
      <sheetName val="10월"/>
      <sheetName val="기초"/>
      <sheetName val="부경"/>
      <sheetName val="전기외주내역"/>
      <sheetName val="database"/>
      <sheetName val="전계가"/>
      <sheetName val="평가데이터"/>
      <sheetName val="인건비"/>
      <sheetName val="S1,3"/>
      <sheetName val="청곡지선토공총"/>
      <sheetName val="토공총"/>
      <sheetName val="슬래브(유곡)"/>
      <sheetName val="남양내역"/>
      <sheetName val="관개"/>
      <sheetName val="봉양~조차장간고하개명(신설)"/>
      <sheetName val="간접비 총괄표"/>
      <sheetName val="공사내역"/>
      <sheetName val="인수공규격"/>
      <sheetName val="실행간접비용"/>
      <sheetName val="업무분장"/>
      <sheetName val="철콘산출"/>
      <sheetName val="약품설비"/>
      <sheetName val="노임단가 (2)"/>
      <sheetName val="A1"/>
      <sheetName val="부재리스트"/>
      <sheetName val="전담운영PM"/>
      <sheetName val="특수기호강도거푸집"/>
      <sheetName val="종배수관면벽신"/>
      <sheetName val="종배수관(신)"/>
      <sheetName val="실행내역 "/>
      <sheetName val="구분자"/>
      <sheetName val="기둥(원형)"/>
      <sheetName val="220 (2)"/>
      <sheetName val="손익"/>
      <sheetName val="WING3"/>
      <sheetName val="프랜트면허"/>
      <sheetName val="48단가"/>
      <sheetName val="이형관"/>
      <sheetName val="2.고용보험료산출근거"/>
      <sheetName val="ÀÏÀ§(PANEL)"/>
      <sheetName val="관급단가"/>
      <sheetName val="산출금액내역"/>
      <sheetName val="용역비내역-진짜"/>
      <sheetName val="대로근거"/>
      <sheetName val="공종"/>
      <sheetName val="기계경비_시간당_"/>
      <sheetName val="22관계"/>
      <sheetName val="22기타(L,R)"/>
      <sheetName val="22전선계"/>
      <sheetName val="월래"/>
      <sheetName val="NO.1-NO12(설계예산서)"/>
      <sheetName val="연결관단위"/>
      <sheetName val="중기단가"/>
      <sheetName val="중기목록"/>
      <sheetName val="수량이동"/>
      <sheetName val="정철호"/>
      <sheetName val="FUEL FILLER"/>
      <sheetName val="주차구획선수량"/>
      <sheetName val="재료할증"/>
      <sheetName val="단위수량산출"/>
      <sheetName val="낙찰표"/>
      <sheetName val="개별직종노임단가(2003.9)"/>
      <sheetName val="실행내역 (2)"/>
      <sheetName val="여과지동"/>
      <sheetName val="공사진행"/>
      <sheetName val="공사잡비"/>
      <sheetName val="대비"/>
      <sheetName val="하鄘8눰"/>
      <sheetName val="토공사"/>
      <sheetName val="형틀공사"/>
      <sheetName val="일위대가목록 "/>
      <sheetName val="을-ATYPE"/>
      <sheetName val="TABLE"/>
      <sheetName val="RAHMEN"/>
      <sheetName val="AV시스템"/>
      <sheetName val="민속촌메뉴"/>
      <sheetName val="2F 회의실견적_5_14 일대_"/>
      <sheetName val="97"/>
      <sheetName val="식재가격"/>
      <sheetName val="식재총괄"/>
      <sheetName val="조달단가"/>
      <sheetName val="준공내역"/>
      <sheetName val="PROJECT BRIEF(EX.NEW)"/>
      <sheetName val="동원(3)"/>
      <sheetName val="강관주휀스"/>
      <sheetName val="통신원가"/>
      <sheetName val="기존단가 (2)"/>
      <sheetName val="현금예금"/>
      <sheetName val="BOX단위철근"/>
      <sheetName val="98수문일위"/>
      <sheetName val="남양구조시험동"/>
      <sheetName val="신표지1"/>
      <sheetName val="P-산#1-1(WOWA1)"/>
      <sheetName val="단중표-ST"/>
      <sheetName val="공사비산출서"/>
      <sheetName val="WEIGHT LIST"/>
      <sheetName val="한강운반비"/>
      <sheetName val="단가 (2)"/>
      <sheetName val="기초공"/>
      <sheetName val="전통건설"/>
      <sheetName val="설계내역2"/>
      <sheetName val="유수전환공사"/>
      <sheetName val="관로토공"/>
      <sheetName val="우수관"/>
      <sheetName val="공종목록표"/>
      <sheetName val="기본자료"/>
      <sheetName val="노무비 "/>
      <sheetName val="부안변전"/>
      <sheetName val="기초목"/>
      <sheetName val="현장관리비데이타"/>
      <sheetName val="기술조건"/>
      <sheetName val="C3"/>
      <sheetName val="납부서"/>
      <sheetName val="일위대가내역"/>
      <sheetName val="흙쌓기도수로설치현황"/>
      <sheetName val="샌딩 에폭시 도장"/>
      <sheetName val="일반문틀 설치"/>
      <sheetName val="스텐문틀설치"/>
      <sheetName val="이름"/>
      <sheetName val="소총괄표1"/>
      <sheetName val="맨홀수량산출(2호)"/>
      <sheetName val="가감수량(2호)"/>
      <sheetName val="자재발주서"/>
      <sheetName val="코드"/>
      <sheetName val="미드수량"/>
      <sheetName val="철근"/>
      <sheetName val="견적내역서"/>
      <sheetName val="담보"/>
      <sheetName val="중간"/>
      <sheetName val="      "/>
      <sheetName val="철집"/>
      <sheetName val="배수통관(좌)"/>
      <sheetName val="DATA 입력부"/>
      <sheetName val="계화배수(3대)"/>
      <sheetName val="수량간지"/>
      <sheetName val="XL4Poppy"/>
      <sheetName val="수원공사비"/>
      <sheetName val="5사남"/>
      <sheetName val="주요항목별"/>
      <sheetName val="예정공정표"/>
      <sheetName val="개별직종노임단가(2002.5)"/>
      <sheetName val="설계예산서"/>
      <sheetName val="폐기물"/>
      <sheetName val="총괄표 "/>
      <sheetName val="교대(A1-A2)"/>
      <sheetName val="Macro(전선)"/>
      <sheetName val="시화점실행"/>
      <sheetName val="상반기손익차2총괄"/>
      <sheetName val="북방3터널"/>
      <sheetName val="공동구수량"/>
      <sheetName val="단가대비"/>
      <sheetName val="설_(3)2"/>
      <sheetName val="설_(2)2"/>
      <sheetName val="3BL공동구_수량2"/>
      <sheetName val="내역서_제출1"/>
      <sheetName val="2000년_공정표1"/>
      <sheetName val="1_설계조건1"/>
      <sheetName val="_냉각수펌프1"/>
      <sheetName val="갑지_을지"/>
      <sheetName val="기타_정보통신공사"/>
      <sheetName val="정거장_설계조건"/>
      <sheetName val="노무비_근거1"/>
      <sheetName val="효성CB_1P기초1"/>
      <sheetName val="전선_및_전선관1"/>
      <sheetName val="2000_05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노임단가(08_01)"/>
      <sheetName val="남양시작동자105노65기1_3화1_2"/>
      <sheetName val="출력은_금물1"/>
      <sheetName val="C_전기공사"/>
      <sheetName val="국도접속_차도부수량"/>
      <sheetName val="빌딩_안내"/>
      <sheetName val="화재_탐지_설비"/>
      <sheetName val="BSD_(2)"/>
      <sheetName val="Sheet1_(2)"/>
      <sheetName val="단가_1"/>
      <sheetName val="A_견적"/>
      <sheetName val="s_v"/>
      <sheetName val="DATA테이블1_(2)"/>
      <sheetName val="1000_DB구축_부표"/>
      <sheetName val="CT_"/>
      <sheetName val="조도계산서_(도서)"/>
      <sheetName val="1차_내역서"/>
      <sheetName val="일위대가_"/>
      <sheetName val="표__지"/>
      <sheetName val="97년_추정"/>
      <sheetName val="SHEET_PILE단가"/>
      <sheetName val="도담구내_개소별_명세"/>
      <sheetName val="3_자재비(총괄)"/>
      <sheetName val="준검_내역서"/>
      <sheetName val="5_동별횡주관경"/>
      <sheetName val="1_토공집계표"/>
      <sheetName val="플랜트_설치"/>
      <sheetName val="Cost_bd-&quot;A&quot;"/>
      <sheetName val="Summary_Sheets"/>
      <sheetName val="2_대외공문"/>
      <sheetName val="앉음벽_(2)"/>
      <sheetName val="_토목_처리장도급내역서_"/>
      <sheetName val="4_고용보험"/>
      <sheetName val="2F_회의실견적(5_14_일대)"/>
      <sheetName val="신규_수주분(사용자_정의)"/>
      <sheetName val="현장관리비_산출내역"/>
      <sheetName val="원가계산_(2)"/>
      <sheetName val="토목내역서_(도급단가)"/>
      <sheetName val="Front"/>
      <sheetName val="팀업무"/>
      <sheetName val="전기내역서(총계)"/>
      <sheetName val="노임이"/>
      <sheetName val="점수계산1-2"/>
      <sheetName val="경비2내역"/>
      <sheetName val="평3"/>
      <sheetName val="도급"/>
      <sheetName val="정산내역서"/>
      <sheetName val="매출채권"/>
      <sheetName val="B부대0"/>
      <sheetName val="말뚝지/_x0000__x0013_"/>
      <sheetName val="제노임"/>
      <sheetName val="연환"/>
      <sheetName val="품목"/>
      <sheetName val="통합"/>
      <sheetName val="일위대가(4_x0005__x0000__x0000_"/>
      <sheetName val="일위대가(4층원격礊"/>
      <sheetName val="일위대가(4獏め_x0005__x0000_"/>
      <sheetName val="일위대가(4층원격唨"/>
      <sheetName val="일위대가(4蒨,蓬,"/>
      <sheetName val="AIR SHOWER_3인용_"/>
      <sheetName val="일위대가(4ꌱ⿪_x0005__x0000_"/>
      <sheetName val="일위대가(4층원격夸"/>
      <sheetName val="일위대가(4층원격咘"/>
      <sheetName val="[KKK.XLS][KKK.XLS]말뚝지/_x0000__x0013_"/>
      <sheetName val="각종양식"/>
      <sheetName val="tggwan(mac)"/>
      <sheetName val="예산총괄표"/>
      <sheetName val="공주-교대(A1)"/>
      <sheetName val="Mc1"/>
      <sheetName val="사업수지"/>
      <sheetName val="표지1"/>
      <sheetName val="산출근거(단청공사)"/>
      <sheetName val="POL6차-PIPING"/>
      <sheetName val="물량"/>
      <sheetName val="산#2-1 (2)"/>
      <sheetName val="산#3-1"/>
      <sheetName val="공량산출서"/>
      <sheetName val="TANK견적대지"/>
      <sheetName val=" 소방공사 산출근거"/>
      <sheetName val="노임변동률"/>
      <sheetName val="잡철물"/>
      <sheetName val="측량요율"/>
      <sheetName val="1유리"/>
      <sheetName val="견적대비 견적서"/>
      <sheetName val="위치조서"/>
      <sheetName val="현장조사"/>
      <sheetName val="일위대가(목록)"/>
      <sheetName val="산근(목록)"/>
      <sheetName val="재료비"/>
      <sheetName val="이형관중량"/>
      <sheetName val="제안서"/>
      <sheetName val="행정표준(1)"/>
      <sheetName val="행정표준(2)"/>
      <sheetName val="관로내역원"/>
      <sheetName val="내역(가지)"/>
      <sheetName val="Macro(MCC)"/>
      <sheetName val="부자재_적용비율"/>
      <sheetName val="일위대가목록_"/>
      <sheetName val="공급집계 (현대-우림)"/>
      <sheetName val="MEMORY"/>
      <sheetName val="식재일위대"/>
      <sheetName val="공헾⾵_x0005_"/>
      <sheetName val="카렌스센터계량기설치공사"/>
      <sheetName val="3.공통공사대비"/>
      <sheetName val="원본(갑지)"/>
      <sheetName val="우배수"/>
      <sheetName val=" 갑지"/>
      <sheetName val="ysn"/>
      <sheetName val="공내역서"/>
      <sheetName val="2공구내역서"/>
      <sheetName val="기뇣đ"/>
      <sheetName val="분祍⿪"/>
      <sheetName val="변경총괄지(1)"/>
      <sheetName val="(C)원내역"/>
      <sheetName val="관리비"/>
      <sheetName val="기준표"/>
      <sheetName val="차압계산"/>
      <sheetName val="수량산출목록표"/>
      <sheetName val="000000"/>
      <sheetName val="무시"/>
      <sheetName val="CABLE SIZE-1"/>
      <sheetName val="갑  지"/>
      <sheetName val="단면가정"/>
      <sheetName val="부재력정리"/>
      <sheetName val="경비"/>
      <sheetName val="소각장스케줄"/>
      <sheetName val="공사예산하조서(O.K)"/>
      <sheetName val="건축공사실행"/>
      <sheetName val="DAN"/>
      <sheetName val="공사비"/>
      <sheetName val="1공구내역"/>
      <sheetName val="BOX전기내역"/>
      <sheetName val="길어깨(현황)"/>
      <sheetName val="60명당사(총괄)"/>
      <sheetName val="공종별내역서"/>
      <sheetName val="SG"/>
      <sheetName val="합천내역"/>
      <sheetName val="요약&amp;결과"/>
      <sheetName val="(4-2)열관류값-2"/>
      <sheetName val="금융"/>
      <sheetName val="일위목록데이타"/>
      <sheetName val="화전내"/>
      <sheetName val="성곽내역서"/>
      <sheetName val="danga"/>
      <sheetName val="TEMP"/>
      <sheetName val="JA"/>
      <sheetName val="인테리어내역"/>
      <sheetName val="품셈총괄표"/>
      <sheetName val="BS(5월-경리과)"/>
      <sheetName val="공정외주"/>
      <sheetName val="채권(하반기)"/>
      <sheetName val="1.검토서"/>
      <sheetName val="지급자재단가"/>
      <sheetName val="집 계 표"/>
      <sheetName val="BH-1 (2)"/>
      <sheetName val="단가산출(T)"/>
      <sheetName val="냉온수유니트"/>
      <sheetName val="진단세부현황"/>
      <sheetName val="수주이월"/>
      <sheetName val="대"/>
      <sheetName val="엔지니어링"/>
      <sheetName val="FD"/>
      <sheetName val="99관저"/>
      <sheetName val="QandAJunior"/>
      <sheetName val="FB25JN"/>
      <sheetName val="직접수량"/>
      <sheetName val="J형측구단위수량"/>
      <sheetName val="전기공사일위대가"/>
      <sheetName val="도로단위당"/>
      <sheetName val="횡배수관집현황(2공구)"/>
      <sheetName val="자재비"/>
      <sheetName val="일위대가서식"/>
      <sheetName val="단가표 (2)"/>
      <sheetName val="대비2"/>
      <sheetName val="2차기성내역서"/>
      <sheetName val="횡배수관토공수량"/>
      <sheetName val="총괄내역서"/>
      <sheetName val="1호맨홀토공"/>
      <sheetName val="제안서입력"/>
      <sheetName val="장비선정 "/>
      <sheetName val="청학계"/>
      <sheetName val="자재목록"/>
      <sheetName val="중기조종사 단위단가"/>
      <sheetName val="집수정(600-700)"/>
      <sheetName val="도급실행(본관-주차장)"/>
      <sheetName val="매립"/>
      <sheetName val="토목주소"/>
      <sheetName val="MAT 철근"/>
      <sheetName val="일위대가(4층원격堘"/>
      <sheetName val="일위대가(4층원격朂"/>
      <sheetName val="일위대가(4층원격_x0005_"/>
      <sheetName val="세부내焀"/>
      <sheetName val="3BL공동구_桐ݾ蔌"/>
      <sheetName val="퍼ԯ_x0000_"/>
      <sheetName val="3BL공동구__x0000__x0000_"/>
      <sheetName val="3BL공동구_厠į召"/>
      <sheetName val="蠀Ⲃ"/>
      <sheetName val="저⺄"/>
      <sheetName val="Resource2"/>
      <sheetName val="내역서관리"/>
      <sheetName val="도시가스현황"/>
      <sheetName val="내역1공구"/>
      <sheetName val="급수"/>
      <sheetName val="sw1"/>
      <sheetName val="NOMUBI"/>
      <sheetName val="용산1(해보)"/>
      <sheetName val="투자-국내2"/>
      <sheetName val="관집계"/>
      <sheetName val="4.2내역서"/>
      <sheetName val="양식(직판용)"/>
      <sheetName val="1 자원총괄"/>
      <sheetName val="상세도(80)"/>
      <sheetName val="설계예/"/>
      <sheetName val="공劰.勼"/>
      <sheetName val="공韛⾶_x0005_"/>
      <sheetName val="공_x0005__x0000_"/>
      <sheetName val="선체-H"/>
      <sheetName val="SIL98"/>
      <sheetName val="개요2"/>
      <sheetName val="5.정산서"/>
      <sheetName val="FAB4생산"/>
      <sheetName val="4.2유효폭의 계산"/>
      <sheetName val="공사비예산서(토목분)"/>
      <sheetName val="APT"/>
      <sheetName val="영업.일1"/>
      <sheetName val="분_x0000__x0000_"/>
      <sheetName val="분券%"/>
      <sheetName val="일위산출"/>
      <sheetName val="3.면적&amp;세대(입력)"/>
      <sheetName val="제안실적sum조회"/>
      <sheetName val="변경내역"/>
      <sheetName val="VXXXXXXX"/>
      <sheetName val="SUM"/>
      <sheetName val="경비산출"/>
      <sheetName val="기본정보입력"/>
      <sheetName val="가감수량"/>
      <sheetName val="HWP참조"/>
      <sheetName val="사업성"/>
      <sheetName val="1단계 (2)"/>
      <sheetName val="수 량 명 세 서 - 1"/>
      <sheetName val="입찰보고"/>
      <sheetName val="기타"/>
      <sheetName val="전선(총)"/>
      <sheetName val="참조"/>
      <sheetName val="광주운남을"/>
      <sheetName val="기안문"/>
      <sheetName val="7급줄떼"/>
      <sheetName val="중사"/>
      <sheetName val="명세"/>
      <sheetName val="단산"/>
      <sheetName val="일대"/>
      <sheetName val="덕전리"/>
      <sheetName val="시운전연료"/>
      <sheetName val="산출내역서집계표"/>
      <sheetName val="산출근거 "/>
      <sheetName val="수량집계"/>
      <sheetName val="입찰"/>
      <sheetName val="현경"/>
      <sheetName val="토공집계"/>
      <sheetName val="본실행경비"/>
      <sheetName val="일위대가(비굴착)"/>
      <sheetName val="편입토지조서"/>
      <sheetName val="EQUIPMENT -2"/>
      <sheetName val="참조코드"/>
      <sheetName val="공사 Scope 표지"/>
      <sheetName val="공사 Scope"/>
      <sheetName val="원가표"/>
      <sheetName val="내역-1"/>
      <sheetName val="내역-2"/>
      <sheetName val="일위2"/>
      <sheetName val="일위3"/>
      <sheetName val="몸체(460×600)"/>
      <sheetName val="560×550"/>
      <sheetName val="590×630"/>
      <sheetName val="502(760×600)"/>
      <sheetName val="840×700"/>
      <sheetName val="860×600"/>
      <sheetName val="870×770"/>
      <sheetName val="910×600"/>
      <sheetName val="937×610"/>
      <sheetName val="960×600"/>
      <sheetName val="980×640"/>
      <sheetName val="1000×610"/>
      <sheetName val="1080×770"/>
      <sheetName val="1130×600"/>
      <sheetName val="1200×600"/>
      <sheetName val="503(1230×510)"/>
      <sheetName val="1310×800"/>
      <sheetName val="1360×700"/>
      <sheetName val="1380×670"/>
      <sheetName val="1400×830"/>
      <sheetName val="1450×505"/>
      <sheetName val="1470×700"/>
      <sheetName val="1500×613"/>
      <sheetName val="1500×720"/>
      <sheetName val="1550×770"/>
      <sheetName val="1600×700"/>
      <sheetName val="1650×650"/>
      <sheetName val="1650×800"/>
      <sheetName val="1780×500"/>
      <sheetName val="2190×505"/>
      <sheetName val="504(2700×650)"/>
      <sheetName val="505(840×700)"/>
      <sheetName val="840×840"/>
      <sheetName val="848×613"/>
      <sheetName val="1060×700"/>
      <sheetName val="1080×670"/>
      <sheetName val="1110×722"/>
      <sheetName val="1160×650"/>
      <sheetName val="1160×680"/>
      <sheetName val="1160×730"/>
      <sheetName val="506(1210×730)"/>
      <sheetName val="1310×700"/>
      <sheetName val="1310×790"/>
      <sheetName val="1480×560"/>
      <sheetName val="511(1080×770)"/>
      <sheetName val="512(1360×700)"/>
      <sheetName val="512(1380×670)"/>
      <sheetName val="512(1500×720)"/>
      <sheetName val="512(1650×800)"/>
      <sheetName val="임율산출표"/>
      <sheetName val="간접노무비율"/>
      <sheetName val="직간접노무비집계"/>
      <sheetName val="부문별직접노무발생"/>
      <sheetName val="부분별간접노무집계"/>
      <sheetName val="부분별공통비배부액"/>
      <sheetName val="부분별간접노무발생"/>
      <sheetName val="발생노무집계"/>
      <sheetName val="직접노무비발생"/>
      <sheetName val="간접노무비발생"/>
      <sheetName val="경비집계"/>
      <sheetName val="경비계산"/>
      <sheetName val="경비배부율"/>
      <sheetName val="경비조정"/>
      <sheetName val="가구부문경비집계"/>
      <sheetName val="가구부문부서별배부액"/>
      <sheetName val="경비배부액집계"/>
      <sheetName val="공통비배부액"/>
      <sheetName val="배부율산출"/>
      <sheetName val="월별경비집계"/>
      <sheetName val="월별경비내역"/>
      <sheetName val="작업시간명세표"/>
      <sheetName val="일반관리비비율산출표"/>
      <sheetName val="일반관리및이윤율"/>
      <sheetName val="손익계산서"/>
      <sheetName val="제조원가명세서"/>
      <sheetName val="노무비집계"/>
      <sheetName val="노무공수산출(460×600)"/>
      <sheetName val="적용원단위공수"/>
      <sheetName val="단위당노무공수"/>
      <sheetName val="실적원재료공수"/>
      <sheetName val="실적작업공수"/>
      <sheetName val="난이도가중치"/>
      <sheetName val="실적재품수량산출"/>
      <sheetName val="거울판"/>
      <sheetName val="키큰장"/>
      <sheetName val="서랍통"/>
      <sheetName val="천판류"/>
      <sheetName val="포장"/>
      <sheetName val="1∼37"/>
      <sheetName val="38∼94"/>
      <sheetName val="95∼126"/>
      <sheetName val="127∼154"/>
      <sheetName val="155∼205"/>
      <sheetName val="206∼255"/>
      <sheetName val="256∼281"/>
      <sheetName val="추가분"/>
      <sheetName val="뒷선반"/>
      <sheetName val="장식판"/>
      <sheetName val="상판(HPM)"/>
      <sheetName val="상판(인조)"/>
      <sheetName val="포장(1)"/>
      <sheetName val="포장(2)"/>
      <sheetName val="포장(3)"/>
      <sheetName val="포장(4)"/>
      <sheetName val="코킹"/>
      <sheetName val="상판,뒷선반길이"/>
      <sheetName val="간재"/>
      <sheetName val="간노"/>
      <sheetName val="임금"/>
      <sheetName val="임금2"/>
      <sheetName val="경비 (2)"/>
      <sheetName val="경조"/>
      <sheetName val="일반 (2)"/>
      <sheetName val="일반율"/>
      <sheetName val="이윤 (2)"/>
      <sheetName val="이윤율"/>
      <sheetName val="제조"/>
      <sheetName val="손익2"/>
      <sheetName val="제조2"/>
      <sheetName val="기업"/>
      <sheetName val="제조노임"/>
      <sheetName val=" 총괄표"/>
      <sheetName val="진주방향"/>
      <sheetName val="접수부"/>
      <sheetName val="버스운행안내"/>
      <sheetName val="예방접종계획"/>
      <sheetName val="근태계획서"/>
      <sheetName val="P3"/>
      <sheetName val="ELECTR_x0000__x0000_"/>
      <sheetName val="부하계산서"/>
      <sheetName val="13LPMCC"/>
      <sheetName val="냉천부속동"/>
      <sheetName val="96수출"/>
      <sheetName val="계산표지"/>
      <sheetName val="시중노임(공사)"/>
      <sheetName val="급수 (LPM)"/>
      <sheetName val="도로정위치부표"/>
      <sheetName val="도로조사부표"/>
      <sheetName val="내역1"/>
      <sheetName val="단1"/>
      <sheetName val="우각부보강"/>
      <sheetName val="비교1"/>
      <sheetName val="공통단가"/>
      <sheetName val="운반비"/>
      <sheetName val="기준FACTOR"/>
      <sheetName val="산출목록표"/>
      <sheetName val="기계경비산출기준"/>
      <sheetName val="기초단가"/>
      <sheetName val="경영"/>
      <sheetName val="98년"/>
      <sheetName val="실적"/>
      <sheetName val="장비집계"/>
      <sheetName val="조건"/>
      <sheetName val="빙축열"/>
      <sheetName val="금액"/>
      <sheetName val="심사물량"/>
      <sheetName val="심사계산"/>
      <sheetName val="고내분기~한림"/>
      <sheetName val="광령~경마장"/>
      <sheetName val="세기~광령"/>
      <sheetName val="정보"/>
      <sheetName val="2.토목공사"/>
      <sheetName val="월별수입"/>
      <sheetName val="현대물량"/>
      <sheetName val="관급"/>
      <sheetName val="기본사항"/>
      <sheetName val="피엘"/>
      <sheetName val="총괄갑 "/>
      <sheetName val="프로젝트"/>
      <sheetName val="분전함신설"/>
      <sheetName val="접지1종"/>
      <sheetName val="일위대가(가설)"/>
      <sheetName val="통신200헾"/>
      <sheetName val="옹벽"/>
      <sheetName val="토공_total2"/>
      <sheetName val="Customer_Databas2"/>
      <sheetName val="원가_(2)2"/>
      <sheetName val="AIR_SHOWER(3인용)2"/>
      <sheetName val="6PILE__(돌출)2"/>
      <sheetName val="토공(우물통,기타)_2"/>
      <sheetName val="노(97_1,97_9,98_1)2"/>
      <sheetName val="_HIT-&gt;HMC_견적(3900)2"/>
      <sheetName val="내역서_1"/>
      <sheetName val="노_무_비1"/>
      <sheetName val="Inst_1"/>
      <sheetName val="별표_1"/>
      <sheetName val="3_2제조설비1"/>
      <sheetName val="단가대비표_(3)1"/>
      <sheetName val="세골재__T2_변경_현황1"/>
      <sheetName val="단가_및_재료비"/>
      <sheetName val="[KKK.XLS]설계예/"/>
      <sheetName val="[KKK.XLS][KKK.XLS]설계예/"/>
      <sheetName val="[KKK.XLS][KKK.XLS][KKK.XLS]설계예/"/>
      <sheetName val="기성금내역서"/>
      <sheetName val="공ମ⿩_x0005_"/>
      <sheetName val="2,EXIST 전기실산출"/>
      <sheetName val="설치내역"/>
      <sheetName val="노임단가2004(상)"/>
      <sheetName val="300XL 세관"/>
      <sheetName val="효동"/>
      <sheetName val="ND"/>
      <sheetName val="양수장내역"/>
      <sheetName val="일위대가-1"/>
      <sheetName val="PAC"/>
      <sheetName val="48평형"/>
      <sheetName val="62평형"/>
      <sheetName val="copy"/>
      <sheetName val="FAB별"/>
      <sheetName val="회사개황최종"/>
      <sheetName val="설계서을"/>
      <sheetName val="견적서1"/>
      <sheetName val="중기손료"/>
      <sheetName val="★도급내역"/>
      <sheetName val="아파트"/>
      <sheetName val="공통비(전체)"/>
      <sheetName val="9509"/>
      <sheetName val="익산"/>
      <sheetName val="잡비계산"/>
      <sheetName val="hvac내역서(제어동)"/>
      <sheetName val="입력정보"/>
      <sheetName val="한전일위"/>
      <sheetName val="ÀÏ¸í"/>
      <sheetName val="ÀÏ¸í95"/>
      <sheetName val="ÀÏºñ"/>
      <sheetName val="ÀÏºñ95"/>
      <sheetName val="°æ¸í"/>
      <sheetName val="°æ¸í95"/>
      <sheetName val="°æ¹è"/>
      <sheetName val="°æ¹è95"/>
      <sheetName val="ÀÓÀ²"/>
      <sheetName val="ÀÓÀ²95"/>
      <sheetName val="°£³ëºñ"/>
      <sheetName val="°£³ëºñ95"/>
      <sheetName val="Á÷³ë"/>
      <sheetName val="°øÁ¤À²"/>
      <sheetName val="°ÇÁý"/>
      <sheetName val="°ÇÃà"/>
      <sheetName val="±â¼³Áý"/>
      <sheetName val="¼³Áý"/>
      <sheetName val="ÁøÂ¥³»¿ª"/>
      <sheetName val="ÃÑ°ý"/>
      <sheetName val="Áý°è"/>
      <sheetName val="³»¿ª"/>
      <sheetName val="°ø·®Áý"/>
      <sheetName val="´Ü°¡"/>
      <sheetName val="¹èºÎÀ²"/>
      <sheetName val="¿Ï¼º1"/>
      <sheetName val="¿Ï¼º2"/>
      <sheetName val="»êÀçºñÀ²"/>
      <sheetName val="¾ÈÀüºñÀ²"/>
      <sheetName val="ÀÏ¹ÝºñÀ²"/>
      <sheetName val="³ëÀÓ"/>
      <sheetName val="°ø·®"/>
      <sheetName val="Àû¿ë´ë°¡"/>
      <sheetName val="Áö¼ö³»¿ª"/>
      <sheetName val="³ë(97.1,97.9,98.1)"/>
      <sheetName val="³ëÀÓ´Ü°¡"/>
      <sheetName val="ÀÏÀ§´ë°¡¸ñ·Ï"/>
      <sheetName val="³»¿ª¼­2¾È"/>
      <sheetName val="ÀÏÀ§_ÆÄÀÏ"/>
      <sheetName val="°ßÀû¼­"/>
      <sheetName val="Ãâ·ÂÀº ±Ý¹°"/>
      <sheetName val="ÀÏÀ§´ë°¡"/>
      <sheetName val="Ã¶°Å»êÃâ±Ù°Å"/>
      <sheetName val="ÀÏÀ§´ë°¡(°ÇÃà)"/>
      <sheetName val="BabyÀÏÀ§´ë°¡"/>
      <sheetName val=" ³Ã°¢¼öÆßÇÁ"/>
      <sheetName val="°æ»ê"/>
      <sheetName val="´Ü°¡ "/>
      <sheetName val="Á÷Àç"/>
      <sheetName val="¼ÒºñÀÚ°¡"/>
      <sheetName val="¼ö·®»êÃâ"/>
      <sheetName val="´Ü°¡Á¶»ç"/>
      <sheetName val="Àú"/>
      <sheetName val="³»¿ª¼­(»ïÈ£)"/>
      <sheetName val="°£Á¢ºñ"/>
      <sheetName val="ÀÏÀ§´ë°¡(ÃâÀÔ)"/>
      <sheetName val="2°ø±¸»êÃâ³»¿ª"/>
      <sheetName val="½ÄÀçÀÏÀ§´ë°¡"/>
      <sheetName val="´ë,À¯,·¥"/>
      <sheetName val="±¹º°ÀÎ¿ø"/>
      <sheetName val="JòÁî§4"/>
      <sheetName val="ÀÏÀ§´ë°¡(4Ãþ¿ø°Ý)"/>
      <sheetName val="±âÃÊÀÏÀ§´ë°¡"/>
      <sheetName val="´Ü°¡´ëºñÇ¥"/>
      <sheetName val="»êÃâ±âÃÊ"/>
      <sheetName val="¿¬°á°ü¾Ï°Å"/>
      <sheetName val="Àû¿ë°ÇÃà"/>
      <sheetName val="Ç¥Áö"/>
      <sheetName val="±â°è³»¿ª"/>
      <sheetName val="µµ±Þ³»¿ª¼­"/>
      <sheetName val="9GNG¿î¹Ý"/>
      <sheetName val="±â°è°æºñ(½Ã°£´ç)"/>
      <sheetName val="·¥¸Ó"/>
      <sheetName val="Â÷¾×º¸Áõ"/>
      <sheetName val="ºÎºÐº°¼ö·®»êÃâ(Á¶ÇÕ±âÃÊ)"/>
      <sheetName val="¼Ò¹æ"/>
      <sheetName val="ÅÍÆÄ±â¹×Àç·á"/>
      <sheetName val="2F È¸ÀÇ½Ç°ßÀû(5_14 ÀÏ´ë)"/>
      <sheetName val="NìüëÒ-òÅ"/>
      <sheetName val="´Ü°¡Á¶»ç¼­"/>
      <sheetName val="1¾È"/>
      <sheetName val="¼ÕÀÍºÐ¼®"/>
      <sheetName val="°ÇÃàºÎÇÏ"/>
      <sheetName val="±èÆ÷IO"/>
      <sheetName val="소운반"/>
      <sheetName val="집수정단면도 (2)"/>
      <sheetName val="Pier 3"/>
      <sheetName val="예산변경사항"/>
      <sheetName val="총체보활공정표"/>
      <sheetName val="P1(좌,우)"/>
      <sheetName val="대가호표"/>
      <sheetName val="5.지붕"/>
      <sheetName val="철근콘크리트"/>
      <sheetName val="상시"/>
      <sheetName val="접속도로1"/>
      <sheetName val="단가조사-1"/>
      <sheetName val="단가조사-2"/>
      <sheetName val="성곽공사"/>
      <sheetName val="범례표"/>
      <sheetName val="도로횡단-D300"/>
      <sheetName val="투찰"/>
      <sheetName val="중기 부표"/>
      <sheetName val="투찰금액"/>
      <sheetName val="관급_File"/>
      <sheetName val="2공구하도급내역서"/>
      <sheetName val="1공구 건정토건 철콘"/>
      <sheetName val="적용공정"/>
      <sheetName val="동원인원"/>
      <sheetName val="견적의뢰"/>
      <sheetName val="리스(CIF)산출"/>
      <sheetName val="우수받이"/>
      <sheetName val="관급자재비"/>
      <sheetName val="사급자재비"/>
      <sheetName val="Sheet13"/>
      <sheetName val="Sheet14"/>
      <sheetName val="Sheet9"/>
      <sheetName val="공㐬ȟⱈ"/>
      <sheetName val="토피 5m"/>
      <sheetName val="울산자동제어"/>
      <sheetName val="자재"/>
      <sheetName val="단위수량"/>
      <sheetName val="관급자재"/>
      <sheetName val="마산월령동골조물량변경"/>
      <sheetName val="공비대비"/>
      <sheetName val="환산"/>
      <sheetName val="기계설비"/>
      <sheetName val="남양시작동자105노65㠀⺃簀⺃︀쫕ԯ_x0000_"/>
      <sheetName val="남양시작동자105노65︀䋕ԯ_x0000_缀_x0000__x0000__x0000_"/>
      <sheetName val="기기리스트"/>
      <sheetName val="노임자재단가"/>
      <sheetName val="시중노임단가"/>
      <sheetName val="SUS(150)"/>
      <sheetName val="ELECT쀀⻰_x0000_"/>
      <sheetName val="실행갑지"/>
      <sheetName val="상하차비용(기계상차)"/>
      <sheetName val="수간보호"/>
      <sheetName val="전기공사 산출집계"/>
      <sheetName val="전기공사 산출"/>
      <sheetName val="10동"/>
      <sheetName val="시점교대"/>
      <sheetName val="노단"/>
      <sheetName val="자단"/>
      <sheetName val="사업분석"/>
      <sheetName val="기본자료 "/>
      <sheetName val="설비"/>
      <sheetName val="D"/>
      <sheetName val="현장경상비"/>
      <sheetName val="AS포장복구 "/>
      <sheetName val="청천내"/>
      <sheetName val="공리일"/>
      <sheetName val="2003 일위대가"/>
      <sheetName val="(A)내역서"/>
      <sheetName val="INDEX"/>
      <sheetName val="시행예산"/>
      <sheetName val="공통비총괄표"/>
      <sheetName val="공종단가"/>
      <sheetName val="증감대비"/>
      <sheetName val="6-1. 관개량조서"/>
      <sheetName val="교각토공"/>
      <sheetName val="공사비집계"/>
      <sheetName val="6공구(당초)"/>
      <sheetName val="제출내역 (2)"/>
      <sheetName val="마산방향"/>
      <sheetName val="마산방향철근집계"/>
      <sheetName val="9811"/>
      <sheetName val="예정(3)"/>
      <sheetName val="S0"/>
      <sheetName val="수목데이타 "/>
      <sheetName val="남대문빌딩"/>
      <sheetName val="경영혁신본부"/>
      <sheetName val="본부별사업계획2차"/>
      <sheetName val="원가계산서(남측)"/>
      <sheetName val="감가상각"/>
      <sheetName val="지질조사분석"/>
      <sheetName val="2. 공원조도"/>
      <sheetName val="FJ단가"/>
      <sheetName val="7.지층별제원"/>
      <sheetName val="변경관급자재"/>
      <sheetName val="4.본실행통합내역서"/>
      <sheetName val="★개략견적"/>
      <sheetName val="일(4)"/>
      <sheetName val="1단계"/>
      <sheetName val="구조물공집계"/>
      <sheetName val="갑(전기)"/>
      <sheetName val="밸브설치"/>
      <sheetName val="순공사비"/>
      <sheetName val="Ⅱ1-0타"/>
      <sheetName val="토공 totൡý"/>
      <sheetName val="미장&amp;수장공사"/>
      <sheetName val="#REF!"/>
      <sheetName val="공_x0005__x0000__x0000_"/>
      <sheetName val="콘크리트타설집계표"/>
      <sheetName val="LG제품"/>
      <sheetName val="IW-LIST"/>
      <sheetName val="[KKK.XLS]말뚝지/_x0000__x0013_"/>
      <sheetName val="CP-E2 (품셈표)"/>
      <sheetName val="도담구내 개소별퇍놲ԯ"/>
      <sheetName val="B"/>
      <sheetName val="sensitivity"/>
      <sheetName val="도급내역서(က_x0000_ࠀ돬"/>
      <sheetName val="도급내역서(栀襙܆㦎"/>
      <sheetName val="도급내역서(/_x0000__xd800_Ù"/>
      <sheetName val="도급내역서(/_x0000_⠀D"/>
      <sheetName val="공铌ó_x0000_"/>
      <sheetName val="공_x0000_"/>
      <sheetName val="공䐠"/>
      <sheetName val="공㽐-ૐ"/>
      <sheetName val="공柖7_x0000_"/>
      <sheetName val="우수데이터"/>
      <sheetName val="3.면적"/>
      <sheetName val="I.설계조건"/>
      <sheetName val="Tool"/>
      <sheetName val="토적표(광혁측량)"/>
      <sheetName val="열린교실"/>
      <sheetName val="시설물일위"/>
      <sheetName val="도봉2지구"/>
      <sheetName val="대덕토공총"/>
      <sheetName val="제경비"/>
      <sheetName val="인부신상자료"/>
      <sheetName val="합의서"/>
      <sheetName val="가로등"/>
      <sheetName val="도시계획인력산정"/>
      <sheetName val="참고(3)고정비"/>
      <sheetName val="일위산출근거"/>
      <sheetName val="말뚝지/"/>
      <sheetName val="[KKK.XLS][KKK.XLS]말뚝지/"/>
      <sheetName val="일위대가(4_x0005_"/>
      <sheetName val="Data(인원)"/>
      <sheetName val="원하대비"/>
      <sheetName val="원도급"/>
      <sheetName val="하도급"/>
      <sheetName val="내역서(교량)전체"/>
      <sheetName val="구역화물"/>
      <sheetName val="단위목록"/>
      <sheetName val="시험비"/>
      <sheetName val="기계경비목록"/>
      <sheetName val="견적을지"/>
      <sheetName val="우수"/>
      <sheetName val="집수정(1)"/>
      <sheetName val="내역서(사업소)"/>
      <sheetName val="유역면적"/>
      <sheetName val="MECH"/>
      <sheetName val="AS접수관리"/>
      <sheetName val="잔존년수"/>
      <sheetName val="본내역"/>
      <sheetName val="제1호단위수량"/>
      <sheetName val="작성방법"/>
      <sheetName val="자재(원원+원대)"/>
      <sheetName val="인원계획-미화"/>
      <sheetName val="●수량(침구보관창고-21평)"/>
      <sheetName val="투입내역"/>
      <sheetName val="원"/>
      <sheetName val="법면단"/>
      <sheetName val="지주토목내역서"/>
      <sheetName val="전기변내역"/>
      <sheetName val="일계표"/>
      <sheetName val="10.단가산출"/>
      <sheetName val="일위(설)"/>
      <sheetName val="직접인건비"/>
      <sheetName val="미익SUB"/>
      <sheetName val="15100"/>
      <sheetName val="명단"/>
      <sheetName val="토공집계(rp)"/>
      <sheetName val="환율"/>
      <sheetName val="마포토정"/>
      <sheetName val="내역 (2)"/>
      <sheetName val="b_balju-단가단가단가"/>
      <sheetName val="적용단가표"/>
      <sheetName val="H-pile(298x299)"/>
      <sheetName val="H-pile(250x250)"/>
      <sheetName val="소업1교"/>
      <sheetName val="일집"/>
      <sheetName val="8.PILE  (돌출)"/>
      <sheetName val="단가산출서 (2)"/>
      <sheetName val="단가비교용"/>
      <sheetName val="GI-LIST"/>
      <sheetName val="예총"/>
      <sheetName val="공종별집계"/>
      <sheetName val="3F"/>
      <sheetName val="수리결과"/>
      <sheetName val="OPT7"/>
      <sheetName val="과천MAIN"/>
      <sheetName val="터널대가"/>
      <sheetName val="장애코드"/>
      <sheetName val="관리비비계상"/>
      <sheetName val="재료비집계"/>
      <sheetName val="일위_FILE"/>
      <sheetName val="A조"/>
      <sheetName val="덤프트럭계수"/>
      <sheetName val="매입-계약"/>
      <sheetName val="단가및재료비"/>
      <sheetName val="기계경비일람"/>
      <sheetName val="노무"/>
      <sheetName val="일위대가(여기까지)"/>
      <sheetName val="초기화면"/>
      <sheetName val="예산내역서"/>
      <sheetName val="물가대비표"/>
      <sheetName val="맨홀조서"/>
      <sheetName val="정산서 "/>
      <sheetName val="공종구간"/>
      <sheetName val="총계"/>
      <sheetName val="동수"/>
      <sheetName val="옥외"/>
      <sheetName val="1~69"/>
      <sheetName val="예산조서(전송)"/>
      <sheetName val="코드일람표2001년10월"/>
      <sheetName val="북부"/>
      <sheetName val="할증 "/>
      <sheetName val="비주거용"/>
      <sheetName val="총(신설)"/>
      <sheetName val="제품목록"/>
      <sheetName val="공사비예산서"/>
      <sheetName val="EACT10"/>
      <sheetName val="EKOG10건축"/>
      <sheetName val="소방사항"/>
      <sheetName val="DATA-UPS"/>
      <sheetName val="항목별진도율"/>
      <sheetName val="자금입금"/>
      <sheetName val="K-16 (실행)"/>
      <sheetName val="7-1노임"/>
      <sheetName val="7-2경비"/>
      <sheetName val="비품"/>
      <sheetName val="선급금신청서"/>
      <sheetName val="일위목_x0000_"/>
      <sheetName val="기준단가현황"/>
      <sheetName val="공사개요(입력)"/>
      <sheetName val="그림모음"/>
      <sheetName val="소화실적"/>
      <sheetName val="홍보비디오"/>
      <sheetName val="적점"/>
      <sheetName val="4.전기"/>
      <sheetName val="국내조달(통㼨«ㅌʖ"/>
      <sheetName val="국내조달(통翈ï헾⽺"/>
      <sheetName val="국내조달(통蕘¯헾『"/>
      <sheetName val="국내조달(통聈O肌O"/>
      <sheetName val="부하집계"/>
      <sheetName val="5-(하)설비"/>
      <sheetName val="수량"/>
      <sheetName val="소포내역 (2)"/>
      <sheetName val="견적(100%"/>
      <sheetName val="견적(100%ᓈ"/>
      <sheetName val="견적(100%䃈"/>
      <sheetName val="견적(100%耀"/>
      <sheetName val="견적(100%저"/>
      <sheetName val="견적(100%_x0000_"/>
      <sheetName val="견적(100%"/>
      <sheetName val="견적(100%_x0008_"/>
      <sheetName val="하반기(지구대ო"/>
      <sheetName val="990430_당초"/>
      <sheetName val="전등,DC등 내역서"/>
      <sheetName val="2총괄내역서"/>
      <sheetName val="일위집계(기존)"/>
      <sheetName val="MB5B"/>
      <sheetName val="전말제"/>
      <sheetName val="지급자재여부"/>
      <sheetName val="기별(종합)"/>
      <sheetName val="전체도급"/>
      <sheetName val="전체손익"/>
      <sheetName val="총투자비"/>
      <sheetName val="방배2E"/>
      <sheetName val="총괄-1"/>
      <sheetName val="수량분배표"/>
      <sheetName val="골막이(야매)"/>
      <sheetName val="기타자료"/>
      <sheetName val="DATA 입력란"/>
      <sheetName val="TEL"/>
      <sheetName val="보증수수료산"/>
      <sheetName val="2F_회의실견적_5_14_일대_"/>
      <sheetName val="WEIGHT_LIST"/>
      <sheetName val="산#2-1_(2)"/>
      <sheetName val="2F_회의실견적(5_14_일대)1"/>
      <sheetName val="2F_회의실견적_5_14_일대_1"/>
      <sheetName val="3BL공동구_수량3"/>
      <sheetName val="출력은_금물2"/>
      <sheetName val="_냉각수펌프2"/>
      <sheetName val="단가_2"/>
      <sheetName val="Sheet1_(2)1"/>
      <sheetName val="설_(3)3"/>
      <sheetName val="설_(2)3"/>
      <sheetName val="1_설계조건2"/>
      <sheetName val="일위대가목록_1"/>
      <sheetName val="1차_내역서1"/>
      <sheetName val="전선_및_전선관2"/>
      <sheetName val="내역서_제출2"/>
      <sheetName val="남양시작동자105노65기1_3화1_21"/>
      <sheetName val="현장관리비_산출내역1"/>
      <sheetName val="1000_DB구축_부표1"/>
      <sheetName val="CT_1"/>
      <sheetName val="조도계산서_(도서)1"/>
      <sheetName val="노무비_근거2"/>
      <sheetName val="효성CB_1P기초2"/>
      <sheetName val="2000년_공정표2"/>
      <sheetName val="C_전기공사1"/>
      <sheetName val="갑지_을지1"/>
      <sheetName val="기타_정보통신공사1"/>
      <sheetName val="표__지1"/>
      <sheetName val="노임단가(08_01)1"/>
      <sheetName val="일위대가56-1_1"/>
      <sheetName val="일위대가71-1_1"/>
      <sheetName val="일위대가74-1_1"/>
      <sheetName val="일위대가76-1_1"/>
      <sheetName val="일위대가77-1_1"/>
      <sheetName val="일위대가78-1_1"/>
      <sheetName val="화재_탐지_설비1"/>
      <sheetName val="일위대가_1"/>
      <sheetName val="DATA테이블1_(2)1"/>
      <sheetName val="A_견적1"/>
      <sheetName val="s_v1"/>
      <sheetName val="도담구내_개소별_명세1"/>
      <sheetName val="빌딩_안내1"/>
      <sheetName val="정거장_설계조건1"/>
      <sheetName val="2000_051"/>
      <sheetName val="신규_수주분(사용자_정의)1"/>
      <sheetName val="BSD_(2)1"/>
      <sheetName val="단가_및_재료비1"/>
      <sheetName val="국도접속_차도부수량1"/>
      <sheetName val="WEIGHT_LIST1"/>
      <sheetName val="산#2-1_(2)1"/>
      <sheetName val="토목내역서_(도급단가)1"/>
      <sheetName val="직원명단"/>
      <sheetName val="5흙막이"/>
      <sheetName val="원가계산서 "/>
      <sheetName val="구간산출"/>
      <sheetName val="중계I"/>
      <sheetName val="날개벽"/>
      <sheetName val="배수공 시멘트 및 골재량 산출"/>
      <sheetName val="창호"/>
      <sheetName val="가설제외"/>
      <sheetName val="기타공사"/>
      <sheetName val="일위대가표집계표"/>
      <sheetName val="자재운반단가일람표"/>
      <sheetName val="가설공_x0000_"/>
      <sheetName val="시약"/>
      <sheetName val=""/>
      <sheetName val="말뚝지_x0000__x0000_ﯲ"/>
      <sheetName val="말뚝지怀4Ე"/>
      <sheetName val="99-0002"/>
      <sheetName val="DATA테이블"/>
      <sheetName val="DATA테이블_x0000__x0000_Ԁ_x0000_쀀"/>
      <sheetName val="일위집계표"/>
      <sheetName val="1.수인터널"/>
      <sheetName val="인건비 "/>
      <sheetName val="noyim"/>
      <sheetName val="지점별강우량"/>
      <sheetName val="일대목록표"/>
      <sheetName val="도급내역׃⽚"/>
      <sheetName val="도급내역׃⾺_x0000__x0000_鎀_x0000_"/>
      <sheetName val="도급내역׃⾺_x0000__x0000_映_x0000_"/>
      <sheetName val="도급내역׃⾺_x0000__x0000_淈_x0000_"/>
      <sheetName val="도급내역׃⾺_x0000__x0000_윀_x0000_"/>
      <sheetName val="도급내역׃⾺_x0000__x0000_靰_x0000_"/>
      <sheetName val="도급내역׃⾺_x0000__x0000_筠_x0000_"/>
      <sheetName val="도급내역׃⾺_x0000__x0000_珰_x0000_"/>
      <sheetName val="도급내역׃⾺_x0000__x0000_觘_x0000_"/>
      <sheetName val="도급내역׃⾺_x0000__x0000_椰_x0000_"/>
      <sheetName val="도급내역薨(藬(헾⽉"/>
      <sheetName val="도급내역헾⼖_x0005__x0000__x0000_"/>
      <sheetName val="도급내역׃⽚_x0000__x0000_ⶐ_x0000_"/>
      <sheetName val="직접경비"/>
      <sheetName val="Zip_Code"/>
      <sheetName val="평균터파기고(1-2,ASP)"/>
      <sheetName val="기본DATA"/>
      <sheetName val="96"/>
      <sheetName val="가정급수관"/>
      <sheetName val="오억미만"/>
      <sheetName val="자가"/>
      <sheetName val="암거공"/>
      <sheetName val="구조물공1"/>
      <sheetName val="배수및구조물공1"/>
      <sheetName val="건강보험 표준보수월액 조견표(04년도)"/>
      <sheetName val="SUM (EDWARD)"/>
      <sheetName val="공사비산출내역"/>
      <sheetName val="환경평가"/>
      <sheetName val="목록표"/>
      <sheetName val="A1.스케쥴"/>
      <sheetName val="C1.공사개요"/>
      <sheetName val="이토변실(A3-LINE)"/>
      <sheetName val="로선구조"/>
      <sheetName val="내   역"/>
      <sheetName val="개요입력"/>
      <sheetName val="수량기준"/>
      <sheetName val="단가기준"/>
      <sheetName val="gvl"/>
      <sheetName val="설계내역"/>
      <sheetName val="남양시작동자105노65기1.3화1.厨"/>
      <sheetName val="충주"/>
      <sheetName val="달서천-대비"/>
      <sheetName val="단가1"/>
      <sheetName val="합계금액"/>
      <sheetName val="단가조정표"/>
      <sheetName val="일위대가집계표"/>
      <sheetName val="교량"/>
      <sheetName val="경비계산서"/>
      <sheetName val="대림경상68억"/>
      <sheetName val="토공내역서"/>
      <sheetName val="토목수량산출"/>
      <sheetName val="10공구일위"/>
      <sheetName val="21301동"/>
      <sheetName val="목창호"/>
      <sheetName val="[KKK.XLS]________C____________6"/>
      <sheetName val="[KKK.XLS]________C____________3"/>
      <sheetName val="[KKK.XLS]________C____________2"/>
      <sheetName val="자재 발주서-91"/>
      <sheetName val="[KKK.XLS]________C____________4"/>
      <sheetName val="[KKK.XLS]________C____________5"/>
      <sheetName val="일위대가(4층원격匸"/>
      <sheetName val="양식_자惍ᙘ각ᙘ턁岲"/>
      <sheetName val="공ꙭĕ_x0000_"/>
      <sheetName val="공ꙭ_x0017__x0000_"/>
      <sheetName val="종배수관면벽구"/>
      <sheetName val="공ꙭ"/>
      <sheetName val="공_x0002__x0000_듰"/>
      <sheetName val="2.단면가정"/>
      <sheetName val="인원"/>
      <sheetName val="공_xdbe6_¶攰"/>
      <sheetName val="공◸̝쿆"/>
      <sheetName val="공◸ʣ쿆"/>
      <sheetName val="7급줄떼공"/>
      <sheetName val="공䗠ἓ㹐"/>
      <sheetName val="공䗠ἓ⍸"/>
      <sheetName val="공_xdc48_ʢꍈ"/>
      <sheetName val="공ැ┸龐"/>
      <sheetName val="공촠ʋ濠"/>
      <sheetName val="간접비_총괄표"/>
      <sheetName val="17F_MOCKUP_B-1,B-2"/>
      <sheetName val="MAT_철근"/>
      <sheetName val="일_위_목_록_표"/>
      <sheetName val="2002하반기노임기준"/>
      <sheetName val="공㑠_x0000_"/>
      <sheetName val="공ꙭL"/>
      <sheetName val="공ꙭĖ"/>
      <sheetName val="공_x0000__x0000_"/>
      <sheetName val="수지차(년)"/>
      <sheetName val="견적내역"/>
      <sheetName val="토목내역"/>
      <sheetName val="효율표"/>
      <sheetName val="콘크Ô_x0000_"/>
      <sheetName val="2.점검 입력리스트"/>
      <sheetName val="48평단가"/>
      <sheetName val="57단가"/>
      <sheetName val="54평단가"/>
      <sheetName val="66평단가"/>
      <sheetName val="61단가"/>
      <sheetName val="89평단가"/>
      <sheetName val="84평단가"/>
      <sheetName val="06 일위대가목록"/>
      <sheetName val="자금신청서"/>
      <sheetName val="비교표"/>
      <sheetName val="배관단가조사서"/>
      <sheetName val="배관BM(일반)"/>
      <sheetName val="A LINE"/>
      <sheetName val="토적표(1)"/>
      <sheetName val="기본폼"/>
      <sheetName val="흙막이-G"/>
      <sheetName val="물가시세표"/>
      <sheetName val="표준견적서"/>
      <sheetName val="[KKK.XLS][KKK.XLS][KKK.XLS]___2"/>
      <sheetName val="정렬"/>
      <sheetName val="품 셈"/>
      <sheetName val="장비종합부표"/>
      <sheetName val="토적표"/>
      <sheetName val="대림정보통신"/>
      <sheetName val="0506생활권구적"/>
      <sheetName val="기성"/>
      <sheetName val="기성관리"/>
      <sheetName val="제수문집계"/>
      <sheetName val="철거분"/>
      <sheetName val="공사설계서"/>
      <sheetName val="고시단가"/>
      <sheetName val="정산"/>
      <sheetName val="공렏_x001d_"/>
      <sheetName val="정공공사"/>
      <sheetName val="결재판"/>
      <sheetName val="일단의 주택지"/>
      <sheetName val="1_통합입력"/>
      <sheetName val="계약용량(서포)"/>
      <sheetName val="조경"/>
      <sheetName val="수목단가"/>
      <sheetName val="시설수량표"/>
      <sheetName val="수습"/>
      <sheetName val="물량산출서"/>
      <sheetName val="아파트 "/>
      <sheetName val="신규 수주분(사¬_x0000_Ԁ_x0000_耀_xdb73_"/>
      <sheetName val="신규 수주분(사¬_x0000_Ԁ_x0000_쀀檉"/>
      <sheetName val="적용"/>
      <sheetName val="지장물_data"/>
      <sheetName val="제품원재"/>
      <sheetName val="점검총괄"/>
      <sheetName val="3BL공동구_"/>
      <sheetName val="ELECTR損("/>
      <sheetName val="ELECTR_x0000_ʳ"/>
      <sheetName val="ELECTR⦐᭝"/>
      <sheetName val="ELECTR_x0000_#"/>
      <sheetName val="ELECTR겨₥"/>
      <sheetName val="ELECTRﾈȿ"/>
      <sheetName val="직"/>
      <sheetName val="잡비"/>
      <sheetName val="수입"/>
      <sheetName val="내역서1999.8최종"/>
      <sheetName val="건축일위"/>
      <sheetName val="그라우팅일위"/>
      <sheetName val="계정"/>
      <sheetName val="경율산정.XLS"/>
      <sheetName val="토사_PE_"/>
      <sheetName val="Macro(전기)"/>
      <sheetName val="경율산정_XLS"/>
      <sheetName val="PSM16"/>
      <sheetName val="경율산정"/>
      <sheetName val="부대tu"/>
      <sheetName val="기록장"/>
      <sheetName val="금광1터널"/>
      <sheetName val="기본1"/>
      <sheetName val="수정일위대가"/>
      <sheetName val="세부내역(직접인건비)"/>
      <sheetName val="세부내역(직접경비)"/>
      <sheetName val="소일위대가코드표"/>
      <sheetName val="업무"/>
      <sheetName val="설직재_1"/>
      <sheetName val="청산공사"/>
      <sheetName val="1.우편집중내역서"/>
      <sheetName val="제원"/>
      <sheetName val="DS-최종"/>
      <sheetName val="Galaxy 소비자가격표"/>
      <sheetName val="간접재료비산출표-27-30"/>
      <sheetName val="방송노임"/>
      <sheetName val="DATA(BAC)"/>
      <sheetName val="가시설수량"/>
      <sheetName val="한일양산"/>
      <sheetName val="3.창호"/>
      <sheetName val="공사비증감"/>
      <sheetName val="건공요율"/>
      <sheetName val="급수사용량"/>
      <sheetName val="급,배기팬"/>
      <sheetName val="사진(추락방지)"/>
      <sheetName val="증감내역서"/>
      <sheetName val="관지수(STS)"/>
      <sheetName val="토목공사"/>
      <sheetName val="용수량(생활용수)"/>
      <sheetName val="전차선로 물량표"/>
      <sheetName val="김민규(휴먼)"/>
      <sheetName val="표     지"/>
      <sheetName val="산출내역집계표"/>
      <sheetName val="사유서 (2)"/>
      <sheetName val="사유서"/>
      <sheetName val="설계변경검토내용"/>
      <sheetName val="주요내용-1"/>
      <sheetName val="도급자서식-1"/>
      <sheetName val="도급자서식-2"/>
      <sheetName val="원가참조"/>
      <sheetName val="공제구간조서"/>
      <sheetName val="401"/>
      <sheetName val="유치원내역"/>
      <sheetName val="매출 비교"/>
      <sheetName val="중기명"/>
      <sheetName val="맨홀"/>
      <sheetName val="1. 설계조건 2.단면가정 3. 하중계산"/>
      <sheetName val="자  재"/>
      <sheetName val="건축외주"/>
      <sheetName val="신규 수주분(사䠆㢂︀諕ԯ_x0000_"/>
      <sheetName val="신규 수주분(사Ԇ_x0000_缀_x0000__x0000__x0000_"/>
      <sheetName val="전기내역서"/>
      <sheetName val="C-직노1"/>
      <sheetName val="기초코드"/>
      <sheetName val="제출내역_(2)"/>
      <sheetName val="I_설계조건"/>
      <sheetName val="집수정단면도_(2)"/>
      <sheetName val="실행내역_"/>
      <sheetName val="공사예산하조서(O_K)"/>
      <sheetName val="내역5"/>
      <sheetName val="옥외 전력간선공사"/>
      <sheetName val="파형강관및곡선부보강및날개벽"/>
      <sheetName val="창원- 전기공사"/>
      <sheetName val="RM목표&amp;실적"/>
      <sheetName val="빌딩코드"/>
      <sheetName val="발열량"/>
      <sheetName val="(포장)BOQ-실적공사"/>
      <sheetName val="내부예산(5101~3)"/>
      <sheetName val="단가(1)"/>
      <sheetName val="D-3503"/>
      <sheetName val="평형별부하집계4-6"/>
      <sheetName val="서산일위대가수정분010603"/>
      <sheetName val="unit 4"/>
      <sheetName val="총투입계"/>
      <sheetName val="대상공사(조달청)"/>
      <sheetName val="자료(통합)"/>
      <sheetName val="(당평)자재"/>
      <sheetName val="당초명세(평)"/>
      <sheetName val="배수관집계"/>
      <sheetName val="출력X"/>
      <sheetName val="일위단위"/>
      <sheetName val="등급별 배치기준"/>
      <sheetName val="품셈T_x0010__x0000_⺨ࢠ"/>
      <sheetName val="회사정보"/>
      <sheetName val="6PILE__(돌출)3"/>
      <sheetName val="AIR_SHOWER(3인용)3"/>
      <sheetName val="Customer_Databas3"/>
      <sheetName val="토공(우물통,기타)_3"/>
      <sheetName val="노(97_1,97_9,98_1)3"/>
      <sheetName val="원가_(2)3"/>
      <sheetName val="토공_total3"/>
      <sheetName val="_HIT-&gt;HMC_견적(3900)3"/>
      <sheetName val="노_무_비2"/>
      <sheetName val="내역서_2"/>
      <sheetName val="세골재__T2_변경_현황2"/>
      <sheetName val="Inst_2"/>
      <sheetName val="별표_2"/>
      <sheetName val="3_2제조설비2"/>
      <sheetName val="7_환경"/>
      <sheetName val="단가대비표_(3)2"/>
      <sheetName val="앉음벽_(2)1"/>
      <sheetName val="5_동별횡주관경1"/>
      <sheetName val="2_대외공문1"/>
      <sheetName val="Cost_bd-&quot;A&quot;1"/>
      <sheetName val="_토목_처리장도급내역서_1"/>
      <sheetName val="Summary_Sheets1"/>
      <sheetName val="중기조종사_단위단가"/>
      <sheetName val="폐토수익화_"/>
      <sheetName val="참조_(2)"/>
      <sheetName val="SHEET_PILE단가1"/>
      <sheetName val="2,EXIST_전기실산출"/>
      <sheetName val="샌딩_에폭시_도장"/>
      <sheetName val="일반문틀_설치"/>
      <sheetName val="기본항목_입력"/>
      <sheetName val="3_자재비(총괄)1"/>
      <sheetName val="4_고용보험1"/>
      <sheetName val="1_토공집계표1"/>
      <sheetName val="견적대비_견적서"/>
      <sheetName val="갑__지"/>
      <sheetName val="97년_추정1"/>
      <sheetName val="제출내역_(3)"/>
      <sheetName val="부자재_적용비율1"/>
      <sheetName val="2_노임및손료"/>
      <sheetName val="조건표_(2)"/>
      <sheetName val="노임단가_(2)"/>
      <sheetName val="단가표_(2)"/>
      <sheetName val="CABLE_SIZE-1"/>
      <sheetName val="220_(2)"/>
      <sheetName val="2_고용보험료산출근거"/>
      <sheetName val="기초입력_DATA"/>
      <sheetName val="NO_1-NO12(설계예산서)"/>
      <sheetName val="암거_제원표-1단계"/>
      <sheetName val="준검_내역서1"/>
      <sheetName val="단가_(2)"/>
      <sheetName val="노무비_"/>
      <sheetName val="PROJECT_BRIEF(EX_NEW)"/>
      <sheetName val="원가계산_(2)1"/>
      <sheetName val="플랜트_설치1"/>
      <sheetName val="개별직종노임단가(2003_9)"/>
      <sheetName val="실행내역_(2)"/>
      <sheetName val="P_M_별"/>
      <sheetName val="일__위__대__가__목__록"/>
      <sheetName val="_갑지"/>
      <sheetName val="_소방공사_산출근거"/>
      <sheetName val="기존단가_(2)"/>
      <sheetName val="말뚝지/"/>
      <sheetName val="일위대가(4"/>
      <sheetName val="일위대가(4獏め"/>
      <sheetName val="AIR_SHOWER_3인용_"/>
      <sheetName val="일위대가(4ꌱ⿪"/>
      <sheetName val="[KKK_XLS][KKK_XLS]말뚝지/"/>
      <sheetName val="1_검토서"/>
      <sheetName val="공헾⾵"/>
      <sheetName val="집_계_표"/>
      <sheetName val="BH-1_(2)"/>
      <sheetName val="총괄표_"/>
      <sheetName val="B_O_M"/>
      <sheetName val="생산매출_(4)"/>
      <sheetName val="STANDARD_(상)-참고"/>
      <sheetName val="FUEL_FILLER"/>
      <sheetName val="4_2내역서"/>
      <sheetName val="장비선정_"/>
      <sheetName val="1단계_(2)"/>
      <sheetName val="수_량_명_세_서_-_1"/>
      <sheetName val="영업_일1"/>
      <sheetName val="[KKK_XLS]말뚝지/"/>
      <sheetName val="개별직종노임단가(2002_5)"/>
      <sheetName val="3_공통공사대비"/>
      <sheetName val="Pier_3"/>
      <sheetName val="CP-E2_(품셈표)"/>
      <sheetName val="DATA_입력란"/>
      <sheetName val="토피_5m"/>
      <sheetName val="공급집계_(현대-우림)"/>
      <sheetName val="______"/>
      <sheetName val="AS포장복구_"/>
      <sheetName val="2003_일위대가"/>
      <sheetName val="6-1__관개량조서"/>
      <sheetName val="수목데이타_"/>
      <sheetName val="2__공원조도"/>
      <sheetName val="7_지층별제원"/>
      <sheetName val="4_본실행통합내역서"/>
      <sheetName val="내역_(2)"/>
      <sheetName val="8_PILE__(돌출)"/>
      <sheetName val="단가산출서_(2)"/>
      <sheetName val="전기공사_산출집계"/>
      <sheetName val="전기공사_산출"/>
      <sheetName val="3_면적&amp;세대(입력)"/>
      <sheetName val="300XL_세관"/>
      <sheetName val="DATA_입력부"/>
      <sheetName val="일위대가(4"/>
      <sheetName val="[KKK_XLS][KKK_XLS]말뚝지/"/>
      <sheetName val="4_2유효폭의_계산"/>
      <sheetName val="공劰_勼"/>
      <sheetName val="공韛⾶"/>
      <sheetName val="공"/>
      <sheetName val="1_자원총괄"/>
      <sheetName val="[KKK_XLS]설계예/"/>
      <sheetName val="[KKK_XLS][KKK_XLS]설계예/"/>
      <sheetName val="[KKK_XLS][KKK_XLS][KKK_XLS]설계예/"/>
      <sheetName val="5_정산서"/>
      <sheetName val="일위대가(4층원격"/>
      <sheetName val="중기_부표"/>
      <sheetName val="공사_Scope_표지"/>
      <sheetName val="공사_Scope"/>
      <sheetName val="산출근거_"/>
      <sheetName val="³ë(97_1,97_9,98_1)"/>
      <sheetName val="Ãâ·ÂÀº_±Ý¹°"/>
      <sheetName val="_³Ã°¢¼öÆßÇÁ"/>
      <sheetName val="´Ü°¡_"/>
      <sheetName val="2F_È¸ÀÇ½Ç°ßÀû(5_14_ÀÏ´ë)"/>
      <sheetName val="5_지붕"/>
      <sheetName val="도담구내_개소별퇍놲ԯ"/>
      <sheetName val="기본자료_"/>
      <sheetName val="_총괄표"/>
      <sheetName val="토공_totൡý"/>
      <sheetName val="직종표"/>
      <sheetName val="신고조서"/>
      <sheetName val="도급내역서(재노³_x0000_"/>
      <sheetName val="고등학교"/>
      <sheetName val="견적֬_x0000_"/>
      <sheetName val="조사방식"/>
      <sheetName val="조사방법 참조"/>
      <sheetName val="도급내역서(쀀ざఀし"/>
      <sheetName val="부하(성남)"/>
      <sheetName val="산출내역(K2)"/>
      <sheetName val="총괄BOQ"/>
      <sheetName val="분석"/>
      <sheetName val="판넬"/>
      <sheetName val="철골"/>
      <sheetName val="12.일위대가"/>
      <sheetName val="횡배수관토공집계"/>
      <sheetName val="통로box전기"/>
      <sheetName val="내역서(설비+소방)"/>
      <sheetName val="암거단위-1련"/>
      <sheetName val="빗물받이(910-510-410)"/>
      <sheetName val="리츠"/>
      <sheetName val="1_우편집중내역서"/>
      <sheetName val="기준정보1"/>
      <sheetName val="경상"/>
      <sheetName val="가설"/>
      <sheetName val="설_(3)4"/>
      <sheetName val="설_(2)4"/>
      <sheetName val="3BL공동구_수량4"/>
      <sheetName val="_냉각수펌프3"/>
      <sheetName val="1_설계조건3"/>
      <sheetName val="전선_및_전선관3"/>
      <sheetName val="내역서_제출3"/>
      <sheetName val="2000년_공정표3"/>
      <sheetName val="기타_정보통신공사2"/>
      <sheetName val="효성CB_1P기초3"/>
      <sheetName val="노무비_근거3"/>
      <sheetName val="노임단가(08_01)2"/>
      <sheetName val="일위대가56-1_2"/>
      <sheetName val="일위대가71-1_2"/>
      <sheetName val="일위대가74-1_2"/>
      <sheetName val="일위대가76-1_2"/>
      <sheetName val="일위대가77-1_2"/>
      <sheetName val="일위대가78-1_2"/>
      <sheetName val="갑지_을지2"/>
      <sheetName val="출력은_금물3"/>
      <sheetName val="단가_3"/>
      <sheetName val="C_전기공사2"/>
      <sheetName val="Sheet1_(2)2"/>
      <sheetName val="DATA테이블1_(2)2"/>
      <sheetName val="A_견적2"/>
      <sheetName val="s_v2"/>
      <sheetName val="2000_052"/>
      <sheetName val="BSD_(2)2"/>
      <sheetName val="정거장_설계조건2"/>
      <sheetName val="도담구내_개소별_명세2"/>
      <sheetName val="1000_DB구축_부표2"/>
      <sheetName val="CT_2"/>
      <sheetName val="조도계산서_(도서)2"/>
      <sheetName val="1차_내역서2"/>
      <sheetName val="화재_탐지_설비2"/>
      <sheetName val="일위대가_2"/>
      <sheetName val="신규_수주분(사용자_정의)2"/>
      <sheetName val="남양시작동자105노65기1_3화1_22"/>
      <sheetName val="국도접속_차도부수량2"/>
      <sheetName val="빌딩_안내2"/>
      <sheetName val="2F_회의실견적(5_14_일대)2"/>
      <sheetName val="표__지2"/>
      <sheetName val="폐토수익화_1"/>
      <sheetName val="SHEET_PILE단가2"/>
      <sheetName val="5_동별횡주관경2"/>
      <sheetName val="1_토공집계표2"/>
      <sheetName val="17F_MOCKUP_B-1,B-21"/>
      <sheetName val="현장관리비_산출내역2"/>
      <sheetName val="원가계산_(2)2"/>
      <sheetName val="토목내역서_(도급단가)2"/>
      <sheetName val="부자재_적용비율2"/>
      <sheetName val="3_자재비(총괄)2"/>
      <sheetName val="_토목_처리장도급내역서_2"/>
      <sheetName val="Cost_bd-&quot;A&quot;2"/>
      <sheetName val="Summary_Sheets2"/>
      <sheetName val="2_대외공문2"/>
      <sheetName val="4_고용보험2"/>
      <sheetName val="97년_추정2"/>
      <sheetName val="7_환경1"/>
      <sheetName val="앉음벽_(2)2"/>
      <sheetName val="2_노임및손료1"/>
      <sheetName val="일_위_목_록_표1"/>
      <sheetName val="총괄표_1"/>
      <sheetName val="기존단가_(2)1"/>
      <sheetName val="샌딩_에폭시_도장1"/>
      <sheetName val="일반문틀_설치1"/>
      <sheetName val="기본항목_입력1"/>
      <sheetName val="노임단가_(2)1"/>
      <sheetName val="조건표_(2)1"/>
      <sheetName val="준검_내역서2"/>
      <sheetName val="P_M_별1"/>
      <sheetName val="참조_(2)1"/>
      <sheetName val="플랜트_설치2"/>
      <sheetName val="제출내역_(3)1"/>
      <sheetName val="암거_제원표-1단계1"/>
      <sheetName val="B_O_M1"/>
      <sheetName val="생산매출_(4)1"/>
      <sheetName val="STANDARD_(상)-참고1"/>
      <sheetName val="일__위__대__가__목__록1"/>
      <sheetName val="기초입력_DATA1"/>
      <sheetName val="간접비_총괄표1"/>
      <sheetName val="실행내역_1"/>
      <sheetName val="220_(2)1"/>
      <sheetName val="2_고용보험료산출근거1"/>
      <sheetName val="NO_1-NO12(설계예산서)1"/>
      <sheetName val="FUEL_FILLER1"/>
      <sheetName val="견적대비_견적서1"/>
      <sheetName val="_소방공사_산출근거1"/>
      <sheetName val="개별직종노임단가(2003_9)1"/>
      <sheetName val="실행내역_(2)1"/>
      <sheetName val="5_정산서1"/>
      <sheetName val="_갑지1"/>
      <sheetName val="일위대가목록_2"/>
      <sheetName val="단가_(2)1"/>
      <sheetName val="노무비_1"/>
      <sheetName val="AIR_SHOWER_3인용_1"/>
      <sheetName val="PROJECT_BRIEF(EX_NEW)1"/>
      <sheetName val="CABLE_SIZE-11"/>
      <sheetName val="갑__지1"/>
      <sheetName val="공사예산하조서(O_K)1"/>
      <sheetName val="1_검토서1"/>
      <sheetName val="집_계_표1"/>
      <sheetName val="BH-1_(2)1"/>
      <sheetName val="단가표_(2)1"/>
      <sheetName val="장비선정_1"/>
      <sheetName val="공급집계_(현대-우림)1"/>
      <sheetName val="3_공통공사대비1"/>
      <sheetName val="중기조종사_단위단가1"/>
      <sheetName val="영업_일11"/>
      <sheetName val="3_면적&amp;세대(입력)1"/>
      <sheetName val="MAT_철근1"/>
      <sheetName val="4_2내역서1"/>
      <sheetName val="1_자원총괄1"/>
      <sheetName val="공劰_勼1"/>
      <sheetName val="______1"/>
      <sheetName val="개별직종노임단가(2002_5)1"/>
      <sheetName val="4_2유효폭의_계산1"/>
      <sheetName val="1단계_(2)1"/>
      <sheetName val="수_량_명_세_서_-_11"/>
      <sheetName val="산출근거_1"/>
      <sheetName val="DATA_입력부1"/>
      <sheetName val="EQUIPMENT_-21"/>
      <sheetName val="공사_Scope_표지1"/>
      <sheetName val="공사_Scope1"/>
      <sheetName val="경비_(2)1"/>
      <sheetName val="일반_(2)1"/>
      <sheetName val="이윤_(2)1"/>
      <sheetName val="_총괄표1"/>
      <sheetName val="³ë(97_1,97_9,98_1)1"/>
      <sheetName val="Ãâ·ÂÀº_±Ý¹°1"/>
      <sheetName val="_³Ã°¢¼öÆßÇÁ1"/>
      <sheetName val="´Ü°¡_1"/>
      <sheetName val="2F_È¸ÀÇ½Ç°ßÀû(5_14_ÀÏ´ë)1"/>
      <sheetName val="집수정단면도_(2)1"/>
      <sheetName val="Pier_31"/>
      <sheetName val="5_지붕1"/>
      <sheetName val="2,EXIST_전기실산출1"/>
      <sheetName val="중기_부표1"/>
      <sheetName val="급수_(LPM)1"/>
      <sheetName val="2_토목공사1"/>
      <sheetName val="총괄갑_1"/>
      <sheetName val="전기공사_산출집계1"/>
      <sheetName val="전기공사_산출1"/>
      <sheetName val="기본자료_1"/>
      <sheetName val="300XL_세관1"/>
      <sheetName val="1공구_건정토건_철콘"/>
      <sheetName val="[KKK_XLS]설계예/1"/>
      <sheetName val="[KKK_XLS][KKK_XLS]설계예/1"/>
      <sheetName val="[KKK_XLS][KKK_XLS][KKK_XLS]설계예1"/>
      <sheetName val="공ମ⿩"/>
      <sheetName val="할증_"/>
      <sheetName val="전등,DC등_내역서"/>
      <sheetName val="정산서_"/>
      <sheetName val="4_전기"/>
      <sheetName val="도급내역서(/Ù"/>
      <sheetName val="A1_스케쥴"/>
      <sheetName val="C1_공사개요"/>
      <sheetName val="급수_(LPM)"/>
      <sheetName val="2_토목공사"/>
      <sheetName val="총괄갑_"/>
      <sheetName val="EQUIPMENT_-2"/>
      <sheetName val="경비_(2)"/>
      <sheetName val="일반_(2)"/>
      <sheetName val="이윤_(2)"/>
      <sheetName val="설_(3)5"/>
      <sheetName val="설_(2)5"/>
      <sheetName val="3BL공동구_수량5"/>
      <sheetName val="Customer_Databas4"/>
      <sheetName val="AIR_SHOWER(3인용)4"/>
      <sheetName val="노(97_1,97_9,98_1)4"/>
      <sheetName val="원가_(2)4"/>
      <sheetName val="_HIT-&gt;HMC_견적(3900)4"/>
      <sheetName val="토공_total4"/>
      <sheetName val="토공(우물통,기타)_4"/>
      <sheetName val="6PILE__(돌출)4"/>
      <sheetName val="1_설계조건4"/>
      <sheetName val="_냉각수펌프4"/>
      <sheetName val="2000년_공정표4"/>
      <sheetName val="노무비_근거4"/>
      <sheetName val="전선_및_전선관4"/>
      <sheetName val="효성CB_1P기초4"/>
      <sheetName val="내역서_제출4"/>
      <sheetName val="내역서_3"/>
      <sheetName val="세골재__T2_변경_현황3"/>
      <sheetName val="노_무_비3"/>
      <sheetName val="A_견적3"/>
      <sheetName val="s_v3"/>
      <sheetName val="갑지_을지3"/>
      <sheetName val="정거장_설계조건3"/>
      <sheetName val="기타_정보통신공사3"/>
      <sheetName val="2000_053"/>
      <sheetName val="노임단가(08_01)3"/>
      <sheetName val="BSD_(2)3"/>
      <sheetName val="별표_3"/>
      <sheetName val="일위대가56-1_3"/>
      <sheetName val="일위대가71-1_3"/>
      <sheetName val="일위대가74-1_3"/>
      <sheetName val="일위대가76-1_3"/>
      <sheetName val="일위대가77-1_3"/>
      <sheetName val="일위대가78-1_3"/>
      <sheetName val="Inst_3"/>
      <sheetName val="3_2제조설비3"/>
      <sheetName val="단가대비표_(3)3"/>
      <sheetName val="빌딩_안내3"/>
      <sheetName val="Sheet1_(2)3"/>
      <sheetName val="화재_탐지_설비3"/>
      <sheetName val="출력은_금물4"/>
      <sheetName val="C_전기공사3"/>
      <sheetName val="단가_4"/>
      <sheetName val="1000_DB구축_부표3"/>
      <sheetName val="CT_3"/>
      <sheetName val="조도계산서_(도서)3"/>
      <sheetName val="DATA테이블1_(2)3"/>
      <sheetName val="일위대가_3"/>
      <sheetName val="1차_내역서3"/>
      <sheetName val="도담구내_개소별_명세3"/>
      <sheetName val="2F_회의실견적(5_14_일대)3"/>
      <sheetName val="신규_수주분(사용자_정의)3"/>
      <sheetName val="표__지3"/>
      <sheetName val="남양시작동자105노65기1_3화1_23"/>
      <sheetName val="국도접속_차도부수량3"/>
      <sheetName val="폐토수익화_2"/>
      <sheetName val="SHEET_PILE단가3"/>
      <sheetName val="5_동별횡주관경3"/>
      <sheetName val="단가_및_재료비2"/>
      <sheetName val="1_토공집계표3"/>
      <sheetName val="17F_MOCKUP_B-1,B-22"/>
      <sheetName val="현장관리비_산출내역3"/>
      <sheetName val="원가계산_(2)3"/>
      <sheetName val="토목내역서_(도급단가)3"/>
      <sheetName val="부자재_적용비율3"/>
      <sheetName val="3_자재비(총괄)3"/>
      <sheetName val="_토목_처리장도급내역서_3"/>
      <sheetName val="Cost_bd-&quot;A&quot;3"/>
      <sheetName val="Summary_Sheets3"/>
      <sheetName val="2_대외공문3"/>
      <sheetName val="4_고용보험3"/>
      <sheetName val="97년_추정3"/>
      <sheetName val="7_환경2"/>
      <sheetName val="앉음벽_(2)3"/>
      <sheetName val="2_노임및손료2"/>
      <sheetName val="일_위_목_록_표2"/>
      <sheetName val="총괄표_2"/>
      <sheetName val="기존단가_(2)2"/>
      <sheetName val="샌딩_에폭시_도장2"/>
      <sheetName val="일반문틀_설치2"/>
      <sheetName val="기본항목_입력2"/>
      <sheetName val="노임단가_(2)2"/>
      <sheetName val="조건표_(2)2"/>
      <sheetName val="준검_내역서3"/>
      <sheetName val="P_M_별2"/>
      <sheetName val="참조_(2)2"/>
      <sheetName val="플랜트_설치3"/>
      <sheetName val="제출내역_(3)2"/>
      <sheetName val="암거_제원표-1단계2"/>
      <sheetName val="B_O_M2"/>
      <sheetName val="생산매출_(4)2"/>
      <sheetName val="STANDARD_(상)-참고2"/>
      <sheetName val="일__위__대__가__목__록2"/>
      <sheetName val="기초입력_DATA2"/>
      <sheetName val="간접비_총괄표2"/>
      <sheetName val="실행내역_2"/>
      <sheetName val="220_(2)2"/>
      <sheetName val="2_고용보험료산출근거2"/>
      <sheetName val="NO_1-NO12(설계예산서)2"/>
      <sheetName val="FUEL_FILLER2"/>
      <sheetName val="견적대비_견적서2"/>
      <sheetName val="_소방공사_산출근거2"/>
      <sheetName val="개별직종노임단가(2003_9)2"/>
      <sheetName val="실행내역_(2)2"/>
      <sheetName val="5_정산서2"/>
      <sheetName val="_갑지2"/>
      <sheetName val="일위대가목록_3"/>
      <sheetName val="2F_회의실견적_5_14_일대_2"/>
      <sheetName val="WEIGHT_LIST2"/>
      <sheetName val="단가_(2)2"/>
      <sheetName val="노무비_2"/>
      <sheetName val="AIR_SHOWER_3인용_2"/>
      <sheetName val="산#2-1_(2)2"/>
      <sheetName val="PROJECT_BRIEF(EX_NEW)2"/>
      <sheetName val="CABLE_SIZE-12"/>
      <sheetName val="갑__지2"/>
      <sheetName val="공사예산하조서(O_K)2"/>
      <sheetName val="1_검토서2"/>
      <sheetName val="집_계_표2"/>
      <sheetName val="BH-1_(2)2"/>
      <sheetName val="단가표_(2)2"/>
      <sheetName val="장비선정_2"/>
      <sheetName val="공급집계_(현대-우림)2"/>
      <sheetName val="3_공통공사대비2"/>
      <sheetName val="중기조종사_단위단가2"/>
      <sheetName val="영업_일12"/>
      <sheetName val="3_면적&amp;세대(입력)2"/>
      <sheetName val="MAT_철근2"/>
      <sheetName val="4_2내역서2"/>
      <sheetName val="1_자원총괄2"/>
      <sheetName val="공劰_勼2"/>
      <sheetName val="______2"/>
      <sheetName val="개별직종노임단가(2002_5)2"/>
      <sheetName val="4_2유효폭의_계산2"/>
      <sheetName val="1단계_(2)2"/>
      <sheetName val="수_량_명_세_서_-_12"/>
      <sheetName val="산출근거_2"/>
      <sheetName val="DATA_입력부2"/>
      <sheetName val="EQUIPMENT_-22"/>
      <sheetName val="공사_Scope_표지2"/>
      <sheetName val="공사_Scope2"/>
      <sheetName val="경비_(2)2"/>
      <sheetName val="일반_(2)2"/>
      <sheetName val="이윤_(2)2"/>
      <sheetName val="_총괄표2"/>
      <sheetName val="³ë(97_1,97_9,98_1)2"/>
      <sheetName val="Ãâ·ÂÀº_±Ý¹°2"/>
      <sheetName val="_³Ã°¢¼öÆßÇÁ2"/>
      <sheetName val="´Ü°¡_2"/>
      <sheetName val="2F_È¸ÀÇ½Ç°ßÀû(5_14_ÀÏ´ë)2"/>
      <sheetName val="집수정단면도_(2)2"/>
      <sheetName val="Pier_32"/>
      <sheetName val="5_지붕2"/>
      <sheetName val="2,EXIST_전기실산출2"/>
      <sheetName val="중기_부표2"/>
      <sheetName val="급수_(LPM)2"/>
      <sheetName val="2_토목공사2"/>
      <sheetName val="총괄갑_2"/>
      <sheetName val="전기공사_산출집계2"/>
      <sheetName val="전기공사_산출2"/>
      <sheetName val="기본자료_2"/>
      <sheetName val="300XL_세관2"/>
      <sheetName val="1공구_건정토건_철콘1"/>
      <sheetName val="[KKK_XLS]설계예/2"/>
      <sheetName val="[KKK_XLS][KKK_XLS]설계예/2"/>
      <sheetName val="[KKK_XLS][KKK_XLS][KKK_XLS]설계예2"/>
      <sheetName val="할증_1"/>
      <sheetName val="전등,DC등_내역서1"/>
      <sheetName val="8_PILE__(돌출)1"/>
      <sheetName val="토피_5m1"/>
      <sheetName val="단가산출서_(2)1"/>
      <sheetName val="2003_일위대가1"/>
      <sheetName val="AS포장복구_1"/>
      <sheetName val="6-1__관개량조서1"/>
      <sheetName val="제출내역_(2)1"/>
      <sheetName val="수목데이타_1"/>
      <sheetName val="2__공원조도1"/>
      <sheetName val="7_지층별제원1"/>
      <sheetName val="4_본실행통합내역서1"/>
      <sheetName val="CP-E2_(품셈표)1"/>
      <sheetName val="토공_totൡý1"/>
      <sheetName val="도담구내_개소별퇍놲ԯ1"/>
      <sheetName val="I_설계조건1"/>
      <sheetName val="정산서_1"/>
      <sheetName val="4_전기1"/>
      <sheetName val="A1_스케쥴1"/>
      <sheetName val="C1_공사개요1"/>
      <sheetName val="DATA_입력란1"/>
      <sheetName val="구조물공"/>
      <sheetName val="INFORM"/>
      <sheetName val="재료표"/>
      <sheetName val="부대공수량산출"/>
      <sheetName val="총괄수량집계표"/>
      <sheetName val="사업계획"/>
      <sheetName val="PAY"/>
      <sheetName val="주관사업"/>
      <sheetName val="공사설명서"/>
      <sheetName val="설계서(본관)"/>
      <sheetName val="공통자료"/>
      <sheetName val="인구"/>
      <sheetName val="목록2"/>
      <sheetName val="조회서"/>
      <sheetName val="설비비4"/>
      <sheetName val="설비비2"/>
      <sheetName val="설비비3"/>
      <sheetName val="설비비5"/>
      <sheetName val="설비비6"/>
      <sheetName val="설비비1"/>
      <sheetName val="36신설수량"/>
      <sheetName val="다곡2교"/>
      <sheetName val="앨범표지"/>
      <sheetName val="TIE-IN"/>
      <sheetName val="유입량"/>
      <sheetName val="업체명"/>
      <sheetName val="관리"/>
      <sheetName val="광양방향"/>
      <sheetName val="단가산출1"/>
      <sheetName val="lam-moi"/>
      <sheetName val="DONGIA"/>
      <sheetName val="thao-go"/>
      <sheetName val="TH XL"/>
      <sheetName val="내역서-CCTV"/>
      <sheetName val="말고개터널조명전압강하"/>
      <sheetName val="견"/>
      <sheetName val="기본단가"/>
      <sheetName val="인건비단가"/>
      <sheetName val="교사기준면_x0000__x0000__x0005__x0000_"/>
      <sheetName val="발주현황"/>
      <sheetName val="97 사업추정(WEKI)"/>
      <sheetName val="단가,지내력"/>
      <sheetName val="제경비(전체)"/>
      <sheetName val="45,46"/>
      <sheetName val="전체분"/>
      <sheetName val="기타시설"/>
      <sheetName val="판매시설"/>
      <sheetName val="주민복지관"/>
      <sheetName val="지하주차장"/>
      <sheetName val="투자비"/>
      <sheetName val="조성원가DATA"/>
      <sheetName val="사업비"/>
      <sheetName val="내역_FILE"/>
      <sheetName val="손료"/>
      <sheetName val="현장소운반"/>
      <sheetName val="관구보호몰탈"/>
      <sheetName val="건축내역서"/>
      <sheetName val="설비내역서"/>
      <sheetName val="c_balju"/>
      <sheetName val="맨홀수량집계"/>
      <sheetName val="변압기 및 발전기 용량"/>
      <sheetName val="노임단가(9월)"/>
      <sheetName val="현장별"/>
      <sheetName val="04.01"/>
      <sheetName val="A-4"/>
      <sheetName val="별표집계"/>
      <sheetName val="10-1.훼손지 가.부지"/>
      <sheetName val="비용(월별계)"/>
      <sheetName val="부채계정"/>
      <sheetName val="재료비집계표"/>
      <sheetName val="분Ĭ"/>
      <sheetName val="교대(A1)"/>
      <sheetName val="횡배수관"/>
      <sheetName val="이름표"/>
      <sheetName val="TB-내역서"/>
      <sheetName val="6.환경대가"/>
      <sheetName val="104동"/>
      <sheetName val="공사비명세서"/>
      <sheetName val="포장총괄집계표"/>
      <sheetName val="양식_자_x0000__x0000_Ԁ_x0000_耀オ"/>
      <sheetName val="양식_자_x0000__x0000_Ԁ_x0000_怀䬝"/>
      <sheetName val="양식_자_x0000__x0000_Ԁ_x0000_ᰞ"/>
      <sheetName val="양식_자_x0000__x0000_Ԁ_x0000_怀琛"/>
      <sheetName val="양식_자_x0000__x0000_Ԁ_x0000_쀀蚦"/>
      <sheetName val="양식_자_x0000__x0000_Ԁ_x0000_倀"/>
      <sheetName val="양식_자턀쒲ԯ_x0000_缀_x0000_"/>
      <sheetName val="주차"/>
      <sheetName val="조도계산(가로등NEW)"/>
      <sheetName val="조명율데이타"/>
      <sheetName val="Customer__x0000__x0000_Ԁ_x0000_騞컲"/>
      <sheetName val="현장지지물물량"/>
      <sheetName val="기중"/>
      <sheetName val="콤보박스와 리스트박스의 연결"/>
      <sheetName val="중분대수량산출"/>
      <sheetName val="1__설계조건_2_단면가정_3__하중계산"/>
      <sheetName val="4.1단가표"/>
      <sheetName val="4.2노임단가표"/>
      <sheetName val="가시설단위수량"/>
      <sheetName val="SORCE1"/>
      <sheetName val="일위대가47-萹"/>
      <sheetName val="96작생능"/>
      <sheetName val="대차대조표"/>
      <sheetName val="증감대비표"/>
      <sheetName val="2.실정보고개요"/>
      <sheetName val="1.위치도"/>
      <sheetName val="4.주beam"/>
      <sheetName val="인원계획"/>
      <sheetName val="노무단가"/>
      <sheetName val="적용노임"/>
      <sheetName val="기본설계기준"/>
      <sheetName val="모델링"/>
      <sheetName val="종가"/>
      <sheetName val="영역별수주"/>
      <sheetName val="양식_자ꕗⰀꕘ턀⪲"/>
      <sheetName val="양식_자׍_x0000_缀_x0000__x0000__x0000_"/>
      <sheetName val="수정시산표"/>
      <sheetName val="4.일위대가목차"/>
      <sheetName val="단가목록"/>
      <sheetName val="3_면적"/>
      <sheetName val="K-16_(실행)"/>
      <sheetName val="10_단가산출"/>
      <sheetName val="신규_수주분(사¬Ԁ耀"/>
      <sheetName val="신규_수주분(사¬Ԁ쀀檉"/>
      <sheetName val="Comm Comparison"/>
      <sheetName val="Comm Rpt Income"/>
      <sheetName val="Comm Rpt Recoveries"/>
      <sheetName val="Comm Rpt Tenant Cap Ex"/>
      <sheetName val="Assumptions"/>
      <sheetName val="Table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>
        <row r="2">
          <cell r="A2">
            <v>0</v>
          </cell>
        </row>
      </sheetData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/>
      <sheetData sheetId="175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/>
      <sheetData sheetId="2024" refreshError="1"/>
      <sheetData sheetId="2025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/>
      <sheetData sheetId="2103"/>
      <sheetData sheetId="2104"/>
      <sheetData sheetId="2105"/>
      <sheetData sheetId="2106"/>
      <sheetData sheetId="2107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/>
      <sheetData sheetId="2267"/>
      <sheetData sheetId="2268"/>
      <sheetData sheetId="2269"/>
      <sheetData sheetId="2270"/>
      <sheetData sheetId="2271" refreshError="1"/>
      <sheetData sheetId="2272"/>
      <sheetData sheetId="2273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/>
      <sheetData sheetId="2280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/>
      <sheetData sheetId="2449"/>
      <sheetData sheetId="2450" refreshError="1"/>
      <sheetData sheetId="2451" refreshError="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/>
      <sheetData sheetId="2828"/>
      <sheetData sheetId="2829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내역"/>
      <sheetName val="공잡비"/>
      <sheetName val="지촌덕평"/>
      <sheetName val="지덕잡비"/>
      <sheetName val="200"/>
      <sheetName val="cka"/>
      <sheetName val="2000년1차"/>
      <sheetName val="2000년1차잡비"/>
      <sheetName val="신규단가"/>
      <sheetName val="단가리스트"/>
      <sheetName val="입력"/>
      <sheetName val="Sheet1"/>
      <sheetName val="STANDARD"/>
      <sheetName val="총괄표"/>
      <sheetName val="일위대가"/>
      <sheetName val="청천내"/>
      <sheetName val="원가"/>
      <sheetName val="내역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표지"/>
      <sheetName val="95년12월말"/>
      <sheetName val="직노"/>
      <sheetName val="결재갑지"/>
      <sheetName val="#REF"/>
      <sheetName val="2000전체분"/>
      <sheetName val="실행내역"/>
      <sheetName val="청곡지선입력"/>
      <sheetName val="노임단가"/>
      <sheetName val="3BL공동구 수량"/>
      <sheetName val="말뚝지지력산정"/>
      <sheetName val="설계내역서"/>
      <sheetName val="실행대비"/>
      <sheetName val="세골재  T2 변경 현황"/>
      <sheetName val="내역서"/>
      <sheetName val="대포2교접속"/>
      <sheetName val="토공(우물통,기타) "/>
      <sheetName val="제안서"/>
      <sheetName val="행정표준(1)"/>
      <sheetName val="행정표준(2)"/>
      <sheetName val="데리네이타현황"/>
      <sheetName val="CAT_5"/>
      <sheetName val="INPUT"/>
      <sheetName val="총괄수량집계표"/>
      <sheetName val="골재산출"/>
      <sheetName val="토공 total"/>
      <sheetName val="Sheet3"/>
      <sheetName val="노임"/>
      <sheetName val="일위대가표"/>
      <sheetName val="공사비총괄표"/>
      <sheetName val="퍼스트"/>
      <sheetName val="교각별철근수량집계표"/>
      <sheetName val="일위대가목차"/>
      <sheetName val="CTEMCOST"/>
      <sheetName val="당초"/>
      <sheetName val="물가자료"/>
      <sheetName val="적용토목"/>
      <sheetName val="96정변2"/>
      <sheetName val="산출근거"/>
      <sheetName val="약품공급2"/>
      <sheetName val="식생블럭단위수량"/>
      <sheetName val="단가일람"/>
      <sheetName val="조경일람"/>
      <sheetName val="백호06"/>
      <sheetName val="2000지촌-덕평발주"/>
      <sheetName val="DATA"/>
      <sheetName val="단중표"/>
      <sheetName val="공통가설공사"/>
      <sheetName val="기안1"/>
      <sheetName val="지수980731이후"/>
      <sheetName val="기초입력"/>
      <sheetName val="우배수"/>
      <sheetName val="계산식"/>
      <sheetName val="대공종"/>
      <sheetName val="CIVIL4"/>
      <sheetName val="조명율표"/>
      <sheetName val="영창26"/>
      <sheetName val="재료"/>
      <sheetName val="수량분배표"/>
      <sheetName val="자재표"/>
      <sheetName val="을"/>
      <sheetName val="세부내역"/>
      <sheetName val="내역(설계)"/>
      <sheetName val="OPENASP포장04"/>
      <sheetName val="서울대규장각(가시설흙막이)"/>
      <sheetName val="101동"/>
      <sheetName val="자재단가"/>
      <sheetName val="본체철근표"/>
      <sheetName val="금액내역서"/>
      <sheetName val="별표 "/>
      <sheetName val="명단"/>
      <sheetName val="실행"/>
      <sheetName val="전체내역"/>
      <sheetName val="건축공사"/>
      <sheetName val="입출재고현황 (2)"/>
      <sheetName val="공량산출서"/>
      <sheetName val="청주(철골발주의뢰서)"/>
      <sheetName val="날개벽수량표"/>
      <sheetName val="1 자원총괄"/>
      <sheetName val="48전력선로일위"/>
      <sheetName val="부서코드표"/>
      <sheetName val="노임,재료비"/>
      <sheetName val="19990101-엑셀1"/>
      <sheetName val="총괄"/>
      <sheetName val="NYS"/>
      <sheetName val="일위"/>
      <sheetName val="봉방동근생"/>
      <sheetName val="PIPING"/>
      <sheetName val="수량총괄"/>
      <sheetName val="철근중량"/>
      <sheetName val="전체"/>
      <sheetName val="수 량 명 세 서 - 1"/>
      <sheetName val="계산서(곡선부)"/>
      <sheetName val="포장재료집계표"/>
      <sheetName val="평가데이터"/>
      <sheetName val="노무비"/>
      <sheetName val="BH-1 (2)"/>
      <sheetName val="교수설계"/>
      <sheetName val="카메라"/>
      <sheetName val="차수공개요"/>
      <sheetName val="#3_일위대가목록"/>
      <sheetName val="수량산출"/>
      <sheetName val="공사직종별노임"/>
      <sheetName val="와동수량"/>
      <sheetName val="부대내역"/>
      <sheetName val="MAIN_TABLE"/>
      <sheetName val="맨홀수량산출"/>
      <sheetName val="N賃率-職"/>
      <sheetName val="본체"/>
      <sheetName val="SIHEUNG"/>
      <sheetName val="20-25"/>
      <sheetName val="데이타"/>
      <sheetName val="금액"/>
      <sheetName val="조건표"/>
      <sheetName val="일용노임단가"/>
      <sheetName val="청곡지거입력"/>
      <sheetName val="위치조서"/>
      <sheetName val="1호맨홀토공"/>
      <sheetName val="5공철탑검토표"/>
      <sheetName val="4공철탑검토"/>
      <sheetName val="조정율"/>
      <sheetName val="직공비"/>
      <sheetName val="요율"/>
      <sheetName val="자재대"/>
      <sheetName val="LP-S"/>
      <sheetName val="tggwan(mac)"/>
      <sheetName val="장비사양"/>
      <sheetName val="기성부분 내역집계표-기계공사"/>
      <sheetName val="터파기및재료"/>
      <sheetName val="총괄내역"/>
      <sheetName val="바닥판"/>
      <sheetName val="입력DATA"/>
      <sheetName val="위생설비"/>
      <sheetName val="1구간FRP수량산출"/>
      <sheetName val="단가비교표_공통1"/>
      <sheetName val="판매시설"/>
      <sheetName val="시멘트"/>
      <sheetName val="공사입찰정보입력"/>
      <sheetName val="설계"/>
      <sheetName val="집계"/>
      <sheetName val="견적서"/>
      <sheetName val="견적"/>
      <sheetName val="기계경비"/>
      <sheetName val="산출내역서집계표"/>
      <sheetName val="녹화마대(수관)"/>
      <sheetName val="제작비추산총괄표"/>
      <sheetName val="갑"/>
      <sheetName val="도급기성"/>
      <sheetName val="단가"/>
      <sheetName val="토공사"/>
      <sheetName val="견적조건"/>
      <sheetName val="공기압축기실"/>
      <sheetName val="입찰안"/>
      <sheetName val="원본"/>
      <sheetName val="청소용덕트"/>
      <sheetName val="환기덕트"/>
      <sheetName val="01"/>
      <sheetName val="파일구성"/>
      <sheetName val="참조"/>
      <sheetName val="7-1노임"/>
      <sheetName val="7-2경비"/>
      <sheetName val="철근량"/>
      <sheetName val="기초자료"/>
      <sheetName val="변경내역(전체)"/>
      <sheetName val="철근"/>
      <sheetName val="조명시설"/>
      <sheetName val="주beam"/>
      <sheetName val="자료"/>
      <sheetName val="Customer Databas"/>
      <sheetName val="asd"/>
      <sheetName val="J直材4"/>
      <sheetName val="목록2"/>
      <sheetName val="교각1"/>
      <sheetName val="CF"/>
      <sheetName val="정거장 설계조건"/>
      <sheetName val="세부내역서(전기)"/>
      <sheetName val="공구"/>
      <sheetName val="견"/>
      <sheetName val="지급자재"/>
      <sheetName val="간접경상비"/>
      <sheetName val="102역사"/>
      <sheetName val="내역관리1"/>
      <sheetName val="천방교접속"/>
      <sheetName val="가로등기초"/>
      <sheetName val="챠트 표지 (2)"/>
      <sheetName val="계약서"/>
      <sheetName val="정공공사"/>
      <sheetName val="현장경비"/>
      <sheetName val="예산M11A"/>
      <sheetName val="AIR SHOWER(3인용)"/>
      <sheetName val="개인"/>
      <sheetName val="공사원가계산서"/>
      <sheetName val="갑지"/>
      <sheetName val="물가시세"/>
      <sheetName val="SHEET PILE단가"/>
      <sheetName val="구성1"/>
      <sheetName val="구성2"/>
      <sheetName val="구성3"/>
      <sheetName val="구성4"/>
      <sheetName val="그림2"/>
      <sheetName val="수로BOX"/>
      <sheetName val="개산공사비"/>
      <sheetName val="동원인원"/>
      <sheetName val="토목주소"/>
      <sheetName val="보증수수료산출"/>
      <sheetName val="골조"/>
      <sheetName val="DATE"/>
      <sheetName val="총수량집계표"/>
      <sheetName val="중간"/>
      <sheetName val="사다리"/>
      <sheetName val="알맹이"/>
      <sheetName val="품셈TABLE"/>
      <sheetName val="삭제금지단가"/>
      <sheetName val="총괄내역서"/>
      <sheetName val="각종양식"/>
      <sheetName val="총괄집계(2차)"/>
      <sheetName val="정산"/>
      <sheetName val="내역서중"/>
      <sheetName val="토공총"/>
      <sheetName val="원가계산서구조조정"/>
      <sheetName val="앉음벽 (2)"/>
      <sheetName val="기본단가표"/>
      <sheetName val="예산서"/>
      <sheetName val="2000.05"/>
      <sheetName val="정산서"/>
      <sheetName val="현장"/>
      <sheetName val="변수값"/>
      <sheetName val="중기상차"/>
      <sheetName val="AS복구"/>
      <sheetName val="중기터파기"/>
      <sheetName val="직원자료입력"/>
      <sheetName val="JUCKEYK"/>
      <sheetName val="내역서 제출"/>
      <sheetName val="담장산출"/>
      <sheetName val="자료입력"/>
      <sheetName val="Macro(차단기)"/>
      <sheetName val="내역(원안-대안)"/>
      <sheetName val="봉양~조차장간고하개명(신설)"/>
      <sheetName val="도담구내 개소별 명세"/>
      <sheetName val="직접공사비"/>
      <sheetName val="관집계"/>
      <sheetName val="문학간접"/>
      <sheetName val="재료비"/>
      <sheetName val="자재단가비교표"/>
      <sheetName val="관급자재"/>
      <sheetName val="산출내역서"/>
      <sheetName val="교대(A1)"/>
      <sheetName val="물집"/>
      <sheetName val="#2_일위대가목록"/>
      <sheetName val="자재테이블"/>
      <sheetName val="2.1"/>
      <sheetName val="조경"/>
      <sheetName val="1공구 건정토건 토공"/>
      <sheetName val="참조표"/>
      <sheetName val="식재인부"/>
      <sheetName val="가설공사"/>
      <sheetName val="차압계산"/>
      <sheetName val="토목"/>
      <sheetName val="단가표 (2)"/>
      <sheetName val="투찰금액"/>
      <sheetName val="FILE1"/>
      <sheetName val="화재 탐지 설비"/>
      <sheetName val="내역총괄표"/>
      <sheetName val="FAX"/>
      <sheetName val="손익분석"/>
      <sheetName val="ABUT수량-A1"/>
      <sheetName val="준검 내역서"/>
      <sheetName val="콘크리트"/>
      <sheetName val="오수공수량집계표"/>
      <sheetName val="옥내소화전계산서"/>
      <sheetName val="영외수지"/>
      <sheetName val="DB"/>
      <sheetName val="지질조사"/>
      <sheetName val="조명일위"/>
      <sheetName val="1.우편집중내역서"/>
      <sheetName val="토공"/>
      <sheetName val="백암비스타내역"/>
      <sheetName val="I一般比"/>
      <sheetName val="원가총괄"/>
      <sheetName val="토공대비"/>
      <sheetName val="현장관리비참조"/>
      <sheetName val="내역서2안"/>
      <sheetName val="자금입금"/>
      <sheetName val="건축-물가변동"/>
      <sheetName val="분전반"/>
      <sheetName val="창호DATA"/>
      <sheetName val="2공구자재집"/>
      <sheetName val="1.가설"/>
      <sheetName val="소비자가"/>
      <sheetName val="작성"/>
      <sheetName val="총공사내역서"/>
      <sheetName val="LD"/>
      <sheetName val="항목등록"/>
      <sheetName val="투찰"/>
      <sheetName val="총물량"/>
      <sheetName val="수수료율표"/>
      <sheetName val="원가계산서 "/>
      <sheetName val="중기"/>
      <sheetName val="TOTAL_BOQ"/>
      <sheetName val="그림"/>
      <sheetName val="주요기준"/>
      <sheetName val="견적대비 "/>
      <sheetName val="단위단가"/>
      <sheetName val="6PILE  (돌출)"/>
      <sheetName val="적현로"/>
      <sheetName val="건축"/>
      <sheetName val="포승중환경개선공사(변경)"/>
      <sheetName val="입상내역"/>
      <sheetName val="TK(일원)"/>
      <sheetName val="2.펌프장(사급자재)"/>
      <sheetName val="전등공사 "/>
      <sheetName val="내역서(전기)"/>
      <sheetName val="토공_total"/>
      <sheetName val="세골재__T2_변경_현황"/>
      <sheetName val="집"/>
      <sheetName val="수주추정"/>
      <sheetName val="L_RPTB03_01"/>
      <sheetName val="매립"/>
      <sheetName val="스포회원매출"/>
      <sheetName val="산근"/>
      <sheetName val="1,2공구원가계산서"/>
      <sheetName val="2공구산출내역"/>
      <sheetName val="1공구산출내역서"/>
      <sheetName val="편입토지조서"/>
      <sheetName val="기술부대조건"/>
      <sheetName val="2축기둥해석"/>
      <sheetName val="옥외"/>
      <sheetName val="기안 "/>
      <sheetName val="자재입고"/>
      <sheetName val="공정"/>
      <sheetName val="A 견적"/>
      <sheetName val="RE9604"/>
      <sheetName val="예산변경사항"/>
      <sheetName val="중간부"/>
      <sheetName val="BOX단위철근"/>
      <sheetName val="단가비교"/>
      <sheetName val="시운전연료"/>
      <sheetName val="물량표"/>
      <sheetName val="수로단위수량"/>
      <sheetName val="차액보증"/>
      <sheetName val="말뚝물량"/>
      <sheetName val="개요"/>
      <sheetName val="철탑공사"/>
      <sheetName val="자재일람"/>
      <sheetName val="단가 및 재료비"/>
      <sheetName val="중기사용료산출근거"/>
      <sheetName val="제경비"/>
      <sheetName val="노임단가2003상"/>
      <sheetName val="국도접속 차도부수량"/>
      <sheetName val="일위대가1"/>
      <sheetName val="본사업"/>
      <sheetName val="ATM기초철가"/>
      <sheetName val="성원계약"/>
      <sheetName val="간접1"/>
      <sheetName val="교통대책내역"/>
      <sheetName val="당진1,2호기전선관설치및접지4차공사내역서-을지"/>
      <sheetName val="전기내역"/>
      <sheetName val="중기일위대가"/>
      <sheetName val="제잡비"/>
      <sheetName val="광장"/>
      <sheetName val="장비단가표"/>
      <sheetName val="부대공수량산출"/>
      <sheetName val="전기설계변경"/>
      <sheetName val="표  지"/>
      <sheetName val="401"/>
      <sheetName val="수량산출서 (2)"/>
      <sheetName val="간지"/>
      <sheetName val="참조 (2)"/>
      <sheetName val="1SPAN"/>
      <sheetName val="노무,재료"/>
      <sheetName val="표준품셈 2011년 01월 "/>
      <sheetName val="설직재-1"/>
      <sheetName val="율촌법률사무소2내역"/>
      <sheetName val=" 내역서.xlsx"/>
      <sheetName val="주방"/>
      <sheetName val="1회"/>
      <sheetName val="총괄BOQ"/>
      <sheetName val="전체제잡비"/>
      <sheetName val="특별땅고르기"/>
      <sheetName val="SLAB&quot;1&quot;"/>
      <sheetName val="수습"/>
      <sheetName val="일위산출"/>
      <sheetName val="3BL공동구_수량"/>
      <sheetName val="토공(우물통,기타)_"/>
      <sheetName val="수_량_명_세_서_-_1"/>
      <sheetName val="입출재고현황_(2)"/>
      <sheetName val="별표_"/>
      <sheetName val="기성부분_내역집계표-기계공사"/>
      <sheetName val="참고사항"/>
      <sheetName val="공사설계서"/>
      <sheetName val="공량산출근거서"/>
      <sheetName val="공사비산출내역"/>
      <sheetName val="자금운용표"/>
      <sheetName val="기계경비(시간당)"/>
      <sheetName val="램머"/>
      <sheetName val="흥양2교토공집계표"/>
      <sheetName val="자재발주서"/>
      <sheetName val="설계명세서"/>
      <sheetName val="설계명세"/>
      <sheetName val="종합기별"/>
      <sheetName val="투입총괄"/>
      <sheetName val="10-1.훼손지 가.부지"/>
      <sheetName val="품셈"/>
      <sheetName val="단재적표"/>
      <sheetName val="잡철물"/>
      <sheetName val="상수도토공집계표"/>
      <sheetName val="계약현황(한양2011)"/>
      <sheetName val="세부내역서"/>
      <sheetName val="중갑지"/>
      <sheetName val="MAIN"/>
      <sheetName val="암거 제원표"/>
      <sheetName val="오동"/>
      <sheetName val="대조"/>
      <sheetName val="나한"/>
      <sheetName val="청학계"/>
      <sheetName val="SIL98"/>
      <sheetName val="입찰견적보고서"/>
      <sheetName val="실행철강하도"/>
      <sheetName val="금융비용"/>
      <sheetName val="목차"/>
      <sheetName val="철근콘크리트"/>
      <sheetName val="E총15"/>
      <sheetName val="빌딩 안내"/>
      <sheetName val="지하시설물작성"/>
      <sheetName val="토목수량산출"/>
      <sheetName val="BID"/>
      <sheetName val="계약내력"/>
      <sheetName val="ES조서출력하기"/>
      <sheetName val="측량노임.재료.기재"/>
      <sheetName val="일위대가목록"/>
      <sheetName val="1. 지구별 사업량 및 추진일정"/>
      <sheetName val="0217상가미분양자산"/>
      <sheetName val="을지"/>
      <sheetName val="남양시작동자105노65기1.3화1.2"/>
      <sheetName val="화의-현금흐름"/>
      <sheetName val=" 갑  지 "/>
      <sheetName val="갑지.을지"/>
      <sheetName val="기타"/>
      <sheetName val="내역_FILE"/>
      <sheetName val="우수"/>
      <sheetName val="출자한도"/>
      <sheetName val="협력업체"/>
      <sheetName val="골조시행"/>
      <sheetName val="코드"/>
      <sheetName val="공사개요"/>
      <sheetName val="미드수량"/>
      <sheetName val="집수정토공"/>
      <sheetName val="견적대비_"/>
      <sheetName val="내역서_제출"/>
      <sheetName val="화재_탐지_설비"/>
      <sheetName val="정거장_설계조건"/>
      <sheetName val="Customer_Databas"/>
      <sheetName val="공사착공계"/>
      <sheetName val="재료표"/>
      <sheetName val="단가조사-2"/>
      <sheetName val="노무비지급명세서"/>
      <sheetName val="guard(mac)"/>
      <sheetName val="미익SUB"/>
      <sheetName val="피벗테이블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토사(PE)"/>
      <sheetName val="구분자"/>
      <sheetName val="전동기"/>
      <sheetName val="5-1신설물량"/>
      <sheetName val="6월 출고 일일보고"/>
      <sheetName val="반포2차"/>
      <sheetName val="Y-WORK"/>
      <sheetName val="ysn"/>
      <sheetName val="원가계산서"/>
      <sheetName val="기흥하도용"/>
      <sheetName val="목차 "/>
      <sheetName val="관리비비계상"/>
      <sheetName val="일대-1"/>
      <sheetName val="내역서(중수)"/>
      <sheetName val="정내"/>
      <sheetName val="MOTOR"/>
      <sheetName val="정렬"/>
      <sheetName val="노무대장"/>
      <sheetName val="8월감리조서갑지 (2)"/>
      <sheetName val="접지수량"/>
      <sheetName val="관개"/>
      <sheetName val="단가표"/>
      <sheetName val="증감내역서"/>
      <sheetName val="4.전기"/>
      <sheetName val="000000"/>
      <sheetName val="측량요율"/>
      <sheetName val="전화공사 공량 및 집계표"/>
      <sheetName val="인수공규격"/>
      <sheetName val="내역서1"/>
      <sheetName val="유림콘도"/>
      <sheetName val="공용학생회관화장실"/>
      <sheetName val="자재단가표"/>
      <sheetName val="직접경비호표"/>
      <sheetName val="직원명부"/>
      <sheetName val="내역전기"/>
      <sheetName val="전기"/>
      <sheetName val="b_balju"/>
      <sheetName val="기준단가현황"/>
      <sheetName val="공사개요(입력)"/>
      <sheetName val="기타 정보통신공사"/>
      <sheetName val="건축토목내역"/>
      <sheetName val="역공종"/>
      <sheetName val="노임이"/>
      <sheetName val="통계연보"/>
      <sheetName val="CV허용전류"/>
      <sheetName val="전기일위목록"/>
      <sheetName val="건축개요"/>
      <sheetName val="1호구조물"/>
      <sheetName val="지출결의서_공사"/>
      <sheetName val="전체_1설계"/>
      <sheetName val="암거단위"/>
      <sheetName val="부대공Ⅱ"/>
      <sheetName val="대비"/>
      <sheetName val="토목검측서"/>
      <sheetName val="정부노임단가"/>
      <sheetName val="계수시트"/>
      <sheetName val="건축내역서"/>
      <sheetName val="설비내역서"/>
      <sheetName val="전기내역서"/>
      <sheetName val="단가조사"/>
      <sheetName val="중기조종사 단위단가"/>
      <sheetName val="WXY"/>
      <sheetName val="b_balju_cho"/>
      <sheetName val="항목별진도율"/>
      <sheetName val="Sheet2"/>
      <sheetName val="예산조서(전송)"/>
      <sheetName val="단가산출서"/>
      <sheetName val="단가산출서 (2)"/>
      <sheetName val=""/>
      <sheetName val="기별(종합)"/>
      <sheetName val="연동내역"/>
      <sheetName val="기초일위"/>
      <sheetName val="전기공사"/>
      <sheetName val="시설일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측구공수량집계표"/>
      <sheetName val="U형측구산출근거"/>
      <sheetName val="U측구공집계"/>
      <sheetName val="U형측구현황 "/>
      <sheetName val="L형측구집계"/>
      <sheetName val="L형측구산출근거"/>
      <sheetName val="L형측구현황"/>
      <sheetName val="평균터파기고(1-2,ASP)"/>
      <sheetName val="측구공"/>
      <sheetName val="IT-BAT"/>
      <sheetName val="골조시행"/>
      <sheetName val="종배수관"/>
      <sheetName val="일위대가"/>
      <sheetName val="투찰(하수)"/>
      <sheetName val="단위수량"/>
      <sheetName val="평3"/>
    </sheetNames>
    <definedNames>
      <definedName name="Macro10"/>
      <definedName name="Macro1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배전분야 내역서표지"/>
      <sheetName val="수배전설비 내역서간지"/>
      <sheetName val="1.공사원가계산서(수배전)"/>
      <sheetName val="공사원가계산서 (2)"/>
      <sheetName val="집계표(수배전제조구매)"/>
      <sheetName val="01.수변전설비"/>
      <sheetName val="내역(전력)"/>
      <sheetName val="전등설비"/>
      <sheetName val="수량산출"/>
      <sheetName val="가시설단위수량"/>
      <sheetName val="SORCE1"/>
      <sheetName val="단위수량"/>
      <sheetName val="가시설(TYPE-A)"/>
      <sheetName val="1호맨홀가감수량"/>
      <sheetName val="1-1평균터파기고(1)"/>
      <sheetName val="1호맨홀수량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세륜"/>
      <sheetName val="세륜집계"/>
      <sheetName val="세륜단위"/>
      <sheetName val="차선도색(수량산출내역)"/>
      <sheetName val="도로진행방향집계"/>
      <sheetName val="마킹산출근거"/>
      <sheetName val="횡단보도현황"/>
      <sheetName val="도색단위"/>
      <sheetName val="횡단보도산출근거 "/>
      <sheetName val="5.07가도"/>
      <sheetName val="제목"/>
      <sheetName val="자재"/>
      <sheetName val="집계표"/>
      <sheetName val="관로토공"/>
      <sheetName val="평균토피"/>
      <sheetName val="제수변실토공"/>
      <sheetName val="공기변실토공"/>
      <sheetName val="펌프실토공"/>
      <sheetName val="제수변실"/>
      <sheetName val="공기변실"/>
      <sheetName val="제수변보호통"/>
      <sheetName val="지상식소화전"/>
      <sheetName val="펌프실"/>
      <sheetName val="수량양식"/>
      <sheetName val="#REF"/>
      <sheetName val="입찰안"/>
      <sheetName val="1호맨홀토공"/>
      <sheetName val="A LINE"/>
      <sheetName val="상부집계표"/>
      <sheetName val="내역서"/>
      <sheetName val="Sheet1 (2)"/>
      <sheetName val="단면 (2)"/>
      <sheetName val="입출재고현황 (2)"/>
      <sheetName val="DATE"/>
      <sheetName val="일위대가"/>
      <sheetName val="견적을지"/>
      <sheetName val="실행내역서 "/>
      <sheetName val="실행기성 갑지"/>
      <sheetName val="단위수량산출"/>
      <sheetName val="평균터파기고(1-2,ASP)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비예산서"/>
      <sheetName val="설계 내역서"/>
      <sheetName val="품셈총괄표"/>
      <sheetName val=" 품셈"/>
      <sheetName val="장비부표총괄표"/>
      <sheetName val="부표총괄표"/>
      <sheetName val="일반부표"/>
      <sheetName val="별표총괄표"/>
      <sheetName val="별표 "/>
      <sheetName val="자료"/>
      <sheetName val="단가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C3" t="str">
            <v xml:space="preserve">Q = </v>
          </cell>
          <cell r="D3" t="str">
            <v>3600 * q * K * f * E / Cm</v>
          </cell>
        </row>
        <row r="4">
          <cell r="D4" t="str">
            <v>q = 0.7</v>
          </cell>
        </row>
        <row r="5">
          <cell r="D5" t="str">
            <v>K = 0.9</v>
          </cell>
        </row>
        <row r="6">
          <cell r="D6" t="str">
            <v>f = 1 / L = 1 / 1.25 = 0.8</v>
          </cell>
        </row>
        <row r="7">
          <cell r="D7" t="str">
            <v>E = 0.7 - 0.05 = 0.65</v>
          </cell>
        </row>
        <row r="8">
          <cell r="D8" t="str">
            <v>Cm = 19 sec</v>
          </cell>
        </row>
        <row r="9">
          <cell r="C9" t="str">
            <v xml:space="preserve">Q = 3600 * 0.7 * 0.9 * 0.8 * 0.65 / 19 = </v>
          </cell>
        </row>
        <row r="10">
          <cell r="C10" t="str">
            <v xml:space="preserve"> </v>
          </cell>
        </row>
        <row r="12">
          <cell r="C12" t="str">
            <v>운     반 ( D.T 15 Ton )</v>
          </cell>
        </row>
        <row r="13">
          <cell r="C13" t="str">
            <v>Q =</v>
          </cell>
          <cell r="D13" t="str">
            <v>60 * q * f * E / Cm</v>
          </cell>
        </row>
        <row r="14">
          <cell r="D14" t="str">
            <v>q = T / rt * L = 15 / 1.8 * 1.25 = 10.41 ㎥</v>
          </cell>
        </row>
        <row r="15">
          <cell r="D15" t="str">
            <v>f = 0.8</v>
          </cell>
        </row>
        <row r="16">
          <cell r="D16" t="str">
            <v>E = 0.9</v>
          </cell>
        </row>
        <row r="17">
          <cell r="D17" t="str">
            <v>Cm = t1 + t2 + t3 + t4 + t5</v>
          </cell>
        </row>
        <row r="18">
          <cell r="D18" t="str">
            <v xml:space="preserve">t1 = 19 * 10.41 / ( 60 * 0.65 * 0.7 * 0.9 ) = 8.05  </v>
          </cell>
        </row>
        <row r="19">
          <cell r="D19" t="str">
            <v>t2 = ( 0.1/5 + 0.1/7 ) * 60 = 2.05</v>
          </cell>
        </row>
        <row r="20">
          <cell r="D20" t="str">
            <v>t3 = 0.8</v>
          </cell>
        </row>
        <row r="21">
          <cell r="D21" t="str">
            <v>Cm = 8.05 + 2.05 + 0.8 + 0.42 + 3.77 = 15.09 min</v>
          </cell>
        </row>
        <row r="22">
          <cell r="C22" t="str">
            <v>Q =</v>
          </cell>
          <cell r="D22" t="str">
            <v>60 * 10.41 * 0.8 * 0.9 / 15.09  =</v>
          </cell>
        </row>
        <row r="28">
          <cell r="C28" t="str">
            <v xml:space="preserve">Q = </v>
          </cell>
          <cell r="D28" t="str">
            <v>3600 * q * K * f * E / Cm</v>
          </cell>
        </row>
        <row r="29">
          <cell r="D29" t="str">
            <v>q = 0.7</v>
          </cell>
        </row>
        <row r="30">
          <cell r="D30" t="str">
            <v>K = 0.9</v>
          </cell>
        </row>
        <row r="31">
          <cell r="D31" t="str">
            <v>f = 1 / L = 1 / 1.375 = 0.727</v>
          </cell>
        </row>
        <row r="32">
          <cell r="D32" t="str">
            <v>E = 0.7 - 0.05 = 0.65</v>
          </cell>
        </row>
        <row r="33">
          <cell r="D33" t="str">
            <v>Cm = 19 sec</v>
          </cell>
        </row>
        <row r="34">
          <cell r="C34" t="str">
            <v xml:space="preserve">Q = 3600 * 0.7 * 0.9 * 0.73 * 0.65 / 19 = </v>
          </cell>
        </row>
        <row r="35">
          <cell r="C35" t="str">
            <v xml:space="preserve"> </v>
          </cell>
        </row>
        <row r="38">
          <cell r="C38" t="str">
            <v xml:space="preserve">Q = </v>
          </cell>
          <cell r="D38" t="str">
            <v>3600 * q * K * f * E / Cm</v>
          </cell>
        </row>
        <row r="39">
          <cell r="D39" t="str">
            <v>q = 0.7</v>
          </cell>
        </row>
        <row r="40">
          <cell r="D40" t="str">
            <v>K = 0.9</v>
          </cell>
        </row>
        <row r="41">
          <cell r="D41" t="str">
            <v>f = 1 / L = 1 / 1.375 = 0.727</v>
          </cell>
        </row>
        <row r="42">
          <cell r="D42" t="str">
            <v>E = 0.7 - 0.05 = 0.65</v>
          </cell>
        </row>
        <row r="43">
          <cell r="D43" t="str">
            <v>Cm = 25 sec</v>
          </cell>
        </row>
        <row r="44">
          <cell r="C44" t="str">
            <v xml:space="preserve">Q = 3600 * 0.7 * 0.9 * 0.73 * 0.65 / 25 = </v>
          </cell>
        </row>
        <row r="45">
          <cell r="C45" t="str">
            <v xml:space="preserve"> </v>
          </cell>
        </row>
        <row r="48">
          <cell r="C48" t="str">
            <v xml:space="preserve">Q = </v>
          </cell>
          <cell r="D48" t="str">
            <v>3600 * q * K * f * E / Cm</v>
          </cell>
        </row>
        <row r="49">
          <cell r="D49" t="str">
            <v>q = 0.7</v>
          </cell>
        </row>
        <row r="50">
          <cell r="D50" t="str">
            <v>K = 0.9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F41A-776D-4603-8480-A994BB6BC265}">
  <sheetPr>
    <tabColor rgb="FF7030A0"/>
  </sheetPr>
  <dimension ref="A1:N2142"/>
  <sheetViews>
    <sheetView tabSelected="1" view="pageBreakPreview" topLeftCell="A1655" zoomScaleNormal="110" zoomScaleSheetLayoutView="100" workbookViewId="0">
      <selection activeCell="A1582" activeCellId="5" sqref="A1472:N1473 A1492:N1494 A1507:N1512 A1529:N1530 A1533:N1534 A1582:N1583"/>
    </sheetView>
  </sheetViews>
  <sheetFormatPr defaultColWidth="9" defaultRowHeight="13.5" x14ac:dyDescent="0.3"/>
  <cols>
    <col min="1" max="2" width="3.25" style="84" customWidth="1"/>
    <col min="3" max="3" width="20.75" style="84" customWidth="1"/>
    <col min="4" max="4" width="5.25" style="84" customWidth="1"/>
    <col min="5" max="5" width="5.75" style="84" customWidth="1"/>
    <col min="6" max="10" width="8.75" style="84" customWidth="1"/>
    <col min="11" max="11" width="8.25" style="84" customWidth="1"/>
    <col min="12" max="12" width="4.375" style="84" customWidth="1"/>
    <col min="13" max="13" width="8.75" style="84" customWidth="1"/>
    <col min="14" max="14" width="10.75" style="84" customWidth="1"/>
    <col min="15" max="16384" width="9" style="84"/>
  </cols>
  <sheetData>
    <row r="1" spans="1:14" s="2" customFormat="1" ht="27" hidden="1" customHeight="1" thickBot="1" x14ac:dyDescent="0.35">
      <c r="A1" s="1"/>
      <c r="B1" s="1"/>
      <c r="C1" s="1"/>
      <c r="E1" s="86" t="s">
        <v>0</v>
      </c>
      <c r="F1" s="86"/>
      <c r="G1" s="86"/>
      <c r="H1" s="86"/>
      <c r="I1" s="86"/>
      <c r="J1" s="86"/>
      <c r="K1" s="1"/>
      <c r="L1" s="3"/>
      <c r="M1" s="3"/>
      <c r="N1" s="1"/>
    </row>
    <row r="2" spans="1:14" s="2" customFormat="1" ht="24" hidden="1" customHeight="1" thickTop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1"/>
    </row>
    <row r="3" spans="1:14" s="2" customFormat="1" ht="24" hidden="1" customHeight="1" thickBot="1" x14ac:dyDescent="0.35">
      <c r="A3" s="2" t="s">
        <v>1</v>
      </c>
      <c r="C3" s="4"/>
      <c r="D3" s="4"/>
      <c r="E3" s="5"/>
      <c r="F3" s="6"/>
      <c r="G3" s="7"/>
      <c r="H3" s="7"/>
      <c r="I3" s="7"/>
      <c r="J3" s="8"/>
      <c r="K3" s="9"/>
      <c r="L3" s="10"/>
      <c r="M3" s="11"/>
      <c r="N3" s="12" t="s">
        <v>2</v>
      </c>
    </row>
    <row r="4" spans="1:14" s="18" customFormat="1" ht="24" hidden="1" customHeight="1" thickTop="1" thickBot="1" x14ac:dyDescent="0.35">
      <c r="A4" s="13" t="s">
        <v>3</v>
      </c>
      <c r="B4" s="13" t="s">
        <v>4</v>
      </c>
      <c r="C4" s="87" t="s">
        <v>5</v>
      </c>
      <c r="D4" s="88"/>
      <c r="E4" s="13" t="s">
        <v>6</v>
      </c>
      <c r="F4" s="14" t="s">
        <v>7</v>
      </c>
      <c r="G4" s="15" t="s">
        <v>8</v>
      </c>
      <c r="H4" s="15" t="s">
        <v>9</v>
      </c>
      <c r="I4" s="15" t="s">
        <v>10</v>
      </c>
      <c r="J4" s="15" t="s">
        <v>11</v>
      </c>
      <c r="K4" s="16" t="s">
        <v>12</v>
      </c>
      <c r="L4" s="89" t="s">
        <v>13</v>
      </c>
      <c r="M4" s="90"/>
      <c r="N4" s="17" t="s">
        <v>14</v>
      </c>
    </row>
    <row r="5" spans="1:14" s="18" customFormat="1" ht="24" hidden="1" customHeight="1" thickTop="1" x14ac:dyDescent="0.3">
      <c r="A5" s="19">
        <v>12</v>
      </c>
      <c r="B5" s="19">
        <v>11</v>
      </c>
      <c r="C5" s="20" t="s">
        <v>15</v>
      </c>
      <c r="D5" s="21"/>
      <c r="E5" s="19"/>
      <c r="F5" s="22"/>
      <c r="G5" s="23"/>
      <c r="H5" s="24"/>
      <c r="I5" s="23"/>
      <c r="J5" s="23"/>
      <c r="K5" s="25"/>
      <c r="L5" s="26"/>
      <c r="M5" s="27"/>
      <c r="N5" s="28"/>
    </row>
    <row r="6" spans="1:14" s="18" customFormat="1" ht="24" hidden="1" customHeight="1" x14ac:dyDescent="0.3">
      <c r="A6" s="19"/>
      <c r="B6" s="19"/>
      <c r="C6" s="29" t="s">
        <v>16</v>
      </c>
      <c r="D6" s="21"/>
      <c r="E6" s="30">
        <v>25</v>
      </c>
      <c r="F6" s="31" t="s">
        <v>17</v>
      </c>
      <c r="G6" s="23">
        <v>2350</v>
      </c>
      <c r="H6" s="23">
        <f>J6/1.1</f>
        <v>53409.090909090904</v>
      </c>
      <c r="I6" s="23">
        <f>H6*0.1</f>
        <v>5340.909090909091</v>
      </c>
      <c r="J6" s="23">
        <f>E6*G6</f>
        <v>58750</v>
      </c>
      <c r="K6" s="32"/>
      <c r="L6" s="33"/>
      <c r="M6" s="34"/>
      <c r="N6" s="35">
        <f>N5+J6+K6</f>
        <v>58750</v>
      </c>
    </row>
    <row r="7" spans="1:14" s="18" customFormat="1" ht="24" hidden="1" customHeight="1" x14ac:dyDescent="0.3">
      <c r="A7" s="19"/>
      <c r="B7" s="19">
        <v>30</v>
      </c>
      <c r="C7" s="29" t="s">
        <v>18</v>
      </c>
      <c r="D7" s="21"/>
      <c r="E7" s="19"/>
      <c r="F7" s="22"/>
      <c r="G7" s="23"/>
      <c r="H7" s="24"/>
      <c r="I7" s="23"/>
      <c r="J7" s="23"/>
      <c r="K7" s="32"/>
      <c r="L7" s="33"/>
      <c r="M7" s="34"/>
      <c r="N7" s="35">
        <f>N6+J7+K7</f>
        <v>58750</v>
      </c>
    </row>
    <row r="8" spans="1:14" s="18" customFormat="1" ht="24" hidden="1" customHeight="1" x14ac:dyDescent="0.3">
      <c r="A8" s="19"/>
      <c r="B8" s="19"/>
      <c r="C8" s="36" t="s">
        <v>19</v>
      </c>
      <c r="D8" s="21"/>
      <c r="E8" s="19">
        <v>116</v>
      </c>
      <c r="F8" s="22">
        <v>876.4</v>
      </c>
      <c r="G8" s="23">
        <f>700+2350-800+1070+250+290</f>
        <v>3860</v>
      </c>
      <c r="H8" s="24">
        <f>F8*G8</f>
        <v>3382904</v>
      </c>
      <c r="I8" s="23">
        <v>0</v>
      </c>
      <c r="J8" s="23">
        <f>SUM(H8:I8)</f>
        <v>3382904</v>
      </c>
      <c r="K8" s="32"/>
      <c r="L8" s="33"/>
      <c r="M8" s="34"/>
      <c r="N8" s="35">
        <f t="shared" ref="N8:N39" si="0">N7+J8+K8</f>
        <v>3441654</v>
      </c>
    </row>
    <row r="9" spans="1:14" s="18" customFormat="1" ht="24" hidden="1" customHeight="1" x14ac:dyDescent="0.3">
      <c r="A9" s="19"/>
      <c r="B9" s="19">
        <v>30</v>
      </c>
      <c r="C9" s="29" t="s">
        <v>20</v>
      </c>
      <c r="D9" s="37"/>
      <c r="E9" s="19"/>
      <c r="F9" s="22"/>
      <c r="G9" s="23"/>
      <c r="H9" s="24"/>
      <c r="I9" s="23"/>
      <c r="J9" s="23"/>
      <c r="K9" s="32"/>
      <c r="L9" s="33"/>
      <c r="M9" s="34"/>
      <c r="N9" s="35">
        <f t="shared" si="0"/>
        <v>3441654</v>
      </c>
    </row>
    <row r="10" spans="1:14" s="18" customFormat="1" ht="24" hidden="1" customHeight="1" x14ac:dyDescent="0.3">
      <c r="A10" s="19"/>
      <c r="B10" s="19"/>
      <c r="C10" s="36" t="s">
        <v>21</v>
      </c>
      <c r="D10" s="37"/>
      <c r="E10" s="19">
        <v>1</v>
      </c>
      <c r="F10" s="22">
        <v>26.9</v>
      </c>
      <c r="G10" s="23">
        <f>2350+700+1070+250+330</f>
        <v>4700</v>
      </c>
      <c r="H10" s="24">
        <f>F10*G10</f>
        <v>126430</v>
      </c>
      <c r="I10" s="23">
        <v>0</v>
      </c>
      <c r="J10" s="23">
        <f>SUM(H10:I10)</f>
        <v>126430</v>
      </c>
      <c r="K10" s="32"/>
      <c r="L10" s="33"/>
      <c r="M10" s="34"/>
      <c r="N10" s="35">
        <f t="shared" si="0"/>
        <v>3568084</v>
      </c>
    </row>
    <row r="11" spans="1:14" s="18" customFormat="1" ht="24" hidden="1" customHeight="1" x14ac:dyDescent="0.3">
      <c r="A11" s="19"/>
      <c r="B11" s="19">
        <v>30</v>
      </c>
      <c r="C11" s="29" t="s">
        <v>22</v>
      </c>
      <c r="D11" s="21"/>
      <c r="E11" s="19"/>
      <c r="F11" s="22"/>
      <c r="G11" s="23"/>
      <c r="H11" s="24"/>
      <c r="I11" s="23"/>
      <c r="J11" s="23"/>
      <c r="K11" s="32"/>
      <c r="L11" s="33"/>
      <c r="M11" s="34"/>
      <c r="N11" s="35">
        <f t="shared" si="0"/>
        <v>3568084</v>
      </c>
    </row>
    <row r="12" spans="1:14" s="18" customFormat="1" ht="24" hidden="1" customHeight="1" x14ac:dyDescent="0.3">
      <c r="A12" s="19"/>
      <c r="B12" s="19"/>
      <c r="C12" s="36" t="s">
        <v>23</v>
      </c>
      <c r="D12" s="21"/>
      <c r="E12" s="19">
        <v>23</v>
      </c>
      <c r="F12" s="22">
        <v>182.4</v>
      </c>
      <c r="G12" s="23">
        <f>2350+100+700+1070+250+330</f>
        <v>4800</v>
      </c>
      <c r="H12" s="24">
        <f>F12*G12</f>
        <v>875520</v>
      </c>
      <c r="I12" s="23">
        <v>0</v>
      </c>
      <c r="J12" s="23">
        <f>SUM(H12:I12)</f>
        <v>875520</v>
      </c>
      <c r="K12" s="32"/>
      <c r="L12" s="33"/>
      <c r="M12" s="34"/>
      <c r="N12" s="35">
        <f t="shared" si="0"/>
        <v>4443604</v>
      </c>
    </row>
    <row r="13" spans="1:14" s="18" customFormat="1" ht="24" hidden="1" customHeight="1" x14ac:dyDescent="0.3">
      <c r="A13" s="19"/>
      <c r="B13" s="19">
        <v>30</v>
      </c>
      <c r="C13" s="29" t="s">
        <v>22</v>
      </c>
      <c r="D13" s="21"/>
      <c r="E13" s="19"/>
      <c r="F13" s="22"/>
      <c r="G13" s="23"/>
      <c r="H13" s="24"/>
      <c r="I13" s="23"/>
      <c r="J13" s="23"/>
      <c r="K13" s="32"/>
      <c r="L13" s="33"/>
      <c r="M13" s="34"/>
      <c r="N13" s="35">
        <f t="shared" si="0"/>
        <v>4443604</v>
      </c>
    </row>
    <row r="14" spans="1:14" s="18" customFormat="1" ht="24" hidden="1" customHeight="1" x14ac:dyDescent="0.3">
      <c r="A14" s="19"/>
      <c r="B14" s="19"/>
      <c r="C14" s="36" t="s">
        <v>23</v>
      </c>
      <c r="D14" s="21"/>
      <c r="E14" s="19">
        <v>38</v>
      </c>
      <c r="F14" s="22">
        <v>469.1</v>
      </c>
      <c r="G14" s="23">
        <f>2350+100+700+1070+250+330</f>
        <v>4800</v>
      </c>
      <c r="H14" s="24">
        <f>F14*G14</f>
        <v>2251680</v>
      </c>
      <c r="I14" s="23">
        <v>0</v>
      </c>
      <c r="J14" s="23">
        <f>SUM(H14:I14)</f>
        <v>2251680</v>
      </c>
      <c r="K14" s="32"/>
      <c r="L14" s="33"/>
      <c r="M14" s="34"/>
      <c r="N14" s="35">
        <f t="shared" si="0"/>
        <v>6695284</v>
      </c>
    </row>
    <row r="15" spans="1:14" s="18" customFormat="1" ht="24" hidden="1" customHeight="1" x14ac:dyDescent="0.3">
      <c r="A15" s="19"/>
      <c r="B15" s="19">
        <v>30</v>
      </c>
      <c r="C15" s="29" t="s">
        <v>24</v>
      </c>
      <c r="D15" s="21"/>
      <c r="E15" s="30"/>
      <c r="F15" s="31"/>
      <c r="G15" s="23"/>
      <c r="H15" s="23"/>
      <c r="I15" s="23"/>
      <c r="J15" s="23"/>
      <c r="K15" s="32"/>
      <c r="L15" s="33"/>
      <c r="M15" s="34"/>
      <c r="N15" s="35">
        <f t="shared" si="0"/>
        <v>6695284</v>
      </c>
    </row>
    <row r="16" spans="1:14" s="18" customFormat="1" ht="24" hidden="1" customHeight="1" x14ac:dyDescent="0.3">
      <c r="A16" s="19"/>
      <c r="B16" s="19"/>
      <c r="C16" s="36" t="s">
        <v>21</v>
      </c>
      <c r="D16" s="21"/>
      <c r="E16" s="19">
        <v>1</v>
      </c>
      <c r="F16" s="22">
        <v>3</v>
      </c>
      <c r="G16" s="23">
        <f>2350+700+1070+250+330</f>
        <v>4700</v>
      </c>
      <c r="H16" s="24">
        <f>F16*G16</f>
        <v>14100</v>
      </c>
      <c r="I16" s="23">
        <v>0</v>
      </c>
      <c r="J16" s="23">
        <f>SUM(H16:I16)</f>
        <v>14100</v>
      </c>
      <c r="K16" s="32"/>
      <c r="L16" s="33"/>
      <c r="M16" s="34"/>
      <c r="N16" s="35">
        <f t="shared" si="0"/>
        <v>6709384</v>
      </c>
    </row>
    <row r="17" spans="1:14" s="18" customFormat="1" ht="24" hidden="1" customHeight="1" x14ac:dyDescent="0.3">
      <c r="A17" s="19"/>
      <c r="B17" s="19">
        <v>31</v>
      </c>
      <c r="C17" s="29" t="s">
        <v>22</v>
      </c>
      <c r="D17" s="21"/>
      <c r="E17" s="19"/>
      <c r="F17" s="22"/>
      <c r="G17" s="23"/>
      <c r="H17" s="24"/>
      <c r="I17" s="23"/>
      <c r="J17" s="23"/>
      <c r="K17" s="32"/>
      <c r="L17" s="33"/>
      <c r="M17" s="34"/>
      <c r="N17" s="35">
        <f t="shared" si="0"/>
        <v>6709384</v>
      </c>
    </row>
    <row r="18" spans="1:14" s="18" customFormat="1" ht="24" hidden="1" customHeight="1" x14ac:dyDescent="0.3">
      <c r="A18" s="19"/>
      <c r="B18" s="19"/>
      <c r="C18" s="36" t="s">
        <v>23</v>
      </c>
      <c r="D18" s="21"/>
      <c r="E18" s="19">
        <v>16</v>
      </c>
      <c r="F18" s="22">
        <v>65.2</v>
      </c>
      <c r="G18" s="23">
        <f>2350+100+700+1070+250+330</f>
        <v>4800</v>
      </c>
      <c r="H18" s="24">
        <f>F18*G18</f>
        <v>312960</v>
      </c>
      <c r="I18" s="23">
        <v>0</v>
      </c>
      <c r="J18" s="23">
        <f>SUM(H18:I18)</f>
        <v>312960</v>
      </c>
      <c r="K18" s="32"/>
      <c r="L18" s="33"/>
      <c r="M18" s="34"/>
      <c r="N18" s="35">
        <f t="shared" si="0"/>
        <v>7022344</v>
      </c>
    </row>
    <row r="19" spans="1:14" s="18" customFormat="1" ht="24" hidden="1" customHeight="1" x14ac:dyDescent="0.3">
      <c r="A19" s="19"/>
      <c r="B19" s="19">
        <v>31</v>
      </c>
      <c r="C19" s="29" t="s">
        <v>25</v>
      </c>
      <c r="D19" s="21"/>
      <c r="E19" s="19"/>
      <c r="F19" s="22"/>
      <c r="G19" s="23"/>
      <c r="H19" s="24"/>
      <c r="I19" s="23"/>
      <c r="J19" s="23"/>
      <c r="K19" s="32"/>
      <c r="L19" s="33"/>
      <c r="M19" s="34"/>
      <c r="N19" s="35">
        <f t="shared" si="0"/>
        <v>7022344</v>
      </c>
    </row>
    <row r="20" spans="1:14" s="18" customFormat="1" ht="24" hidden="1" customHeight="1" x14ac:dyDescent="0.3">
      <c r="A20" s="19"/>
      <c r="B20" s="19"/>
      <c r="C20" s="36" t="s">
        <v>26</v>
      </c>
      <c r="D20" s="37"/>
      <c r="E20" s="19">
        <v>34</v>
      </c>
      <c r="F20" s="22">
        <v>1468.4</v>
      </c>
      <c r="G20" s="23">
        <f>1500+2000+1070+250</f>
        <v>4820</v>
      </c>
      <c r="H20" s="24">
        <f>F20*G20</f>
        <v>7077688</v>
      </c>
      <c r="I20" s="23">
        <v>0</v>
      </c>
      <c r="J20" s="23">
        <f>SUM(H20:I20)</f>
        <v>7077688</v>
      </c>
      <c r="K20" s="32"/>
      <c r="L20" s="33"/>
      <c r="M20" s="34"/>
      <c r="N20" s="35">
        <f t="shared" si="0"/>
        <v>14100032</v>
      </c>
    </row>
    <row r="21" spans="1:14" s="18" customFormat="1" ht="24" hidden="1" customHeight="1" x14ac:dyDescent="0.3">
      <c r="A21" s="19"/>
      <c r="B21" s="19">
        <v>31</v>
      </c>
      <c r="C21" s="29" t="s">
        <v>27</v>
      </c>
      <c r="D21" s="21"/>
      <c r="E21" s="19"/>
      <c r="F21" s="22"/>
      <c r="G21" s="23"/>
      <c r="H21" s="24"/>
      <c r="I21" s="23"/>
      <c r="J21" s="23"/>
      <c r="K21" s="32"/>
      <c r="L21" s="33"/>
      <c r="M21" s="34"/>
      <c r="N21" s="35">
        <f t="shared" si="0"/>
        <v>14100032</v>
      </c>
    </row>
    <row r="22" spans="1:14" s="18" customFormat="1" ht="24" hidden="1" customHeight="1" x14ac:dyDescent="0.3">
      <c r="A22" s="19"/>
      <c r="B22" s="19"/>
      <c r="C22" s="29" t="s">
        <v>28</v>
      </c>
      <c r="D22" s="21"/>
      <c r="E22" s="19">
        <v>18</v>
      </c>
      <c r="F22" s="22">
        <v>236.7</v>
      </c>
      <c r="G22" s="23">
        <f>700+1080+1070+250</f>
        <v>3100</v>
      </c>
      <c r="H22" s="24">
        <f>F22*G22</f>
        <v>733770</v>
      </c>
      <c r="I22" s="23">
        <v>0</v>
      </c>
      <c r="J22" s="23">
        <f>SUM(H22:I22)</f>
        <v>733770</v>
      </c>
      <c r="K22" s="32"/>
      <c r="L22" s="33"/>
      <c r="M22" s="34"/>
      <c r="N22" s="35">
        <f t="shared" si="0"/>
        <v>14833802</v>
      </c>
    </row>
    <row r="23" spans="1:14" s="18" customFormat="1" ht="24" hidden="1" customHeight="1" x14ac:dyDescent="0.3">
      <c r="A23" s="19"/>
      <c r="B23" s="19">
        <v>31</v>
      </c>
      <c r="C23" s="29" t="s">
        <v>29</v>
      </c>
      <c r="D23" s="21"/>
      <c r="E23" s="19"/>
      <c r="F23" s="22"/>
      <c r="G23" s="23"/>
      <c r="H23" s="24"/>
      <c r="I23" s="23"/>
      <c r="J23" s="23"/>
      <c r="K23" s="32"/>
      <c r="L23" s="33"/>
      <c r="M23" s="34"/>
      <c r="N23" s="35">
        <f t="shared" si="0"/>
        <v>14833802</v>
      </c>
    </row>
    <row r="24" spans="1:14" s="18" customFormat="1" ht="24" hidden="1" customHeight="1" x14ac:dyDescent="0.3">
      <c r="A24" s="19"/>
      <c r="B24" s="19"/>
      <c r="C24" s="29" t="s">
        <v>30</v>
      </c>
      <c r="D24" s="21"/>
      <c r="E24" s="19">
        <v>14</v>
      </c>
      <c r="F24" s="22">
        <v>64</v>
      </c>
      <c r="G24" s="23">
        <f>700+1080+980+250</f>
        <v>3010</v>
      </c>
      <c r="H24" s="24">
        <f>F24*G24</f>
        <v>192640</v>
      </c>
      <c r="I24" s="23">
        <v>0</v>
      </c>
      <c r="J24" s="23">
        <f>SUM(H24:I24)</f>
        <v>192640</v>
      </c>
      <c r="K24" s="32"/>
      <c r="L24" s="33"/>
      <c r="M24" s="34"/>
      <c r="N24" s="35">
        <f t="shared" si="0"/>
        <v>15026442</v>
      </c>
    </row>
    <row r="25" spans="1:14" s="18" customFormat="1" ht="24" hidden="1" customHeight="1" x14ac:dyDescent="0.3">
      <c r="A25" s="19"/>
      <c r="B25" s="19">
        <v>31</v>
      </c>
      <c r="C25" s="29" t="s">
        <v>22</v>
      </c>
      <c r="D25" s="21"/>
      <c r="E25" s="19"/>
      <c r="F25" s="22"/>
      <c r="G25" s="23"/>
      <c r="H25" s="24"/>
      <c r="I25" s="23"/>
      <c r="J25" s="23"/>
      <c r="K25" s="32"/>
      <c r="L25" s="33"/>
      <c r="M25" s="34"/>
      <c r="N25" s="35">
        <f t="shared" si="0"/>
        <v>15026442</v>
      </c>
    </row>
    <row r="26" spans="1:14" s="18" customFormat="1" ht="24" hidden="1" customHeight="1" x14ac:dyDescent="0.3">
      <c r="A26" s="19"/>
      <c r="B26" s="19"/>
      <c r="C26" s="36" t="s">
        <v>23</v>
      </c>
      <c r="D26" s="21"/>
      <c r="E26" s="19">
        <v>1</v>
      </c>
      <c r="F26" s="22">
        <v>3.7</v>
      </c>
      <c r="G26" s="23">
        <f>2350+100+700+1070+250+330</f>
        <v>4800</v>
      </c>
      <c r="H26" s="24">
        <f>F26*G26</f>
        <v>17760</v>
      </c>
      <c r="I26" s="23">
        <v>0</v>
      </c>
      <c r="J26" s="23">
        <f>SUM(H26:I26)</f>
        <v>17760</v>
      </c>
      <c r="K26" s="32"/>
      <c r="L26" s="33"/>
      <c r="M26" s="34"/>
      <c r="N26" s="35">
        <f t="shared" si="0"/>
        <v>15044202</v>
      </c>
    </row>
    <row r="27" spans="1:14" s="18" customFormat="1" ht="24" hidden="1" customHeight="1" x14ac:dyDescent="0.3">
      <c r="A27" s="19"/>
      <c r="B27" s="19"/>
      <c r="C27" s="36" t="s">
        <v>31</v>
      </c>
      <c r="D27" s="21"/>
      <c r="E27" s="19">
        <v>1</v>
      </c>
      <c r="F27" s="22">
        <v>7.1</v>
      </c>
      <c r="G27" s="23">
        <f>2350+700+2350-800+1070+1070+250+250+330+330</f>
        <v>7900</v>
      </c>
      <c r="H27" s="24">
        <f>F27*G27</f>
        <v>56090</v>
      </c>
      <c r="I27" s="23">
        <v>0</v>
      </c>
      <c r="J27" s="23">
        <f>SUM(H27:I27)</f>
        <v>56090</v>
      </c>
      <c r="K27" s="32"/>
      <c r="L27" s="33"/>
      <c r="M27" s="34"/>
      <c r="N27" s="35">
        <f t="shared" si="0"/>
        <v>15100292</v>
      </c>
    </row>
    <row r="28" spans="1:14" s="18" customFormat="1" ht="24" hidden="1" customHeight="1" x14ac:dyDescent="0.3">
      <c r="A28" s="19"/>
      <c r="B28" s="19">
        <v>31</v>
      </c>
      <c r="C28" s="29" t="s">
        <v>32</v>
      </c>
      <c r="D28" s="37"/>
      <c r="E28" s="19"/>
      <c r="F28" s="22"/>
      <c r="G28" s="23"/>
      <c r="H28" s="24"/>
      <c r="I28" s="23"/>
      <c r="J28" s="23"/>
      <c r="K28" s="32"/>
      <c r="L28" s="33"/>
      <c r="M28" s="34"/>
      <c r="N28" s="35">
        <f t="shared" si="0"/>
        <v>15100292</v>
      </c>
    </row>
    <row r="29" spans="1:14" s="18" customFormat="1" ht="24" hidden="1" customHeight="1" x14ac:dyDescent="0.3">
      <c r="A29" s="19"/>
      <c r="B29" s="19"/>
      <c r="C29" s="36" t="s">
        <v>33</v>
      </c>
      <c r="D29" s="21"/>
      <c r="E29" s="19">
        <v>45</v>
      </c>
      <c r="F29" s="22">
        <v>418.9</v>
      </c>
      <c r="G29" s="23">
        <f>2350+700+1070+250+330</f>
        <v>4700</v>
      </c>
      <c r="H29" s="24">
        <f>F29*G29</f>
        <v>1968830</v>
      </c>
      <c r="I29" s="23">
        <v>0</v>
      </c>
      <c r="J29" s="23">
        <f>SUM(H29:I29)</f>
        <v>1968830</v>
      </c>
      <c r="K29" s="32"/>
      <c r="L29" s="33"/>
      <c r="M29" s="34"/>
      <c r="N29" s="35">
        <f t="shared" si="0"/>
        <v>17069122</v>
      </c>
    </row>
    <row r="30" spans="1:14" s="18" customFormat="1" ht="24" hidden="1" customHeight="1" x14ac:dyDescent="0.3">
      <c r="A30" s="19">
        <v>1</v>
      </c>
      <c r="B30" s="19">
        <v>2</v>
      </c>
      <c r="C30" s="29" t="s">
        <v>18</v>
      </c>
      <c r="D30" s="21"/>
      <c r="E30" s="19"/>
      <c r="F30" s="22"/>
      <c r="G30" s="23"/>
      <c r="H30" s="24"/>
      <c r="I30" s="23"/>
      <c r="J30" s="23"/>
      <c r="K30" s="32"/>
      <c r="L30" s="33"/>
      <c r="M30" s="34"/>
      <c r="N30" s="38">
        <f t="shared" si="0"/>
        <v>17069122</v>
      </c>
    </row>
    <row r="31" spans="1:14" s="18" customFormat="1" ht="24" hidden="1" customHeight="1" x14ac:dyDescent="0.3">
      <c r="A31" s="19"/>
      <c r="B31" s="19"/>
      <c r="C31" s="36" t="s">
        <v>34</v>
      </c>
      <c r="D31" s="37"/>
      <c r="E31" s="19">
        <v>60</v>
      </c>
      <c r="F31" s="22">
        <v>879.2</v>
      </c>
      <c r="G31" s="23">
        <f>700+2350-800+1070+250+290</f>
        <v>3860</v>
      </c>
      <c r="H31" s="24">
        <f>F31*G31</f>
        <v>3393712</v>
      </c>
      <c r="I31" s="23">
        <v>0</v>
      </c>
      <c r="J31" s="23">
        <f>SUM(H31:I31)</f>
        <v>3393712</v>
      </c>
      <c r="K31" s="32"/>
      <c r="L31" s="33"/>
      <c r="M31" s="34"/>
      <c r="N31" s="38">
        <f t="shared" si="0"/>
        <v>20462834</v>
      </c>
    </row>
    <row r="32" spans="1:14" s="18" customFormat="1" ht="24" hidden="1" customHeight="1" x14ac:dyDescent="0.3">
      <c r="A32" s="19"/>
      <c r="B32" s="19">
        <v>2</v>
      </c>
      <c r="C32" s="29" t="s">
        <v>35</v>
      </c>
      <c r="D32" s="21"/>
      <c r="E32" s="19"/>
      <c r="F32" s="22"/>
      <c r="G32" s="23"/>
      <c r="H32" s="24"/>
      <c r="I32" s="23"/>
      <c r="J32" s="23"/>
      <c r="K32" s="32"/>
      <c r="L32" s="33"/>
      <c r="M32" s="34"/>
      <c r="N32" s="38">
        <f t="shared" si="0"/>
        <v>20462834</v>
      </c>
    </row>
    <row r="33" spans="1:14" s="18" customFormat="1" ht="24" hidden="1" customHeight="1" x14ac:dyDescent="0.3">
      <c r="A33" s="19"/>
      <c r="B33" s="19"/>
      <c r="C33" s="36" t="s">
        <v>21</v>
      </c>
      <c r="D33" s="21"/>
      <c r="E33" s="19">
        <v>4</v>
      </c>
      <c r="F33" s="22">
        <v>65.599999999999994</v>
      </c>
      <c r="G33" s="23">
        <f>2350+700+1070+250+330</f>
        <v>4700</v>
      </c>
      <c r="H33" s="24">
        <f t="shared" ref="H33:H34" si="1">F33*G33</f>
        <v>308320</v>
      </c>
      <c r="I33" s="23">
        <v>0</v>
      </c>
      <c r="J33" s="23">
        <f t="shared" ref="J33:J34" si="2">SUM(H33:I33)</f>
        <v>308320</v>
      </c>
      <c r="K33" s="32"/>
      <c r="L33" s="33"/>
      <c r="M33" s="34"/>
      <c r="N33" s="38">
        <f t="shared" si="0"/>
        <v>20771154</v>
      </c>
    </row>
    <row r="34" spans="1:14" s="18" customFormat="1" ht="24" hidden="1" customHeight="1" x14ac:dyDescent="0.3">
      <c r="A34" s="19"/>
      <c r="B34" s="19"/>
      <c r="C34" s="29" t="s">
        <v>36</v>
      </c>
      <c r="D34" s="21"/>
      <c r="E34" s="19">
        <v>8</v>
      </c>
      <c r="F34" s="22">
        <v>169</v>
      </c>
      <c r="G34" s="23">
        <v>3400</v>
      </c>
      <c r="H34" s="24">
        <f t="shared" si="1"/>
        <v>574600</v>
      </c>
      <c r="I34" s="23">
        <v>0</v>
      </c>
      <c r="J34" s="23">
        <f t="shared" si="2"/>
        <v>574600</v>
      </c>
      <c r="K34" s="32"/>
      <c r="L34" s="33"/>
      <c r="M34" s="34"/>
      <c r="N34" s="38">
        <f t="shared" si="0"/>
        <v>21345754</v>
      </c>
    </row>
    <row r="35" spans="1:14" s="18" customFormat="1" ht="24" hidden="1" customHeight="1" x14ac:dyDescent="0.3">
      <c r="A35" s="19"/>
      <c r="B35" s="19">
        <v>2</v>
      </c>
      <c r="C35" s="29" t="s">
        <v>37</v>
      </c>
      <c r="D35" s="21"/>
      <c r="E35" s="19"/>
      <c r="F35" s="22"/>
      <c r="G35" s="23"/>
      <c r="H35" s="24"/>
      <c r="I35" s="23"/>
      <c r="J35" s="23"/>
      <c r="K35" s="32"/>
      <c r="L35" s="33"/>
      <c r="M35" s="34"/>
      <c r="N35" s="38">
        <f t="shared" si="0"/>
        <v>21345754</v>
      </c>
    </row>
    <row r="36" spans="1:14" s="18" customFormat="1" ht="24" hidden="1" customHeight="1" x14ac:dyDescent="0.3">
      <c r="A36" s="19"/>
      <c r="B36" s="19"/>
      <c r="C36" s="29" t="s">
        <v>38</v>
      </c>
      <c r="D36" s="37"/>
      <c r="E36" s="19">
        <v>52</v>
      </c>
      <c r="F36" s="22">
        <v>292.8</v>
      </c>
      <c r="G36" s="23">
        <f>1100+1080+1200+300</f>
        <v>3680</v>
      </c>
      <c r="H36" s="24">
        <f t="shared" ref="H36:H37" si="3">F36*G36</f>
        <v>1077504</v>
      </c>
      <c r="I36" s="23">
        <v>0</v>
      </c>
      <c r="J36" s="23">
        <f t="shared" ref="J36:J37" si="4">SUM(H36:I36)</f>
        <v>1077504</v>
      </c>
      <c r="K36" s="32"/>
      <c r="L36" s="33"/>
      <c r="M36" s="34"/>
      <c r="N36" s="38">
        <f t="shared" si="0"/>
        <v>22423258</v>
      </c>
    </row>
    <row r="37" spans="1:14" s="18" customFormat="1" ht="24" hidden="1" customHeight="1" x14ac:dyDescent="0.3">
      <c r="A37" s="19"/>
      <c r="B37" s="19"/>
      <c r="C37" s="29" t="s">
        <v>39</v>
      </c>
      <c r="D37" s="21"/>
      <c r="E37" s="19">
        <v>9</v>
      </c>
      <c r="F37" s="22">
        <v>125.1</v>
      </c>
      <c r="G37" s="23">
        <f>1100+1080+1070+250</f>
        <v>3500</v>
      </c>
      <c r="H37" s="24">
        <f t="shared" si="3"/>
        <v>437850</v>
      </c>
      <c r="I37" s="23">
        <v>0</v>
      </c>
      <c r="J37" s="23">
        <f t="shared" si="4"/>
        <v>437850</v>
      </c>
      <c r="K37" s="32"/>
      <c r="L37" s="33"/>
      <c r="M37" s="34"/>
      <c r="N37" s="38">
        <f t="shared" si="0"/>
        <v>22861108</v>
      </c>
    </row>
    <row r="38" spans="1:14" s="18" customFormat="1" ht="24" hidden="1" customHeight="1" x14ac:dyDescent="0.3">
      <c r="A38" s="19"/>
      <c r="B38" s="19">
        <v>2</v>
      </c>
      <c r="C38" s="29" t="s">
        <v>40</v>
      </c>
      <c r="D38" s="21"/>
      <c r="E38" s="19"/>
      <c r="F38" s="22"/>
      <c r="G38" s="23"/>
      <c r="H38" s="24"/>
      <c r="I38" s="23"/>
      <c r="J38" s="23"/>
      <c r="K38" s="32"/>
      <c r="L38" s="33"/>
      <c r="M38" s="34"/>
      <c r="N38" s="38">
        <f t="shared" si="0"/>
        <v>22861108</v>
      </c>
    </row>
    <row r="39" spans="1:14" s="18" customFormat="1" ht="24" hidden="1" customHeight="1" x14ac:dyDescent="0.3">
      <c r="A39" s="19"/>
      <c r="B39" s="19"/>
      <c r="C39" s="29" t="s">
        <v>30</v>
      </c>
      <c r="D39" s="21"/>
      <c r="E39" s="19">
        <v>400</v>
      </c>
      <c r="F39" s="22">
        <v>3908.5</v>
      </c>
      <c r="G39" s="23">
        <f>700+1080+980+250</f>
        <v>3010</v>
      </c>
      <c r="H39" s="24">
        <f t="shared" ref="H39" si="5">F39*G39</f>
        <v>11764585</v>
      </c>
      <c r="I39" s="23">
        <v>0</v>
      </c>
      <c r="J39" s="23">
        <f t="shared" ref="J39" si="6">SUM(H39:I39)</f>
        <v>11764585</v>
      </c>
      <c r="K39" s="32"/>
      <c r="L39" s="33"/>
      <c r="M39" s="34"/>
      <c r="N39" s="38">
        <f t="shared" si="0"/>
        <v>34625693</v>
      </c>
    </row>
    <row r="40" spans="1:14" s="2" customFormat="1" ht="27" hidden="1" customHeight="1" thickBot="1" x14ac:dyDescent="0.35">
      <c r="A40" s="1"/>
      <c r="B40" s="1"/>
      <c r="C40" s="1"/>
      <c r="E40" s="86" t="s">
        <v>0</v>
      </c>
      <c r="F40" s="86"/>
      <c r="G40" s="86"/>
      <c r="H40" s="86"/>
      <c r="I40" s="86"/>
      <c r="J40" s="86"/>
      <c r="K40" s="1"/>
      <c r="L40" s="3"/>
      <c r="M40" s="3"/>
      <c r="N40" s="1"/>
    </row>
    <row r="41" spans="1:14" s="2" customFormat="1" ht="24" hidden="1" customHeight="1" thickTop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3"/>
      <c r="M41" s="3"/>
      <c r="N41" s="1"/>
    </row>
    <row r="42" spans="1:14" s="2" customFormat="1" ht="24" hidden="1" customHeight="1" thickBot="1" x14ac:dyDescent="0.35">
      <c r="A42" s="2" t="s">
        <v>1</v>
      </c>
      <c r="C42" s="4"/>
      <c r="D42" s="4"/>
      <c r="E42" s="5"/>
      <c r="F42" s="6"/>
      <c r="G42" s="7"/>
      <c r="H42" s="7"/>
      <c r="I42" s="7"/>
      <c r="J42" s="8"/>
      <c r="K42" s="9"/>
      <c r="L42" s="10"/>
      <c r="M42" s="11"/>
      <c r="N42" s="12" t="s">
        <v>2</v>
      </c>
    </row>
    <row r="43" spans="1:14" s="18" customFormat="1" ht="24" hidden="1" customHeight="1" thickTop="1" thickBot="1" x14ac:dyDescent="0.35">
      <c r="A43" s="13" t="s">
        <v>3</v>
      </c>
      <c r="B43" s="13" t="s">
        <v>4</v>
      </c>
      <c r="C43" s="87" t="s">
        <v>5</v>
      </c>
      <c r="D43" s="88"/>
      <c r="E43" s="13" t="s">
        <v>6</v>
      </c>
      <c r="F43" s="14" t="s">
        <v>7</v>
      </c>
      <c r="G43" s="15" t="s">
        <v>8</v>
      </c>
      <c r="H43" s="15" t="s">
        <v>9</v>
      </c>
      <c r="I43" s="15" t="s">
        <v>10</v>
      </c>
      <c r="J43" s="15" t="s">
        <v>11</v>
      </c>
      <c r="K43" s="16" t="s">
        <v>12</v>
      </c>
      <c r="L43" s="89" t="s">
        <v>13</v>
      </c>
      <c r="M43" s="90"/>
      <c r="N43" s="17" t="s">
        <v>14</v>
      </c>
    </row>
    <row r="44" spans="1:14" s="18" customFormat="1" ht="24" hidden="1" customHeight="1" thickTop="1" x14ac:dyDescent="0.3">
      <c r="A44" s="19"/>
      <c r="B44" s="19"/>
      <c r="C44" s="39" t="s">
        <v>41</v>
      </c>
      <c r="D44" s="40"/>
      <c r="E44" s="41"/>
      <c r="F44" s="42"/>
      <c r="G44" s="43"/>
      <c r="H44" s="44"/>
      <c r="I44" s="43"/>
      <c r="J44" s="43"/>
      <c r="K44" s="25"/>
      <c r="L44" s="26"/>
      <c r="M44" s="27"/>
      <c r="N44" s="28">
        <f>N39</f>
        <v>34625693</v>
      </c>
    </row>
    <row r="45" spans="1:14" s="18" customFormat="1" ht="24" hidden="1" customHeight="1" x14ac:dyDescent="0.3">
      <c r="A45" s="19">
        <v>1</v>
      </c>
      <c r="B45" s="19">
        <v>2</v>
      </c>
      <c r="C45" s="29" t="s">
        <v>42</v>
      </c>
      <c r="D45" s="21"/>
      <c r="E45" s="19"/>
      <c r="F45" s="22"/>
      <c r="G45" s="23"/>
      <c r="H45" s="24"/>
      <c r="I45" s="23"/>
      <c r="J45" s="23"/>
      <c r="K45" s="32"/>
      <c r="L45" s="33"/>
      <c r="M45" s="34"/>
      <c r="N45" s="35">
        <f>N44+J45+K45</f>
        <v>34625693</v>
      </c>
    </row>
    <row r="46" spans="1:14" s="18" customFormat="1" ht="24" hidden="1" customHeight="1" x14ac:dyDescent="0.3">
      <c r="A46" s="19"/>
      <c r="B46" s="19"/>
      <c r="C46" s="29" t="s">
        <v>43</v>
      </c>
      <c r="D46" s="21"/>
      <c r="E46" s="30"/>
      <c r="F46" s="31"/>
      <c r="G46" s="23"/>
      <c r="H46" s="23">
        <v>280000</v>
      </c>
      <c r="I46" s="23">
        <f>H46*0.1</f>
        <v>28000</v>
      </c>
      <c r="J46" s="23">
        <f>SUM(H46:I46)</f>
        <v>308000</v>
      </c>
      <c r="K46" s="32"/>
      <c r="L46" s="33"/>
      <c r="M46" s="34"/>
      <c r="N46" s="35">
        <f>N45+J46+K46</f>
        <v>34933693</v>
      </c>
    </row>
    <row r="47" spans="1:14" s="18" customFormat="1" ht="24" hidden="1" customHeight="1" x14ac:dyDescent="0.3">
      <c r="A47" s="19"/>
      <c r="B47" s="19">
        <v>2</v>
      </c>
      <c r="C47" s="29" t="s">
        <v>44</v>
      </c>
      <c r="D47" s="37"/>
      <c r="E47" s="19"/>
      <c r="F47" s="22"/>
      <c r="G47" s="23"/>
      <c r="H47" s="24"/>
      <c r="I47" s="23"/>
      <c r="J47" s="23"/>
      <c r="K47" s="32"/>
      <c r="L47" s="33"/>
      <c r="M47" s="34"/>
      <c r="N47" s="35">
        <f t="shared" ref="N47:N78" si="7">N46+J47+K47</f>
        <v>34933693</v>
      </c>
    </row>
    <row r="48" spans="1:14" s="18" customFormat="1" ht="24" hidden="1" customHeight="1" x14ac:dyDescent="0.3">
      <c r="A48" s="19"/>
      <c r="B48" s="19"/>
      <c r="C48" s="29" t="s">
        <v>45</v>
      </c>
      <c r="D48" s="21"/>
      <c r="E48" s="19"/>
      <c r="F48" s="22"/>
      <c r="G48" s="23"/>
      <c r="H48" s="24">
        <v>120000</v>
      </c>
      <c r="I48" s="23">
        <f>H48*0.1</f>
        <v>12000</v>
      </c>
      <c r="J48" s="23">
        <f>SUM(H48:I48)</f>
        <v>132000</v>
      </c>
      <c r="K48" s="32"/>
      <c r="L48" s="33"/>
      <c r="M48" s="34"/>
      <c r="N48" s="35">
        <f t="shared" si="7"/>
        <v>35065693</v>
      </c>
    </row>
    <row r="49" spans="1:14" s="18" customFormat="1" ht="24" hidden="1" customHeight="1" x14ac:dyDescent="0.3">
      <c r="A49" s="19"/>
      <c r="B49" s="19">
        <v>3</v>
      </c>
      <c r="C49" s="29" t="s">
        <v>20</v>
      </c>
      <c r="D49" s="21"/>
      <c r="E49" s="19"/>
      <c r="F49" s="22"/>
      <c r="G49" s="23"/>
      <c r="H49" s="24"/>
      <c r="I49" s="23"/>
      <c r="J49" s="23"/>
      <c r="K49" s="32"/>
      <c r="L49" s="33"/>
      <c r="M49" s="34"/>
      <c r="N49" s="35">
        <f t="shared" si="7"/>
        <v>35065693</v>
      </c>
    </row>
    <row r="50" spans="1:14" s="18" customFormat="1" ht="24" hidden="1" customHeight="1" x14ac:dyDescent="0.3">
      <c r="A50" s="19"/>
      <c r="B50" s="19"/>
      <c r="C50" s="36" t="s">
        <v>21</v>
      </c>
      <c r="D50" s="21"/>
      <c r="E50" s="19">
        <v>4</v>
      </c>
      <c r="F50" s="22">
        <v>62.9</v>
      </c>
      <c r="G50" s="23">
        <f>2350+700+1070+250+330</f>
        <v>4700</v>
      </c>
      <c r="H50" s="24">
        <f t="shared" ref="H50" si="8">F50*G50</f>
        <v>295630</v>
      </c>
      <c r="I50" s="23">
        <v>0</v>
      </c>
      <c r="J50" s="23">
        <f t="shared" ref="J50" si="9">SUM(H50:I50)</f>
        <v>295630</v>
      </c>
      <c r="K50" s="32"/>
      <c r="L50" s="33"/>
      <c r="M50" s="34"/>
      <c r="N50" s="35">
        <f t="shared" si="7"/>
        <v>35361323</v>
      </c>
    </row>
    <row r="51" spans="1:14" s="18" customFormat="1" ht="24" hidden="1" customHeight="1" x14ac:dyDescent="0.3">
      <c r="A51" s="19"/>
      <c r="B51" s="19">
        <v>3</v>
      </c>
      <c r="C51" s="29" t="s">
        <v>37</v>
      </c>
      <c r="D51" s="21"/>
      <c r="E51" s="19"/>
      <c r="F51" s="22"/>
      <c r="G51" s="23"/>
      <c r="H51" s="24"/>
      <c r="I51" s="23"/>
      <c r="J51" s="23"/>
      <c r="K51" s="32"/>
      <c r="L51" s="33"/>
      <c r="M51" s="34"/>
      <c r="N51" s="35">
        <f t="shared" si="7"/>
        <v>35361323</v>
      </c>
    </row>
    <row r="52" spans="1:14" s="18" customFormat="1" ht="24" hidden="1" customHeight="1" x14ac:dyDescent="0.3">
      <c r="A52" s="19"/>
      <c r="B52" s="19"/>
      <c r="C52" s="29" t="s">
        <v>46</v>
      </c>
      <c r="D52" s="21"/>
      <c r="E52" s="19">
        <v>4</v>
      </c>
      <c r="F52" s="22">
        <v>53.3</v>
      </c>
      <c r="G52" s="23">
        <v>2200</v>
      </c>
      <c r="H52" s="24">
        <f t="shared" ref="H52" si="10">F52*G52</f>
        <v>117260</v>
      </c>
      <c r="I52" s="23">
        <v>0</v>
      </c>
      <c r="J52" s="23">
        <f t="shared" ref="J52" si="11">SUM(H52:I52)</f>
        <v>117260</v>
      </c>
      <c r="K52" s="32"/>
      <c r="L52" s="33"/>
      <c r="M52" s="34"/>
      <c r="N52" s="35">
        <f t="shared" si="7"/>
        <v>35478583</v>
      </c>
    </row>
    <row r="53" spans="1:14" s="18" customFormat="1" ht="24" hidden="1" customHeight="1" x14ac:dyDescent="0.3">
      <c r="A53" s="19"/>
      <c r="B53" s="19">
        <v>3</v>
      </c>
      <c r="C53" s="29" t="s">
        <v>47</v>
      </c>
      <c r="D53" s="21"/>
      <c r="E53" s="19"/>
      <c r="F53" s="22"/>
      <c r="G53" s="23"/>
      <c r="H53" s="24"/>
      <c r="I53" s="23"/>
      <c r="J53" s="23"/>
      <c r="K53" s="32"/>
      <c r="L53" s="33"/>
      <c r="M53" s="34"/>
      <c r="N53" s="35">
        <f t="shared" si="7"/>
        <v>35478583</v>
      </c>
    </row>
    <row r="54" spans="1:14" s="18" customFormat="1" ht="24" hidden="1" customHeight="1" x14ac:dyDescent="0.3">
      <c r="A54" s="19"/>
      <c r="B54" s="19"/>
      <c r="C54" s="36" t="s">
        <v>48</v>
      </c>
      <c r="D54" s="21"/>
      <c r="E54" s="19">
        <v>20</v>
      </c>
      <c r="F54" s="22">
        <v>299.39999999999998</v>
      </c>
      <c r="G54" s="23">
        <f>2350+700+1070+250</f>
        <v>4370</v>
      </c>
      <c r="H54" s="24">
        <f t="shared" ref="H54:H55" si="12">F54*G54</f>
        <v>1308378</v>
      </c>
      <c r="I54" s="23">
        <v>0</v>
      </c>
      <c r="J54" s="23">
        <f t="shared" ref="J54:J55" si="13">SUM(H54:I54)</f>
        <v>1308378</v>
      </c>
      <c r="K54" s="32"/>
      <c r="L54" s="33"/>
      <c r="M54" s="34"/>
      <c r="N54" s="35">
        <f t="shared" si="7"/>
        <v>36786961</v>
      </c>
    </row>
    <row r="55" spans="1:14" s="18" customFormat="1" ht="24" hidden="1" customHeight="1" x14ac:dyDescent="0.3">
      <c r="A55" s="19"/>
      <c r="B55" s="19"/>
      <c r="C55" s="36" t="s">
        <v>49</v>
      </c>
      <c r="D55" s="37"/>
      <c r="E55" s="19">
        <v>8</v>
      </c>
      <c r="F55" s="22">
        <v>49.7</v>
      </c>
      <c r="G55" s="23">
        <f>2350+700+500+1070+250</f>
        <v>4870</v>
      </c>
      <c r="H55" s="24">
        <f t="shared" si="12"/>
        <v>242039</v>
      </c>
      <c r="I55" s="23">
        <v>0</v>
      </c>
      <c r="J55" s="23">
        <f t="shared" si="13"/>
        <v>242039</v>
      </c>
      <c r="K55" s="32"/>
      <c r="L55" s="33"/>
      <c r="M55" s="34"/>
      <c r="N55" s="35">
        <f t="shared" si="7"/>
        <v>37029000</v>
      </c>
    </row>
    <row r="56" spans="1:14" s="18" customFormat="1" ht="24" hidden="1" customHeight="1" x14ac:dyDescent="0.3">
      <c r="A56" s="19"/>
      <c r="B56" s="19">
        <v>6</v>
      </c>
      <c r="C56" s="29" t="s">
        <v>50</v>
      </c>
      <c r="D56" s="21"/>
      <c r="E56" s="19"/>
      <c r="F56" s="22"/>
      <c r="G56" s="23"/>
      <c r="H56" s="24"/>
      <c r="I56" s="23"/>
      <c r="J56" s="23"/>
      <c r="K56" s="32"/>
      <c r="L56" s="33"/>
      <c r="M56" s="34"/>
      <c r="N56" s="35">
        <f t="shared" si="7"/>
        <v>37029000</v>
      </c>
    </row>
    <row r="57" spans="1:14" s="18" customFormat="1" ht="24" hidden="1" customHeight="1" x14ac:dyDescent="0.3">
      <c r="A57" s="19"/>
      <c r="B57" s="19"/>
      <c r="C57" s="29" t="s">
        <v>51</v>
      </c>
      <c r="D57" s="21"/>
      <c r="E57" s="19">
        <v>54</v>
      </c>
      <c r="F57" s="22">
        <v>488.3</v>
      </c>
      <c r="G57" s="23">
        <f>700+1080+980</f>
        <v>2760</v>
      </c>
      <c r="H57" s="24">
        <f t="shared" ref="H57:H61" si="14">F57*G57</f>
        <v>1347708</v>
      </c>
      <c r="I57" s="23">
        <v>0</v>
      </c>
      <c r="J57" s="23">
        <f t="shared" ref="J57:J61" si="15">SUM(H57:I57)</f>
        <v>1347708</v>
      </c>
      <c r="K57" s="32"/>
      <c r="L57" s="33"/>
      <c r="M57" s="34"/>
      <c r="N57" s="35">
        <f t="shared" si="7"/>
        <v>38376708</v>
      </c>
    </row>
    <row r="58" spans="1:14" s="18" customFormat="1" ht="24" hidden="1" customHeight="1" x14ac:dyDescent="0.3">
      <c r="A58" s="19"/>
      <c r="B58" s="19"/>
      <c r="C58" s="29" t="s">
        <v>52</v>
      </c>
      <c r="D58" s="37"/>
      <c r="E58" s="19">
        <v>54</v>
      </c>
      <c r="F58" s="22">
        <v>488.3</v>
      </c>
      <c r="G58" s="23">
        <f>950+1080+980</f>
        <v>3010</v>
      </c>
      <c r="H58" s="24">
        <f t="shared" si="14"/>
        <v>1469783</v>
      </c>
      <c r="I58" s="23">
        <v>0</v>
      </c>
      <c r="J58" s="23">
        <f t="shared" si="15"/>
        <v>1469783</v>
      </c>
      <c r="K58" s="32"/>
      <c r="L58" s="33"/>
      <c r="M58" s="34"/>
      <c r="N58" s="35">
        <f t="shared" si="7"/>
        <v>39846491</v>
      </c>
    </row>
    <row r="59" spans="1:14" s="18" customFormat="1" ht="24" hidden="1" customHeight="1" x14ac:dyDescent="0.3">
      <c r="A59" s="19"/>
      <c r="B59" s="19"/>
      <c r="C59" s="29" t="s">
        <v>53</v>
      </c>
      <c r="D59" s="21"/>
      <c r="E59" s="19">
        <v>14</v>
      </c>
      <c r="F59" s="22">
        <v>155</v>
      </c>
      <c r="G59" s="23">
        <f>950+1080+1070+250</f>
        <v>3350</v>
      </c>
      <c r="H59" s="24">
        <f t="shared" si="14"/>
        <v>519250</v>
      </c>
      <c r="I59" s="23">
        <v>0</v>
      </c>
      <c r="J59" s="23">
        <f t="shared" si="15"/>
        <v>519250</v>
      </c>
      <c r="K59" s="32"/>
      <c r="L59" s="33"/>
      <c r="M59" s="34"/>
      <c r="N59" s="35">
        <f t="shared" si="7"/>
        <v>40365741</v>
      </c>
    </row>
    <row r="60" spans="1:14" s="18" customFormat="1" ht="24" hidden="1" customHeight="1" x14ac:dyDescent="0.3">
      <c r="A60" s="19"/>
      <c r="B60" s="19"/>
      <c r="C60" s="36" t="s">
        <v>54</v>
      </c>
      <c r="D60" s="21"/>
      <c r="E60" s="19">
        <v>5</v>
      </c>
      <c r="F60" s="22">
        <v>42.4</v>
      </c>
      <c r="G60" s="23">
        <f>700+500+1080+1070+250</f>
        <v>3600</v>
      </c>
      <c r="H60" s="24">
        <f t="shared" si="14"/>
        <v>152640</v>
      </c>
      <c r="I60" s="23">
        <v>0</v>
      </c>
      <c r="J60" s="23">
        <f t="shared" si="15"/>
        <v>152640</v>
      </c>
      <c r="K60" s="32"/>
      <c r="L60" s="33"/>
      <c r="M60" s="34"/>
      <c r="N60" s="35">
        <f t="shared" si="7"/>
        <v>40518381</v>
      </c>
    </row>
    <row r="61" spans="1:14" s="18" customFormat="1" ht="24" hidden="1" customHeight="1" x14ac:dyDescent="0.3">
      <c r="A61" s="19"/>
      <c r="B61" s="19"/>
      <c r="C61" s="29" t="s">
        <v>55</v>
      </c>
      <c r="D61" s="21"/>
      <c r="E61" s="19">
        <v>8</v>
      </c>
      <c r="F61" s="22">
        <v>48</v>
      </c>
      <c r="G61" s="23">
        <v>4100</v>
      </c>
      <c r="H61" s="24">
        <f t="shared" si="14"/>
        <v>196800</v>
      </c>
      <c r="I61" s="23">
        <v>0</v>
      </c>
      <c r="J61" s="23">
        <f t="shared" si="15"/>
        <v>196800</v>
      </c>
      <c r="K61" s="32"/>
      <c r="L61" s="33"/>
      <c r="M61" s="34"/>
      <c r="N61" s="35">
        <f t="shared" si="7"/>
        <v>40715181</v>
      </c>
    </row>
    <row r="62" spans="1:14" s="18" customFormat="1" ht="24" hidden="1" customHeight="1" x14ac:dyDescent="0.3">
      <c r="A62" s="19"/>
      <c r="B62" s="19">
        <v>6</v>
      </c>
      <c r="C62" s="29" t="s">
        <v>56</v>
      </c>
      <c r="D62" s="21"/>
      <c r="E62" s="19"/>
      <c r="F62" s="22"/>
      <c r="G62" s="23"/>
      <c r="H62" s="24"/>
      <c r="I62" s="23"/>
      <c r="J62" s="23"/>
      <c r="K62" s="32"/>
      <c r="L62" s="33"/>
      <c r="M62" s="34"/>
      <c r="N62" s="35">
        <f t="shared" si="7"/>
        <v>40715181</v>
      </c>
    </row>
    <row r="63" spans="1:14" s="18" customFormat="1" ht="24" hidden="1" customHeight="1" x14ac:dyDescent="0.3">
      <c r="A63" s="19"/>
      <c r="B63" s="19"/>
      <c r="C63" s="36" t="s">
        <v>57</v>
      </c>
      <c r="D63" s="37"/>
      <c r="E63" s="19">
        <v>3</v>
      </c>
      <c r="F63" s="22">
        <v>47.5</v>
      </c>
      <c r="G63" s="23">
        <f>2350+2000+1070+250+330</f>
        <v>6000</v>
      </c>
      <c r="H63" s="24">
        <f t="shared" ref="H63" si="16">F63*G63</f>
        <v>285000</v>
      </c>
      <c r="I63" s="23">
        <v>0</v>
      </c>
      <c r="J63" s="23">
        <f t="shared" ref="J63" si="17">SUM(H63:I63)</f>
        <v>285000</v>
      </c>
      <c r="K63" s="32"/>
      <c r="L63" s="33"/>
      <c r="M63" s="34"/>
      <c r="N63" s="35">
        <f t="shared" si="7"/>
        <v>41000181</v>
      </c>
    </row>
    <row r="64" spans="1:14" s="18" customFormat="1" ht="24" hidden="1" customHeight="1" x14ac:dyDescent="0.3">
      <c r="A64" s="19"/>
      <c r="B64" s="19">
        <v>6</v>
      </c>
      <c r="C64" s="29" t="s">
        <v>58</v>
      </c>
      <c r="D64" s="21"/>
      <c r="E64" s="19"/>
      <c r="F64" s="22"/>
      <c r="G64" s="23"/>
      <c r="H64" s="24"/>
      <c r="I64" s="23"/>
      <c r="J64" s="23"/>
      <c r="K64" s="32"/>
      <c r="L64" s="33"/>
      <c r="M64" s="34"/>
      <c r="N64" s="35">
        <f t="shared" si="7"/>
        <v>41000181</v>
      </c>
    </row>
    <row r="65" spans="1:14" s="18" customFormat="1" ht="24" hidden="1" customHeight="1" x14ac:dyDescent="0.3">
      <c r="A65" s="19"/>
      <c r="B65" s="19"/>
      <c r="C65" s="36" t="s">
        <v>21</v>
      </c>
      <c r="D65" s="37" t="s">
        <v>59</v>
      </c>
      <c r="E65" s="19">
        <v>38</v>
      </c>
      <c r="F65" s="22">
        <v>496.4</v>
      </c>
      <c r="G65" s="23">
        <v>7050</v>
      </c>
      <c r="H65" s="24">
        <f t="shared" ref="H65" si="18">F65*G65</f>
        <v>3499620</v>
      </c>
      <c r="I65" s="23">
        <v>0</v>
      </c>
      <c r="J65" s="23">
        <f t="shared" ref="J65" si="19">SUM(H65:I65)</f>
        <v>3499620</v>
      </c>
      <c r="K65" s="32"/>
      <c r="L65" s="33"/>
      <c r="M65" s="34"/>
      <c r="N65" s="35">
        <f t="shared" si="7"/>
        <v>44499801</v>
      </c>
    </row>
    <row r="66" spans="1:14" s="18" customFormat="1" ht="24" hidden="1" customHeight="1" x14ac:dyDescent="0.3">
      <c r="A66" s="19"/>
      <c r="B66" s="19">
        <v>6</v>
      </c>
      <c r="C66" s="29" t="s">
        <v>60</v>
      </c>
      <c r="D66" s="21"/>
      <c r="E66" s="19"/>
      <c r="F66" s="22"/>
      <c r="G66" s="23"/>
      <c r="H66" s="24"/>
      <c r="I66" s="23"/>
      <c r="J66" s="23"/>
      <c r="K66" s="32"/>
      <c r="L66" s="33"/>
      <c r="M66" s="34"/>
      <c r="N66" s="35">
        <f t="shared" si="7"/>
        <v>44499801</v>
      </c>
    </row>
    <row r="67" spans="1:14" s="18" customFormat="1" ht="24" hidden="1" customHeight="1" x14ac:dyDescent="0.3">
      <c r="A67" s="19"/>
      <c r="B67" s="19"/>
      <c r="C67" s="36" t="s">
        <v>61</v>
      </c>
      <c r="D67" s="37"/>
      <c r="E67" s="19">
        <v>413</v>
      </c>
      <c r="F67" s="22">
        <v>5414.1</v>
      </c>
      <c r="G67" s="23">
        <f>2350+2350+700+1070+1070+250+250+330+330</f>
        <v>8700</v>
      </c>
      <c r="H67" s="24">
        <f t="shared" ref="H67:H68" si="20">F67*G67</f>
        <v>47102670</v>
      </c>
      <c r="I67" s="23">
        <v>0</v>
      </c>
      <c r="J67" s="23">
        <f t="shared" ref="J67:J68" si="21">SUM(H67:I67)</f>
        <v>47102670</v>
      </c>
      <c r="K67" s="32"/>
      <c r="L67" s="33"/>
      <c r="M67" s="34"/>
      <c r="N67" s="35">
        <f t="shared" si="7"/>
        <v>91602471</v>
      </c>
    </row>
    <row r="68" spans="1:14" s="18" customFormat="1" ht="24" hidden="1" customHeight="1" x14ac:dyDescent="0.3">
      <c r="A68" s="19"/>
      <c r="B68" s="19"/>
      <c r="C68" s="36" t="s">
        <v>21</v>
      </c>
      <c r="D68" s="21"/>
      <c r="E68" s="19">
        <v>3</v>
      </c>
      <c r="F68" s="22">
        <v>69.3</v>
      </c>
      <c r="G68" s="23">
        <f>2350+700+1070+250+330</f>
        <v>4700</v>
      </c>
      <c r="H68" s="24">
        <f t="shared" si="20"/>
        <v>325710</v>
      </c>
      <c r="I68" s="23">
        <v>0</v>
      </c>
      <c r="J68" s="23">
        <f t="shared" si="21"/>
        <v>325710</v>
      </c>
      <c r="K68" s="32"/>
      <c r="L68" s="33"/>
      <c r="M68" s="34"/>
      <c r="N68" s="35">
        <f t="shared" si="7"/>
        <v>91928181</v>
      </c>
    </row>
    <row r="69" spans="1:14" s="18" customFormat="1" ht="24" hidden="1" customHeight="1" x14ac:dyDescent="0.3">
      <c r="A69" s="19"/>
      <c r="B69" s="19">
        <v>6</v>
      </c>
      <c r="C69" s="29" t="s">
        <v>62</v>
      </c>
      <c r="D69" s="21"/>
      <c r="E69" s="19"/>
      <c r="F69" s="22"/>
      <c r="G69" s="23"/>
      <c r="H69" s="24"/>
      <c r="I69" s="23"/>
      <c r="J69" s="23"/>
      <c r="K69" s="32"/>
      <c r="L69" s="33"/>
      <c r="M69" s="34"/>
      <c r="N69" s="38">
        <f t="shared" si="7"/>
        <v>91928181</v>
      </c>
    </row>
    <row r="70" spans="1:14" s="18" customFormat="1" ht="24" hidden="1" customHeight="1" x14ac:dyDescent="0.3">
      <c r="A70" s="19"/>
      <c r="B70" s="19"/>
      <c r="C70" s="36" t="s">
        <v>63</v>
      </c>
      <c r="D70" s="21"/>
      <c r="E70" s="19">
        <v>28</v>
      </c>
      <c r="F70" s="22">
        <v>1039.0999999999999</v>
      </c>
      <c r="G70" s="23">
        <f>2650+2650+1000+980+980+250+250+280+280</f>
        <v>9320</v>
      </c>
      <c r="H70" s="24">
        <f t="shared" ref="H70" si="22">F70*G70</f>
        <v>9684412</v>
      </c>
      <c r="I70" s="23">
        <v>0</v>
      </c>
      <c r="J70" s="23">
        <f t="shared" ref="J70" si="23">SUM(H70:I70)</f>
        <v>9684412</v>
      </c>
      <c r="K70" s="32"/>
      <c r="L70" s="33"/>
      <c r="M70" s="34"/>
      <c r="N70" s="38">
        <f t="shared" si="7"/>
        <v>101612593</v>
      </c>
    </row>
    <row r="71" spans="1:14" s="18" customFormat="1" ht="24" hidden="1" customHeight="1" x14ac:dyDescent="0.3">
      <c r="A71" s="19"/>
      <c r="B71" s="19">
        <v>6</v>
      </c>
      <c r="C71" s="29" t="s">
        <v>35</v>
      </c>
      <c r="D71" s="37"/>
      <c r="E71" s="19"/>
      <c r="F71" s="22"/>
      <c r="G71" s="23"/>
      <c r="H71" s="24"/>
      <c r="I71" s="23"/>
      <c r="J71" s="23"/>
      <c r="K71" s="32"/>
      <c r="L71" s="33"/>
      <c r="M71" s="34"/>
      <c r="N71" s="38">
        <f t="shared" si="7"/>
        <v>101612593</v>
      </c>
    </row>
    <row r="72" spans="1:14" s="18" customFormat="1" ht="24" hidden="1" customHeight="1" x14ac:dyDescent="0.3">
      <c r="A72" s="19"/>
      <c r="B72" s="19"/>
      <c r="C72" s="36" t="s">
        <v>21</v>
      </c>
      <c r="D72" s="21"/>
      <c r="E72" s="19">
        <v>3</v>
      </c>
      <c r="F72" s="22">
        <v>74.5</v>
      </c>
      <c r="G72" s="23">
        <f>2350+700+1070+250+330</f>
        <v>4700</v>
      </c>
      <c r="H72" s="24">
        <f t="shared" ref="H72" si="24">F72*G72</f>
        <v>350150</v>
      </c>
      <c r="I72" s="23">
        <v>0</v>
      </c>
      <c r="J72" s="23">
        <f t="shared" ref="J72" si="25">SUM(H72:I72)</f>
        <v>350150</v>
      </c>
      <c r="K72" s="32"/>
      <c r="L72" s="33"/>
      <c r="M72" s="34"/>
      <c r="N72" s="38">
        <f t="shared" si="7"/>
        <v>101962743</v>
      </c>
    </row>
    <row r="73" spans="1:14" s="18" customFormat="1" ht="24" hidden="1" customHeight="1" x14ac:dyDescent="0.3">
      <c r="A73" s="19"/>
      <c r="B73" s="19">
        <v>6</v>
      </c>
      <c r="C73" s="29" t="s">
        <v>64</v>
      </c>
      <c r="D73" s="21"/>
      <c r="E73" s="19"/>
      <c r="F73" s="22"/>
      <c r="G73" s="23"/>
      <c r="H73" s="24"/>
      <c r="I73" s="23"/>
      <c r="J73" s="23"/>
      <c r="K73" s="32"/>
      <c r="L73" s="33"/>
      <c r="M73" s="34"/>
      <c r="N73" s="38">
        <f t="shared" si="7"/>
        <v>101962743</v>
      </c>
    </row>
    <row r="74" spans="1:14" s="18" customFormat="1" ht="24" hidden="1" customHeight="1" x14ac:dyDescent="0.3">
      <c r="A74" s="19"/>
      <c r="B74" s="19"/>
      <c r="C74" s="45" t="s">
        <v>23</v>
      </c>
      <c r="D74" s="21"/>
      <c r="E74" s="19">
        <v>55</v>
      </c>
      <c r="F74" s="22">
        <v>491.1</v>
      </c>
      <c r="G74" s="23">
        <f>2350+100+700+1070+250+330</f>
        <v>4800</v>
      </c>
      <c r="H74" s="24">
        <f t="shared" ref="H74" si="26">F74*G74</f>
        <v>2357280</v>
      </c>
      <c r="I74" s="23">
        <v>0</v>
      </c>
      <c r="J74" s="23">
        <f t="shared" ref="J74" si="27">SUM(H74:I74)</f>
        <v>2357280</v>
      </c>
      <c r="K74" s="32"/>
      <c r="L74" s="33"/>
      <c r="M74" s="34"/>
      <c r="N74" s="38">
        <f t="shared" si="7"/>
        <v>104320023</v>
      </c>
    </row>
    <row r="75" spans="1:14" s="18" customFormat="1" ht="24" hidden="1" customHeight="1" x14ac:dyDescent="0.3">
      <c r="A75" s="19"/>
      <c r="B75" s="19">
        <v>6</v>
      </c>
      <c r="C75" s="29" t="s">
        <v>65</v>
      </c>
      <c r="D75" s="37"/>
      <c r="E75" s="19"/>
      <c r="F75" s="22"/>
      <c r="G75" s="23"/>
      <c r="H75" s="24"/>
      <c r="I75" s="23"/>
      <c r="J75" s="23"/>
      <c r="K75" s="32"/>
      <c r="L75" s="33"/>
      <c r="M75" s="34"/>
      <c r="N75" s="38">
        <f t="shared" si="7"/>
        <v>104320023</v>
      </c>
    </row>
    <row r="76" spans="1:14" s="18" customFormat="1" ht="24" hidden="1" customHeight="1" x14ac:dyDescent="0.3">
      <c r="A76" s="19"/>
      <c r="B76" s="19"/>
      <c r="C76" s="36" t="s">
        <v>21</v>
      </c>
      <c r="D76" s="21"/>
      <c r="E76" s="19">
        <v>4</v>
      </c>
      <c r="F76" s="22">
        <v>78.7</v>
      </c>
      <c r="G76" s="23">
        <f>2350+700+1070+250+330</f>
        <v>4700</v>
      </c>
      <c r="H76" s="24">
        <f t="shared" ref="H76" si="28">F76*G76</f>
        <v>369890</v>
      </c>
      <c r="I76" s="23">
        <v>0</v>
      </c>
      <c r="J76" s="23">
        <f t="shared" ref="J76" si="29">SUM(H76:I76)</f>
        <v>369890</v>
      </c>
      <c r="K76" s="32"/>
      <c r="L76" s="33"/>
      <c r="M76" s="34"/>
      <c r="N76" s="38">
        <f t="shared" si="7"/>
        <v>104689913</v>
      </c>
    </row>
    <row r="77" spans="1:14" s="18" customFormat="1" ht="24" hidden="1" customHeight="1" x14ac:dyDescent="0.3">
      <c r="A77" s="19"/>
      <c r="B77" s="19">
        <v>6</v>
      </c>
      <c r="C77" s="29" t="s">
        <v>66</v>
      </c>
      <c r="D77" s="21"/>
      <c r="E77" s="19"/>
      <c r="F77" s="22"/>
      <c r="G77" s="23"/>
      <c r="H77" s="24"/>
      <c r="I77" s="23"/>
      <c r="J77" s="23"/>
      <c r="K77" s="32"/>
      <c r="L77" s="33"/>
      <c r="M77" s="34"/>
      <c r="N77" s="38">
        <f t="shared" si="7"/>
        <v>104689913</v>
      </c>
    </row>
    <row r="78" spans="1:14" s="18" customFormat="1" ht="24" hidden="1" customHeight="1" x14ac:dyDescent="0.3">
      <c r="A78" s="19"/>
      <c r="B78" s="19"/>
      <c r="C78" s="29" t="s">
        <v>67</v>
      </c>
      <c r="D78" s="21"/>
      <c r="E78" s="19">
        <v>42</v>
      </c>
      <c r="F78" s="22">
        <v>373.3</v>
      </c>
      <c r="G78" s="23">
        <f>700+700+1070</f>
        <v>2470</v>
      </c>
      <c r="H78" s="24">
        <f t="shared" ref="H78" si="30">F78*G78</f>
        <v>922051</v>
      </c>
      <c r="I78" s="23">
        <v>0</v>
      </c>
      <c r="J78" s="23">
        <f t="shared" ref="J78" si="31">SUM(H78:I78)</f>
        <v>922051</v>
      </c>
      <c r="K78" s="32"/>
      <c r="L78" s="33"/>
      <c r="M78" s="34"/>
      <c r="N78" s="38">
        <f t="shared" si="7"/>
        <v>105611964</v>
      </c>
    </row>
    <row r="79" spans="1:14" s="2" customFormat="1" ht="27" hidden="1" customHeight="1" thickBot="1" x14ac:dyDescent="0.35">
      <c r="A79" s="1"/>
      <c r="B79" s="1"/>
      <c r="C79" s="1"/>
      <c r="E79" s="86" t="s">
        <v>0</v>
      </c>
      <c r="F79" s="86"/>
      <c r="G79" s="86"/>
      <c r="H79" s="86"/>
      <c r="I79" s="86"/>
      <c r="J79" s="86"/>
      <c r="K79" s="1"/>
      <c r="L79" s="3"/>
      <c r="M79" s="3"/>
      <c r="N79" s="1"/>
    </row>
    <row r="80" spans="1:14" s="2" customFormat="1" ht="24" hidden="1" customHeight="1" thickTop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3"/>
      <c r="M80" s="3"/>
      <c r="N80" s="1"/>
    </row>
    <row r="81" spans="1:14" s="2" customFormat="1" ht="24" hidden="1" customHeight="1" thickBot="1" x14ac:dyDescent="0.35">
      <c r="A81" s="2" t="s">
        <v>1</v>
      </c>
      <c r="C81" s="4"/>
      <c r="D81" s="4"/>
      <c r="E81" s="5"/>
      <c r="F81" s="6"/>
      <c r="G81" s="7"/>
      <c r="H81" s="7"/>
      <c r="I81" s="7"/>
      <c r="J81" s="8"/>
      <c r="K81" s="9"/>
      <c r="L81" s="10"/>
      <c r="M81" s="11"/>
      <c r="N81" s="12" t="s">
        <v>2</v>
      </c>
    </row>
    <row r="82" spans="1:14" s="18" customFormat="1" ht="24" hidden="1" customHeight="1" thickTop="1" thickBot="1" x14ac:dyDescent="0.35">
      <c r="A82" s="13" t="s">
        <v>3</v>
      </c>
      <c r="B82" s="13" t="s">
        <v>4</v>
      </c>
      <c r="C82" s="87" t="s">
        <v>5</v>
      </c>
      <c r="D82" s="88"/>
      <c r="E82" s="13" t="s">
        <v>6</v>
      </c>
      <c r="F82" s="14" t="s">
        <v>7</v>
      </c>
      <c r="G82" s="15" t="s">
        <v>8</v>
      </c>
      <c r="H82" s="15" t="s">
        <v>9</v>
      </c>
      <c r="I82" s="15" t="s">
        <v>10</v>
      </c>
      <c r="J82" s="15" t="s">
        <v>11</v>
      </c>
      <c r="K82" s="16" t="s">
        <v>12</v>
      </c>
      <c r="L82" s="89" t="s">
        <v>13</v>
      </c>
      <c r="M82" s="90"/>
      <c r="N82" s="17" t="s">
        <v>14</v>
      </c>
    </row>
    <row r="83" spans="1:14" s="18" customFormat="1" ht="24" hidden="1" customHeight="1" thickTop="1" x14ac:dyDescent="0.3">
      <c r="A83" s="19"/>
      <c r="B83" s="19"/>
      <c r="C83" s="39" t="s">
        <v>41</v>
      </c>
      <c r="D83" s="40"/>
      <c r="E83" s="41"/>
      <c r="F83" s="42"/>
      <c r="G83" s="43"/>
      <c r="H83" s="44"/>
      <c r="I83" s="43"/>
      <c r="J83" s="43"/>
      <c r="K83" s="25"/>
      <c r="L83" s="26"/>
      <c r="M83" s="27"/>
      <c r="N83" s="28">
        <f>N78</f>
        <v>105611964</v>
      </c>
    </row>
    <row r="84" spans="1:14" s="18" customFormat="1" ht="24" hidden="1" customHeight="1" x14ac:dyDescent="0.3">
      <c r="A84" s="19">
        <v>1</v>
      </c>
      <c r="B84" s="19">
        <v>6</v>
      </c>
      <c r="C84" s="29" t="s">
        <v>68</v>
      </c>
      <c r="D84" s="21"/>
      <c r="E84" s="19"/>
      <c r="F84" s="22"/>
      <c r="G84" s="23"/>
      <c r="H84" s="24"/>
      <c r="I84" s="23"/>
      <c r="J84" s="23"/>
      <c r="K84" s="32"/>
      <c r="L84" s="33"/>
      <c r="M84" s="34"/>
      <c r="N84" s="35">
        <f>N83+J84+K84</f>
        <v>105611964</v>
      </c>
    </row>
    <row r="85" spans="1:14" s="18" customFormat="1" ht="24" hidden="1" customHeight="1" x14ac:dyDescent="0.3">
      <c r="A85" s="19"/>
      <c r="B85" s="19"/>
      <c r="C85" s="29" t="s">
        <v>45</v>
      </c>
      <c r="D85" s="21"/>
      <c r="E85" s="30"/>
      <c r="F85" s="31"/>
      <c r="G85" s="23"/>
      <c r="H85" s="23">
        <v>140000</v>
      </c>
      <c r="I85" s="23">
        <f>H85*0.1</f>
        <v>14000</v>
      </c>
      <c r="J85" s="23">
        <f>SUM(H85:I85)</f>
        <v>154000</v>
      </c>
      <c r="K85" s="32"/>
      <c r="L85" s="33"/>
      <c r="M85" s="34"/>
      <c r="N85" s="35">
        <f>N84+J85+K85</f>
        <v>105765964</v>
      </c>
    </row>
    <row r="86" spans="1:14" s="18" customFormat="1" ht="24" hidden="1" customHeight="1" x14ac:dyDescent="0.3">
      <c r="A86" s="19"/>
      <c r="B86" s="19">
        <v>7</v>
      </c>
      <c r="C86" s="29" t="s">
        <v>69</v>
      </c>
      <c r="D86" s="37"/>
      <c r="E86" s="19"/>
      <c r="F86" s="22"/>
      <c r="G86" s="23"/>
      <c r="H86" s="24"/>
      <c r="I86" s="23"/>
      <c r="J86" s="23"/>
      <c r="K86" s="32"/>
      <c r="L86" s="33"/>
      <c r="M86" s="34"/>
      <c r="N86" s="35">
        <f t="shared" ref="N86:N117" si="32">N85+J86+K86</f>
        <v>105765964</v>
      </c>
    </row>
    <row r="87" spans="1:14" s="18" customFormat="1" ht="24" hidden="1" customHeight="1" x14ac:dyDescent="0.3">
      <c r="A87" s="19"/>
      <c r="B87" s="19"/>
      <c r="C87" s="36" t="s">
        <v>21</v>
      </c>
      <c r="D87" s="21"/>
      <c r="E87" s="19">
        <v>4</v>
      </c>
      <c r="F87" s="22">
        <v>62.2</v>
      </c>
      <c r="G87" s="23">
        <f>2350+700+1070+250+330</f>
        <v>4700</v>
      </c>
      <c r="H87" s="24">
        <f t="shared" ref="H87:H88" si="33">F87*G87</f>
        <v>292340</v>
      </c>
      <c r="I87" s="23">
        <v>0</v>
      </c>
      <c r="J87" s="23">
        <f t="shared" ref="J87:J88" si="34">SUM(H87:I87)</f>
        <v>292340</v>
      </c>
      <c r="K87" s="32"/>
      <c r="L87" s="33"/>
      <c r="M87" s="34"/>
      <c r="N87" s="35">
        <f t="shared" si="32"/>
        <v>106058304</v>
      </c>
    </row>
    <row r="88" spans="1:14" s="18" customFormat="1" ht="24" hidden="1" customHeight="1" x14ac:dyDescent="0.3">
      <c r="A88" s="19"/>
      <c r="B88" s="19"/>
      <c r="C88" s="36" t="s">
        <v>70</v>
      </c>
      <c r="D88" s="21"/>
      <c r="E88" s="19">
        <v>1</v>
      </c>
      <c r="F88" s="22">
        <v>24.3</v>
      </c>
      <c r="G88" s="23">
        <f>2350+700+500+1070+250+330</f>
        <v>5200</v>
      </c>
      <c r="H88" s="24">
        <f t="shared" si="33"/>
        <v>126360</v>
      </c>
      <c r="I88" s="23">
        <v>0</v>
      </c>
      <c r="J88" s="23">
        <f t="shared" si="34"/>
        <v>126360</v>
      </c>
      <c r="K88" s="32"/>
      <c r="L88" s="33"/>
      <c r="M88" s="34"/>
      <c r="N88" s="35">
        <f t="shared" si="32"/>
        <v>106184664</v>
      </c>
    </row>
    <row r="89" spans="1:14" s="18" customFormat="1" ht="24" hidden="1" customHeight="1" x14ac:dyDescent="0.3">
      <c r="A89" s="19"/>
      <c r="B89" s="19">
        <v>7</v>
      </c>
      <c r="C89" s="29" t="s">
        <v>50</v>
      </c>
      <c r="D89" s="21"/>
      <c r="E89" s="19"/>
      <c r="F89" s="22"/>
      <c r="G89" s="23"/>
      <c r="H89" s="24"/>
      <c r="I89" s="23"/>
      <c r="J89" s="23"/>
      <c r="K89" s="32"/>
      <c r="L89" s="33"/>
      <c r="M89" s="34"/>
      <c r="N89" s="35">
        <f t="shared" si="32"/>
        <v>106184664</v>
      </c>
    </row>
    <row r="90" spans="1:14" s="18" customFormat="1" ht="24" hidden="1" customHeight="1" x14ac:dyDescent="0.3">
      <c r="A90" s="19"/>
      <c r="B90" s="19"/>
      <c r="C90" s="29" t="s">
        <v>53</v>
      </c>
      <c r="D90" s="21"/>
      <c r="E90" s="19">
        <v>53</v>
      </c>
      <c r="F90" s="22">
        <v>659.3</v>
      </c>
      <c r="G90" s="23">
        <f>950+1080+1070+250</f>
        <v>3350</v>
      </c>
      <c r="H90" s="24">
        <f t="shared" ref="H90" si="35">F90*G90</f>
        <v>2208655</v>
      </c>
      <c r="I90" s="23">
        <v>0</v>
      </c>
      <c r="J90" s="23">
        <f t="shared" ref="J90" si="36">SUM(H90:I90)</f>
        <v>2208655</v>
      </c>
      <c r="K90" s="32"/>
      <c r="L90" s="33"/>
      <c r="M90" s="34"/>
      <c r="N90" s="35">
        <f t="shared" si="32"/>
        <v>108393319</v>
      </c>
    </row>
    <row r="91" spans="1:14" s="18" customFormat="1" ht="24" hidden="1" customHeight="1" x14ac:dyDescent="0.3">
      <c r="A91" s="19"/>
      <c r="B91" s="19">
        <v>7</v>
      </c>
      <c r="C91" s="29" t="s">
        <v>71</v>
      </c>
      <c r="D91" s="37"/>
      <c r="E91" s="19"/>
      <c r="F91" s="22"/>
      <c r="G91" s="23"/>
      <c r="H91" s="24"/>
      <c r="I91" s="23"/>
      <c r="J91" s="23"/>
      <c r="K91" s="32"/>
      <c r="L91" s="33"/>
      <c r="M91" s="34"/>
      <c r="N91" s="35">
        <f t="shared" si="32"/>
        <v>108393319</v>
      </c>
    </row>
    <row r="92" spans="1:14" s="18" customFormat="1" ht="24" hidden="1" customHeight="1" x14ac:dyDescent="0.3">
      <c r="A92" s="19"/>
      <c r="B92" s="19"/>
      <c r="C92" s="36" t="s">
        <v>72</v>
      </c>
      <c r="D92" s="21"/>
      <c r="E92" s="19">
        <v>150</v>
      </c>
      <c r="F92" s="22">
        <v>642.70000000000005</v>
      </c>
      <c r="G92" s="23">
        <f>2350+2350+700+1070+1070+250+250+330+330</f>
        <v>8700</v>
      </c>
      <c r="H92" s="24">
        <f t="shared" ref="H92" si="37">F92*G92</f>
        <v>5591490</v>
      </c>
      <c r="I92" s="23">
        <v>0</v>
      </c>
      <c r="J92" s="23">
        <f t="shared" ref="J92" si="38">SUM(H92:I92)</f>
        <v>5591490</v>
      </c>
      <c r="K92" s="32"/>
      <c r="L92" s="33"/>
      <c r="M92" s="34"/>
      <c r="N92" s="35">
        <f t="shared" si="32"/>
        <v>113984809</v>
      </c>
    </row>
    <row r="93" spans="1:14" s="18" customFormat="1" ht="24" hidden="1" customHeight="1" x14ac:dyDescent="0.3">
      <c r="A93" s="19"/>
      <c r="B93" s="19">
        <v>7</v>
      </c>
      <c r="C93" s="29" t="s">
        <v>73</v>
      </c>
      <c r="D93" s="21"/>
      <c r="E93" s="19"/>
      <c r="F93" s="22"/>
      <c r="G93" s="23"/>
      <c r="H93" s="24"/>
      <c r="I93" s="23"/>
      <c r="J93" s="23"/>
      <c r="K93" s="32"/>
      <c r="L93" s="33"/>
      <c r="M93" s="34"/>
      <c r="N93" s="35">
        <f t="shared" si="32"/>
        <v>113984809</v>
      </c>
    </row>
    <row r="94" spans="1:14" s="18" customFormat="1" ht="24" hidden="1" customHeight="1" x14ac:dyDescent="0.3">
      <c r="A94" s="19"/>
      <c r="B94" s="19"/>
      <c r="C94" s="36" t="s">
        <v>74</v>
      </c>
      <c r="D94" s="37"/>
      <c r="E94" s="19">
        <v>3</v>
      </c>
      <c r="F94" s="22">
        <v>63.5</v>
      </c>
      <c r="G94" s="23">
        <f>2650+1000+1200+300+390</f>
        <v>5540</v>
      </c>
      <c r="H94" s="24">
        <f t="shared" ref="H94:H95" si="39">F94*G94</f>
        <v>351790</v>
      </c>
      <c r="I94" s="23">
        <v>0</v>
      </c>
      <c r="J94" s="23">
        <f t="shared" ref="J94:J95" si="40">SUM(H94:I94)</f>
        <v>351790</v>
      </c>
      <c r="K94" s="32"/>
      <c r="L94" s="33"/>
      <c r="M94" s="34"/>
      <c r="N94" s="35">
        <f t="shared" si="32"/>
        <v>114336599</v>
      </c>
    </row>
    <row r="95" spans="1:14" s="18" customFormat="1" ht="24" hidden="1" customHeight="1" x14ac:dyDescent="0.3">
      <c r="A95" s="19"/>
      <c r="B95" s="19"/>
      <c r="C95" s="29" t="s">
        <v>75</v>
      </c>
      <c r="D95" s="21"/>
      <c r="E95" s="19">
        <v>18</v>
      </c>
      <c r="F95" s="22">
        <v>462.4</v>
      </c>
      <c r="G95" s="23">
        <v>2850</v>
      </c>
      <c r="H95" s="24">
        <f t="shared" si="39"/>
        <v>1317840</v>
      </c>
      <c r="I95" s="23">
        <v>0</v>
      </c>
      <c r="J95" s="23">
        <f t="shared" si="40"/>
        <v>1317840</v>
      </c>
      <c r="K95" s="32"/>
      <c r="L95" s="33"/>
      <c r="M95" s="34"/>
      <c r="N95" s="35">
        <f t="shared" si="32"/>
        <v>115654439</v>
      </c>
    </row>
    <row r="96" spans="1:14" s="18" customFormat="1" ht="24" hidden="1" customHeight="1" x14ac:dyDescent="0.3">
      <c r="A96" s="19"/>
      <c r="B96" s="19">
        <v>7</v>
      </c>
      <c r="C96" s="29" t="s">
        <v>76</v>
      </c>
      <c r="D96" s="21"/>
      <c r="E96" s="19"/>
      <c r="F96" s="22"/>
      <c r="G96" s="23"/>
      <c r="H96" s="24"/>
      <c r="I96" s="23"/>
      <c r="J96" s="23"/>
      <c r="K96" s="32"/>
      <c r="L96" s="33"/>
      <c r="M96" s="34"/>
      <c r="N96" s="35">
        <f t="shared" si="32"/>
        <v>115654439</v>
      </c>
    </row>
    <row r="97" spans="1:14" s="18" customFormat="1" ht="24" hidden="1" customHeight="1" x14ac:dyDescent="0.3">
      <c r="A97" s="19"/>
      <c r="B97" s="19"/>
      <c r="C97" s="29" t="s">
        <v>77</v>
      </c>
      <c r="D97" s="21"/>
      <c r="E97" s="30"/>
      <c r="F97" s="31"/>
      <c r="G97" s="23"/>
      <c r="H97" s="23">
        <v>460000</v>
      </c>
      <c r="I97" s="23">
        <f>H97*0.1</f>
        <v>46000</v>
      </c>
      <c r="J97" s="23">
        <f>SUM(H97:I97)</f>
        <v>506000</v>
      </c>
      <c r="K97" s="32"/>
      <c r="L97" s="33"/>
      <c r="M97" s="34"/>
      <c r="N97" s="35">
        <f t="shared" si="32"/>
        <v>116160439</v>
      </c>
    </row>
    <row r="98" spans="1:14" s="18" customFormat="1" ht="24" hidden="1" customHeight="1" x14ac:dyDescent="0.3">
      <c r="A98" s="19"/>
      <c r="B98" s="19">
        <v>8</v>
      </c>
      <c r="C98" s="29" t="s">
        <v>78</v>
      </c>
      <c r="D98" s="37"/>
      <c r="E98" s="19"/>
      <c r="F98" s="22"/>
      <c r="G98" s="23"/>
      <c r="H98" s="24"/>
      <c r="I98" s="23"/>
      <c r="J98" s="23"/>
      <c r="K98" s="32"/>
      <c r="L98" s="33"/>
      <c r="M98" s="34"/>
      <c r="N98" s="35">
        <f t="shared" si="32"/>
        <v>116160439</v>
      </c>
    </row>
    <row r="99" spans="1:14" s="18" customFormat="1" ht="24" hidden="1" customHeight="1" x14ac:dyDescent="0.3">
      <c r="A99" s="19"/>
      <c r="B99" s="19"/>
      <c r="C99" s="36" t="s">
        <v>79</v>
      </c>
      <c r="D99" s="21"/>
      <c r="E99" s="19">
        <v>223</v>
      </c>
      <c r="F99" s="22">
        <v>1883.2</v>
      </c>
      <c r="G99" s="23">
        <f>2350+700+1070+250+330</f>
        <v>4700</v>
      </c>
      <c r="H99" s="24">
        <f t="shared" ref="H99" si="41">F99*G99</f>
        <v>8851040</v>
      </c>
      <c r="I99" s="23">
        <v>0</v>
      </c>
      <c r="J99" s="23">
        <f t="shared" ref="J99" si="42">SUM(H99:I99)</f>
        <v>8851040</v>
      </c>
      <c r="K99" s="32"/>
      <c r="L99" s="33"/>
      <c r="M99" s="34"/>
      <c r="N99" s="35">
        <f t="shared" si="32"/>
        <v>125011479</v>
      </c>
    </row>
    <row r="100" spans="1:14" s="18" customFormat="1" ht="24" hidden="1" customHeight="1" x14ac:dyDescent="0.3">
      <c r="A100" s="19"/>
      <c r="B100" s="19">
        <v>8</v>
      </c>
      <c r="C100" s="29" t="s">
        <v>80</v>
      </c>
      <c r="D100" s="37"/>
      <c r="E100" s="19"/>
      <c r="F100" s="22"/>
      <c r="G100" s="23"/>
      <c r="H100" s="24">
        <v>230000</v>
      </c>
      <c r="I100" s="23">
        <f>H100*0.1</f>
        <v>23000</v>
      </c>
      <c r="J100" s="23">
        <f>SUM(H100:I100)</f>
        <v>253000</v>
      </c>
      <c r="K100" s="32"/>
      <c r="L100" s="33"/>
      <c r="M100" s="34"/>
      <c r="N100" s="35">
        <f t="shared" si="32"/>
        <v>125264479</v>
      </c>
    </row>
    <row r="101" spans="1:14" s="18" customFormat="1" ht="24" hidden="1" customHeight="1" x14ac:dyDescent="0.3">
      <c r="A101" s="19"/>
      <c r="B101" s="19"/>
      <c r="C101" s="29" t="s">
        <v>81</v>
      </c>
      <c r="D101" s="21"/>
      <c r="E101" s="19"/>
      <c r="F101" s="22"/>
      <c r="G101" s="23"/>
      <c r="H101" s="24">
        <v>70000</v>
      </c>
      <c r="I101" s="23">
        <f>H101*0.1</f>
        <v>7000</v>
      </c>
      <c r="J101" s="23">
        <f>SUM(H101:I101)</f>
        <v>77000</v>
      </c>
      <c r="K101" s="32"/>
      <c r="L101" s="33"/>
      <c r="M101" s="34"/>
      <c r="N101" s="35">
        <f t="shared" si="32"/>
        <v>125341479</v>
      </c>
    </row>
    <row r="102" spans="1:14" s="18" customFormat="1" ht="24" hidden="1" customHeight="1" x14ac:dyDescent="0.3">
      <c r="A102" s="19"/>
      <c r="B102" s="19">
        <v>8</v>
      </c>
      <c r="C102" s="29" t="s">
        <v>82</v>
      </c>
      <c r="D102" s="21"/>
      <c r="E102" s="19"/>
      <c r="F102" s="22"/>
      <c r="G102" s="23"/>
      <c r="H102" s="24"/>
      <c r="I102" s="23"/>
      <c r="J102" s="23"/>
      <c r="K102" s="32"/>
      <c r="L102" s="33"/>
      <c r="M102" s="34"/>
      <c r="N102" s="35">
        <f t="shared" si="32"/>
        <v>125341479</v>
      </c>
    </row>
    <row r="103" spans="1:14" s="18" customFormat="1" ht="24" hidden="1" customHeight="1" x14ac:dyDescent="0.3">
      <c r="A103" s="19"/>
      <c r="B103" s="19"/>
      <c r="C103" s="36" t="s">
        <v>83</v>
      </c>
      <c r="D103" s="21"/>
      <c r="E103" s="19">
        <v>1</v>
      </c>
      <c r="F103" s="22">
        <v>5.7</v>
      </c>
      <c r="G103" s="23">
        <f>2200+2350+1200+300</f>
        <v>6050</v>
      </c>
      <c r="H103" s="24">
        <f t="shared" ref="H103" si="43">F103*G103</f>
        <v>34485</v>
      </c>
      <c r="I103" s="23">
        <v>0</v>
      </c>
      <c r="J103" s="23">
        <f t="shared" ref="J103" si="44">SUM(H103:I103)</f>
        <v>34485</v>
      </c>
      <c r="K103" s="32"/>
      <c r="L103" s="33"/>
      <c r="M103" s="34"/>
      <c r="N103" s="35">
        <f t="shared" si="32"/>
        <v>125375964</v>
      </c>
    </row>
    <row r="104" spans="1:14" s="18" customFormat="1" ht="24" hidden="1" customHeight="1" x14ac:dyDescent="0.3">
      <c r="A104" s="19"/>
      <c r="B104" s="19">
        <v>9</v>
      </c>
      <c r="C104" s="29" t="s">
        <v>56</v>
      </c>
      <c r="D104" s="21"/>
      <c r="E104" s="19"/>
      <c r="F104" s="22"/>
      <c r="G104" s="23"/>
      <c r="H104" s="24"/>
      <c r="I104" s="23"/>
      <c r="J104" s="23"/>
      <c r="K104" s="32"/>
      <c r="L104" s="33"/>
      <c r="M104" s="34"/>
      <c r="N104" s="35">
        <f t="shared" si="32"/>
        <v>125375964</v>
      </c>
    </row>
    <row r="105" spans="1:14" s="18" customFormat="1" ht="24" hidden="1" customHeight="1" x14ac:dyDescent="0.3">
      <c r="A105" s="19"/>
      <c r="B105" s="19"/>
      <c r="C105" s="45" t="s">
        <v>21</v>
      </c>
      <c r="D105" s="37"/>
      <c r="E105" s="19">
        <v>5</v>
      </c>
      <c r="F105" s="22">
        <v>86.7</v>
      </c>
      <c r="G105" s="23">
        <f>2350+700+1070+250+330</f>
        <v>4700</v>
      </c>
      <c r="H105" s="24">
        <f t="shared" ref="H105:H106" si="45">F105*G105</f>
        <v>407490</v>
      </c>
      <c r="I105" s="23">
        <v>0</v>
      </c>
      <c r="J105" s="23">
        <f t="shared" ref="J105:J106" si="46">SUM(H105:I105)</f>
        <v>407490</v>
      </c>
      <c r="K105" s="32"/>
      <c r="L105" s="33"/>
      <c r="M105" s="34"/>
      <c r="N105" s="35">
        <f t="shared" si="32"/>
        <v>125783454</v>
      </c>
    </row>
    <row r="106" spans="1:14" s="18" customFormat="1" ht="24" hidden="1" customHeight="1" x14ac:dyDescent="0.3">
      <c r="A106" s="19"/>
      <c r="B106" s="19"/>
      <c r="C106" s="29" t="s">
        <v>84</v>
      </c>
      <c r="D106" s="21"/>
      <c r="E106" s="19">
        <v>5</v>
      </c>
      <c r="F106" s="22">
        <v>71.900000000000006</v>
      </c>
      <c r="G106" s="23">
        <f>2200+700</f>
        <v>2900</v>
      </c>
      <c r="H106" s="24">
        <f t="shared" si="45"/>
        <v>208510.00000000003</v>
      </c>
      <c r="I106" s="23">
        <v>0</v>
      </c>
      <c r="J106" s="23">
        <f t="shared" si="46"/>
        <v>208510.00000000003</v>
      </c>
      <c r="K106" s="32"/>
      <c r="L106" s="33"/>
      <c r="M106" s="34"/>
      <c r="N106" s="35">
        <f t="shared" si="32"/>
        <v>125991964</v>
      </c>
    </row>
    <row r="107" spans="1:14" s="18" customFormat="1" ht="24" hidden="1" customHeight="1" x14ac:dyDescent="0.3">
      <c r="A107" s="19"/>
      <c r="B107" s="19">
        <v>9</v>
      </c>
      <c r="C107" s="29" t="s">
        <v>85</v>
      </c>
      <c r="D107" s="21"/>
      <c r="E107" s="19"/>
      <c r="F107" s="22"/>
      <c r="G107" s="23"/>
      <c r="H107" s="24"/>
      <c r="I107" s="23"/>
      <c r="J107" s="23"/>
      <c r="K107" s="32"/>
      <c r="L107" s="33"/>
      <c r="M107" s="34"/>
      <c r="N107" s="35">
        <f t="shared" si="32"/>
        <v>125991964</v>
      </c>
    </row>
    <row r="108" spans="1:14" s="18" customFormat="1" ht="24" hidden="1" customHeight="1" x14ac:dyDescent="0.3">
      <c r="A108" s="19"/>
      <c r="B108" s="19"/>
      <c r="C108" s="36" t="s">
        <v>48</v>
      </c>
      <c r="D108" s="21"/>
      <c r="E108" s="19">
        <v>60</v>
      </c>
      <c r="F108" s="22">
        <v>553.20000000000005</v>
      </c>
      <c r="G108" s="23">
        <f>2350+700+1070+250</f>
        <v>4370</v>
      </c>
      <c r="H108" s="24">
        <f t="shared" ref="H108:H110" si="47">F108*G108</f>
        <v>2417484</v>
      </c>
      <c r="I108" s="23">
        <v>0</v>
      </c>
      <c r="J108" s="23">
        <f t="shared" ref="J108:J110" si="48">SUM(H108:I108)</f>
        <v>2417484</v>
      </c>
      <c r="K108" s="32"/>
      <c r="L108" s="33"/>
      <c r="M108" s="34"/>
      <c r="N108" s="38">
        <f t="shared" si="32"/>
        <v>128409448</v>
      </c>
    </row>
    <row r="109" spans="1:14" s="18" customFormat="1" ht="24" hidden="1" customHeight="1" x14ac:dyDescent="0.3">
      <c r="A109" s="19"/>
      <c r="B109" s="19"/>
      <c r="C109" s="36" t="s">
        <v>86</v>
      </c>
      <c r="D109" s="37"/>
      <c r="E109" s="19">
        <v>73</v>
      </c>
      <c r="F109" s="22">
        <v>423</v>
      </c>
      <c r="G109" s="23">
        <f>700+1080+1070+250</f>
        <v>3100</v>
      </c>
      <c r="H109" s="24">
        <f t="shared" si="47"/>
        <v>1311300</v>
      </c>
      <c r="I109" s="23">
        <v>0</v>
      </c>
      <c r="J109" s="23">
        <f t="shared" si="48"/>
        <v>1311300</v>
      </c>
      <c r="K109" s="32"/>
      <c r="L109" s="33"/>
      <c r="M109" s="34"/>
      <c r="N109" s="38">
        <f t="shared" si="32"/>
        <v>129720748</v>
      </c>
    </row>
    <row r="110" spans="1:14" s="18" customFormat="1" ht="24" hidden="1" customHeight="1" x14ac:dyDescent="0.3">
      <c r="A110" s="19"/>
      <c r="B110" s="19"/>
      <c r="C110" s="36" t="s">
        <v>87</v>
      </c>
      <c r="D110" s="21"/>
      <c r="E110" s="19">
        <v>16</v>
      </c>
      <c r="F110" s="22">
        <v>152.69999999999999</v>
      </c>
      <c r="G110" s="23">
        <f>1100+1080+1070+250</f>
        <v>3500</v>
      </c>
      <c r="H110" s="24">
        <f t="shared" si="47"/>
        <v>534450</v>
      </c>
      <c r="I110" s="23">
        <v>0</v>
      </c>
      <c r="J110" s="23">
        <f t="shared" si="48"/>
        <v>534450</v>
      </c>
      <c r="K110" s="32"/>
      <c r="L110" s="33"/>
      <c r="M110" s="34"/>
      <c r="N110" s="38">
        <f t="shared" si="32"/>
        <v>130255198</v>
      </c>
    </row>
    <row r="111" spans="1:14" s="18" customFormat="1" ht="24" hidden="1" customHeight="1" x14ac:dyDescent="0.3">
      <c r="A111" s="19"/>
      <c r="B111" s="19">
        <v>9</v>
      </c>
      <c r="C111" s="29" t="s">
        <v>88</v>
      </c>
      <c r="D111" s="21"/>
      <c r="E111" s="19"/>
      <c r="F111" s="22"/>
      <c r="G111" s="23"/>
      <c r="H111" s="24"/>
      <c r="I111" s="23"/>
      <c r="J111" s="23"/>
      <c r="K111" s="32"/>
      <c r="L111" s="33"/>
      <c r="M111" s="34"/>
      <c r="N111" s="38">
        <f t="shared" si="32"/>
        <v>130255198</v>
      </c>
    </row>
    <row r="112" spans="1:14" s="18" customFormat="1" ht="24" hidden="1" customHeight="1" x14ac:dyDescent="0.3">
      <c r="A112" s="19"/>
      <c r="B112" s="19"/>
      <c r="C112" s="29" t="s">
        <v>89</v>
      </c>
      <c r="D112" s="21"/>
      <c r="E112" s="19">
        <v>4</v>
      </c>
      <c r="F112" s="22">
        <v>22.9</v>
      </c>
      <c r="G112" s="23">
        <v>770</v>
      </c>
      <c r="H112" s="24">
        <f t="shared" ref="H112" si="49">F112*G112</f>
        <v>17633</v>
      </c>
      <c r="I112" s="23">
        <v>0</v>
      </c>
      <c r="J112" s="23">
        <f t="shared" ref="J112" si="50">SUM(H112:I112)</f>
        <v>17633</v>
      </c>
      <c r="K112" s="32"/>
      <c r="L112" s="33"/>
      <c r="M112" s="34"/>
      <c r="N112" s="38">
        <f t="shared" si="32"/>
        <v>130272831</v>
      </c>
    </row>
    <row r="113" spans="1:14" s="18" customFormat="1" ht="24" hidden="1" customHeight="1" x14ac:dyDescent="0.3">
      <c r="A113" s="19"/>
      <c r="B113" s="19">
        <v>9</v>
      </c>
      <c r="C113" s="29" t="s">
        <v>90</v>
      </c>
      <c r="D113" s="37"/>
      <c r="E113" s="19"/>
      <c r="F113" s="22"/>
      <c r="G113" s="23"/>
      <c r="H113" s="24"/>
      <c r="I113" s="23"/>
      <c r="J113" s="23"/>
      <c r="K113" s="32"/>
      <c r="L113" s="33"/>
      <c r="M113" s="34"/>
      <c r="N113" s="38">
        <f t="shared" si="32"/>
        <v>130272831</v>
      </c>
    </row>
    <row r="114" spans="1:14" s="18" customFormat="1" ht="24" hidden="1" customHeight="1" x14ac:dyDescent="0.3">
      <c r="A114" s="19"/>
      <c r="B114" s="19"/>
      <c r="C114" s="36" t="s">
        <v>21</v>
      </c>
      <c r="D114" s="21"/>
      <c r="E114" s="19">
        <v>4</v>
      </c>
      <c r="F114" s="22">
        <v>42.9</v>
      </c>
      <c r="G114" s="23">
        <f>2350+700+1070+250+330</f>
        <v>4700</v>
      </c>
      <c r="H114" s="24">
        <f t="shared" ref="H114" si="51">F114*G114</f>
        <v>201630</v>
      </c>
      <c r="I114" s="23">
        <v>0</v>
      </c>
      <c r="J114" s="23">
        <f t="shared" ref="J114" si="52">SUM(H114:I114)</f>
        <v>201630</v>
      </c>
      <c r="K114" s="32"/>
      <c r="L114" s="33"/>
      <c r="M114" s="34"/>
      <c r="N114" s="38">
        <f t="shared" si="32"/>
        <v>130474461</v>
      </c>
    </row>
    <row r="115" spans="1:14" s="18" customFormat="1" ht="24" hidden="1" customHeight="1" x14ac:dyDescent="0.3">
      <c r="A115" s="19"/>
      <c r="B115" s="19">
        <v>9</v>
      </c>
      <c r="C115" s="29" t="s">
        <v>91</v>
      </c>
      <c r="D115" s="21"/>
      <c r="E115" s="19"/>
      <c r="F115" s="22"/>
      <c r="G115" s="23"/>
      <c r="H115" s="24"/>
      <c r="I115" s="23"/>
      <c r="J115" s="23"/>
      <c r="K115" s="32"/>
      <c r="L115" s="33"/>
      <c r="M115" s="34"/>
      <c r="N115" s="38">
        <f t="shared" si="32"/>
        <v>130474461</v>
      </c>
    </row>
    <row r="116" spans="1:14" s="18" customFormat="1" ht="24" hidden="1" customHeight="1" x14ac:dyDescent="0.3">
      <c r="A116" s="19"/>
      <c r="B116" s="19"/>
      <c r="C116" s="29" t="s">
        <v>92</v>
      </c>
      <c r="D116" s="21"/>
      <c r="E116" s="19"/>
      <c r="F116" s="22"/>
      <c r="G116" s="23"/>
      <c r="H116" s="24">
        <v>540000</v>
      </c>
      <c r="I116" s="23">
        <f>H116*0.1</f>
        <v>54000</v>
      </c>
      <c r="J116" s="23">
        <f>SUM(H116:I116)</f>
        <v>594000</v>
      </c>
      <c r="K116" s="32"/>
      <c r="L116" s="33"/>
      <c r="M116" s="34"/>
      <c r="N116" s="38">
        <f t="shared" si="32"/>
        <v>131068461</v>
      </c>
    </row>
    <row r="117" spans="1:14" s="18" customFormat="1" ht="24" hidden="1" customHeight="1" x14ac:dyDescent="0.3">
      <c r="A117" s="19"/>
      <c r="B117" s="19"/>
      <c r="C117" s="29" t="s">
        <v>81</v>
      </c>
      <c r="D117" s="37"/>
      <c r="E117" s="19"/>
      <c r="F117" s="22"/>
      <c r="G117" s="23"/>
      <c r="H117" s="24">
        <v>400000</v>
      </c>
      <c r="I117" s="23">
        <f>H117*0.1</f>
        <v>40000</v>
      </c>
      <c r="J117" s="23">
        <f>SUM(H117:I117)</f>
        <v>440000</v>
      </c>
      <c r="K117" s="32"/>
      <c r="L117" s="33"/>
      <c r="M117" s="34"/>
      <c r="N117" s="38">
        <f t="shared" si="32"/>
        <v>131508461</v>
      </c>
    </row>
    <row r="118" spans="1:14" s="2" customFormat="1" ht="27" hidden="1" customHeight="1" thickBot="1" x14ac:dyDescent="0.35">
      <c r="A118" s="1"/>
      <c r="B118" s="1"/>
      <c r="C118" s="1"/>
      <c r="E118" s="86" t="s">
        <v>0</v>
      </c>
      <c r="F118" s="86"/>
      <c r="G118" s="86"/>
      <c r="H118" s="86"/>
      <c r="I118" s="86"/>
      <c r="J118" s="86"/>
      <c r="K118" s="1"/>
      <c r="L118" s="3"/>
      <c r="M118" s="3"/>
      <c r="N118" s="1"/>
    </row>
    <row r="119" spans="1:14" s="2" customFormat="1" ht="24" hidden="1" customHeight="1" thickTop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3"/>
      <c r="M119" s="3"/>
      <c r="N119" s="1"/>
    </row>
    <row r="120" spans="1:14" s="2" customFormat="1" ht="24" hidden="1" customHeight="1" thickBot="1" x14ac:dyDescent="0.35">
      <c r="A120" s="2" t="s">
        <v>1</v>
      </c>
      <c r="C120" s="4"/>
      <c r="D120" s="4"/>
      <c r="E120" s="5"/>
      <c r="F120" s="6"/>
      <c r="G120" s="7"/>
      <c r="H120" s="7"/>
      <c r="I120" s="7"/>
      <c r="J120" s="8"/>
      <c r="K120" s="9"/>
      <c r="L120" s="10"/>
      <c r="M120" s="11"/>
      <c r="N120" s="12" t="s">
        <v>2</v>
      </c>
    </row>
    <row r="121" spans="1:14" s="18" customFormat="1" ht="24" hidden="1" customHeight="1" thickTop="1" thickBot="1" x14ac:dyDescent="0.35">
      <c r="A121" s="13" t="s">
        <v>3</v>
      </c>
      <c r="B121" s="13" t="s">
        <v>4</v>
      </c>
      <c r="C121" s="87" t="s">
        <v>5</v>
      </c>
      <c r="D121" s="88"/>
      <c r="E121" s="13" t="s">
        <v>6</v>
      </c>
      <c r="F121" s="14" t="s">
        <v>7</v>
      </c>
      <c r="G121" s="15" t="s">
        <v>8</v>
      </c>
      <c r="H121" s="15" t="s">
        <v>9</v>
      </c>
      <c r="I121" s="15" t="s">
        <v>10</v>
      </c>
      <c r="J121" s="15" t="s">
        <v>11</v>
      </c>
      <c r="K121" s="16" t="s">
        <v>12</v>
      </c>
      <c r="L121" s="89" t="s">
        <v>13</v>
      </c>
      <c r="M121" s="90"/>
      <c r="N121" s="17" t="s">
        <v>14</v>
      </c>
    </row>
    <row r="122" spans="1:14" s="18" customFormat="1" ht="24" hidden="1" customHeight="1" thickTop="1" x14ac:dyDescent="0.3">
      <c r="A122" s="19"/>
      <c r="B122" s="19"/>
      <c r="C122" s="39" t="s">
        <v>41</v>
      </c>
      <c r="D122" s="40"/>
      <c r="E122" s="41"/>
      <c r="F122" s="42"/>
      <c r="G122" s="43"/>
      <c r="H122" s="44"/>
      <c r="I122" s="43"/>
      <c r="J122" s="43"/>
      <c r="K122" s="25"/>
      <c r="L122" s="26"/>
      <c r="M122" s="27"/>
      <c r="N122" s="28">
        <f>N117</f>
        <v>131508461</v>
      </c>
    </row>
    <row r="123" spans="1:14" s="18" customFormat="1" ht="24" hidden="1" customHeight="1" x14ac:dyDescent="0.3">
      <c r="A123" s="19">
        <v>1</v>
      </c>
      <c r="B123" s="19">
        <v>9</v>
      </c>
      <c r="C123" s="29" t="s">
        <v>93</v>
      </c>
      <c r="D123" s="21"/>
      <c r="E123" s="19"/>
      <c r="F123" s="22"/>
      <c r="G123" s="23"/>
      <c r="H123" s="24"/>
      <c r="I123" s="23"/>
      <c r="J123" s="23"/>
      <c r="K123" s="32"/>
      <c r="L123" s="33"/>
      <c r="M123" s="34"/>
      <c r="N123" s="35">
        <f>N122+J123+K123</f>
        <v>131508461</v>
      </c>
    </row>
    <row r="124" spans="1:14" s="18" customFormat="1" ht="24" hidden="1" customHeight="1" x14ac:dyDescent="0.3">
      <c r="A124" s="19"/>
      <c r="B124" s="19"/>
      <c r="C124" s="29" t="s">
        <v>77</v>
      </c>
      <c r="D124" s="21"/>
      <c r="E124" s="19"/>
      <c r="F124" s="22"/>
      <c r="G124" s="23"/>
      <c r="H124" s="23">
        <v>460000</v>
      </c>
      <c r="I124" s="23">
        <f>H124*0.1</f>
        <v>46000</v>
      </c>
      <c r="J124" s="23">
        <f>SUM(H124:I124)</f>
        <v>506000</v>
      </c>
      <c r="K124" s="32"/>
      <c r="L124" s="33"/>
      <c r="M124" s="34"/>
      <c r="N124" s="35">
        <f>N123+J124+K124</f>
        <v>132014461</v>
      </c>
    </row>
    <row r="125" spans="1:14" s="18" customFormat="1" ht="24" hidden="1" customHeight="1" x14ac:dyDescent="0.3">
      <c r="A125" s="19"/>
      <c r="B125" s="19"/>
      <c r="C125" s="29" t="s">
        <v>80</v>
      </c>
      <c r="D125" s="21"/>
      <c r="E125" s="19"/>
      <c r="F125" s="22"/>
      <c r="G125" s="23"/>
      <c r="H125" s="24">
        <v>230000</v>
      </c>
      <c r="I125" s="23">
        <f>H125*0.1</f>
        <v>23000</v>
      </c>
      <c r="J125" s="23">
        <f>SUM(H125:I125)</f>
        <v>253000</v>
      </c>
      <c r="K125" s="32"/>
      <c r="L125" s="33"/>
      <c r="M125" s="34"/>
      <c r="N125" s="35">
        <f t="shared" ref="N125:N156" si="53">N124+J125+K125</f>
        <v>132267461</v>
      </c>
    </row>
    <row r="126" spans="1:14" s="18" customFormat="1" ht="24" hidden="1" customHeight="1" x14ac:dyDescent="0.3">
      <c r="A126" s="19"/>
      <c r="B126" s="19"/>
      <c r="C126" s="29" t="s">
        <v>81</v>
      </c>
      <c r="D126" s="21"/>
      <c r="E126" s="19"/>
      <c r="F126" s="22"/>
      <c r="G126" s="23"/>
      <c r="H126" s="24">
        <v>70000</v>
      </c>
      <c r="I126" s="23">
        <f>H126*0.1</f>
        <v>7000</v>
      </c>
      <c r="J126" s="23">
        <f>SUM(H126:I126)</f>
        <v>77000</v>
      </c>
      <c r="K126" s="32"/>
      <c r="L126" s="33"/>
      <c r="M126" s="34"/>
      <c r="N126" s="35">
        <f t="shared" si="53"/>
        <v>132344461</v>
      </c>
    </row>
    <row r="127" spans="1:14" s="18" customFormat="1" ht="24" hidden="1" customHeight="1" x14ac:dyDescent="0.3">
      <c r="A127" s="19"/>
      <c r="B127" s="19">
        <v>10</v>
      </c>
      <c r="C127" s="29" t="s">
        <v>94</v>
      </c>
      <c r="D127" s="21"/>
      <c r="E127" s="19"/>
      <c r="F127" s="22"/>
      <c r="G127" s="23"/>
      <c r="H127" s="24"/>
      <c r="I127" s="23"/>
      <c r="J127" s="23"/>
      <c r="K127" s="32"/>
      <c r="L127" s="33"/>
      <c r="M127" s="34"/>
      <c r="N127" s="35">
        <f t="shared" si="53"/>
        <v>132344461</v>
      </c>
    </row>
    <row r="128" spans="1:14" s="18" customFormat="1" ht="24" hidden="1" customHeight="1" x14ac:dyDescent="0.3">
      <c r="A128" s="19"/>
      <c r="B128" s="19"/>
      <c r="C128" s="36" t="s">
        <v>79</v>
      </c>
      <c r="D128" s="46"/>
      <c r="E128" s="19">
        <v>231</v>
      </c>
      <c r="F128" s="22">
        <v>2755.4</v>
      </c>
      <c r="G128" s="23">
        <f>2350+700+1070+250+330</f>
        <v>4700</v>
      </c>
      <c r="H128" s="24">
        <f t="shared" ref="H128" si="54">F128*G128</f>
        <v>12950380</v>
      </c>
      <c r="I128" s="23">
        <v>0</v>
      </c>
      <c r="J128" s="23">
        <f t="shared" ref="J128" si="55">SUM(H128:I128)</f>
        <v>12950380</v>
      </c>
      <c r="K128" s="32"/>
      <c r="L128" s="33"/>
      <c r="M128" s="34"/>
      <c r="N128" s="35">
        <f t="shared" si="53"/>
        <v>145294841</v>
      </c>
    </row>
    <row r="129" spans="1:14" s="18" customFormat="1" ht="24" hidden="1" customHeight="1" x14ac:dyDescent="0.3">
      <c r="A129" s="19"/>
      <c r="B129" s="19">
        <v>10</v>
      </c>
      <c r="C129" s="29" t="s">
        <v>95</v>
      </c>
      <c r="D129" s="21"/>
      <c r="E129" s="19"/>
      <c r="F129" s="22"/>
      <c r="G129" s="23"/>
      <c r="H129" s="24"/>
      <c r="I129" s="23"/>
      <c r="J129" s="23"/>
      <c r="K129" s="32"/>
      <c r="L129" s="33"/>
      <c r="M129" s="34"/>
      <c r="N129" s="35">
        <f t="shared" si="53"/>
        <v>145294841</v>
      </c>
    </row>
    <row r="130" spans="1:14" s="18" customFormat="1" ht="24" hidden="1" customHeight="1" x14ac:dyDescent="0.3">
      <c r="A130" s="19"/>
      <c r="B130" s="19"/>
      <c r="C130" s="36" t="s">
        <v>96</v>
      </c>
      <c r="D130" s="21"/>
      <c r="E130" s="19">
        <v>4</v>
      </c>
      <c r="F130" s="22">
        <v>73.5</v>
      </c>
      <c r="G130" s="23">
        <f>2350+700+1070+250+290</f>
        <v>4660</v>
      </c>
      <c r="H130" s="24">
        <f t="shared" ref="H130" si="56">F130*G130</f>
        <v>342510</v>
      </c>
      <c r="I130" s="23">
        <v>0</v>
      </c>
      <c r="J130" s="23">
        <f t="shared" ref="J130" si="57">SUM(H130:I130)</f>
        <v>342510</v>
      </c>
      <c r="K130" s="32"/>
      <c r="L130" s="33"/>
      <c r="M130" s="34"/>
      <c r="N130" s="35">
        <f t="shared" si="53"/>
        <v>145637351</v>
      </c>
    </row>
    <row r="131" spans="1:14" s="18" customFormat="1" ht="24" hidden="1" customHeight="1" x14ac:dyDescent="0.3">
      <c r="A131" s="19"/>
      <c r="B131" s="19">
        <v>10</v>
      </c>
      <c r="C131" s="29" t="s">
        <v>97</v>
      </c>
      <c r="D131" s="21"/>
      <c r="E131" s="19"/>
      <c r="F131" s="22"/>
      <c r="G131" s="23"/>
      <c r="H131" s="24"/>
      <c r="I131" s="23"/>
      <c r="J131" s="23"/>
      <c r="K131" s="32"/>
      <c r="L131" s="33"/>
      <c r="M131" s="34"/>
      <c r="N131" s="35">
        <f t="shared" si="53"/>
        <v>145637351</v>
      </c>
    </row>
    <row r="132" spans="1:14" s="18" customFormat="1" ht="24" hidden="1" customHeight="1" x14ac:dyDescent="0.3">
      <c r="A132" s="19"/>
      <c r="B132" s="19"/>
      <c r="C132" s="36" t="s">
        <v>98</v>
      </c>
      <c r="D132" s="37"/>
      <c r="E132" s="19">
        <v>1</v>
      </c>
      <c r="F132" s="22">
        <v>20.3</v>
      </c>
      <c r="G132" s="23">
        <f>2650+1000+1200+300+390</f>
        <v>5540</v>
      </c>
      <c r="H132" s="24">
        <f t="shared" ref="H132" si="58">F132*G132</f>
        <v>112462</v>
      </c>
      <c r="I132" s="23">
        <v>0</v>
      </c>
      <c r="J132" s="23">
        <f t="shared" ref="J132" si="59">SUM(H132:I132)</f>
        <v>112462</v>
      </c>
      <c r="K132" s="32"/>
      <c r="L132" s="33"/>
      <c r="M132" s="34"/>
      <c r="N132" s="35">
        <f t="shared" si="53"/>
        <v>145749813</v>
      </c>
    </row>
    <row r="133" spans="1:14" s="18" customFormat="1" ht="24" hidden="1" customHeight="1" x14ac:dyDescent="0.3">
      <c r="A133" s="19"/>
      <c r="B133" s="19">
        <v>10</v>
      </c>
      <c r="C133" s="29" t="s">
        <v>99</v>
      </c>
      <c r="D133" s="21"/>
      <c r="E133" s="19"/>
      <c r="F133" s="22"/>
      <c r="G133" s="23"/>
      <c r="H133" s="24"/>
      <c r="I133" s="23"/>
      <c r="J133" s="23"/>
      <c r="K133" s="32"/>
      <c r="L133" s="33"/>
      <c r="M133" s="34"/>
      <c r="N133" s="35">
        <f t="shared" si="53"/>
        <v>145749813</v>
      </c>
    </row>
    <row r="134" spans="1:14" s="18" customFormat="1" ht="24" hidden="1" customHeight="1" x14ac:dyDescent="0.3">
      <c r="A134" s="19"/>
      <c r="B134" s="19"/>
      <c r="C134" s="29" t="s">
        <v>100</v>
      </c>
      <c r="D134" s="21"/>
      <c r="E134" s="19">
        <v>4</v>
      </c>
      <c r="F134" s="22">
        <v>54.1</v>
      </c>
      <c r="G134" s="23">
        <v>1500</v>
      </c>
      <c r="H134" s="24">
        <f t="shared" ref="H134" si="60">F134*G134</f>
        <v>81150</v>
      </c>
      <c r="I134" s="23">
        <v>0</v>
      </c>
      <c r="J134" s="23">
        <f t="shared" ref="J134" si="61">SUM(H134:I134)</f>
        <v>81150</v>
      </c>
      <c r="K134" s="32"/>
      <c r="L134" s="33"/>
      <c r="M134" s="34"/>
      <c r="N134" s="35">
        <f t="shared" si="53"/>
        <v>145830963</v>
      </c>
    </row>
    <row r="135" spans="1:14" s="18" customFormat="1" ht="24" hidden="1" customHeight="1" x14ac:dyDescent="0.3">
      <c r="A135" s="19"/>
      <c r="B135" s="19">
        <v>10</v>
      </c>
      <c r="C135" s="29" t="s">
        <v>50</v>
      </c>
      <c r="D135" s="21"/>
      <c r="E135" s="19"/>
      <c r="F135" s="22"/>
      <c r="G135" s="23"/>
      <c r="H135" s="24"/>
      <c r="I135" s="23"/>
      <c r="J135" s="23"/>
      <c r="K135" s="32"/>
      <c r="L135" s="33"/>
      <c r="M135" s="34"/>
      <c r="N135" s="35">
        <f t="shared" si="53"/>
        <v>145830963</v>
      </c>
    </row>
    <row r="136" spans="1:14" s="18" customFormat="1" ht="24" hidden="1" customHeight="1" x14ac:dyDescent="0.3">
      <c r="A136" s="19"/>
      <c r="B136" s="19"/>
      <c r="C136" s="29" t="s">
        <v>53</v>
      </c>
      <c r="D136" s="37"/>
      <c r="E136" s="19">
        <v>6</v>
      </c>
      <c r="F136" s="22">
        <v>73.7</v>
      </c>
      <c r="G136" s="23">
        <f>950+1080+1070+250</f>
        <v>3350</v>
      </c>
      <c r="H136" s="24">
        <f t="shared" ref="H136" si="62">F136*G136</f>
        <v>246895</v>
      </c>
      <c r="I136" s="23">
        <v>0</v>
      </c>
      <c r="J136" s="23">
        <f t="shared" ref="J136" si="63">SUM(H136:I136)</f>
        <v>246895</v>
      </c>
      <c r="K136" s="32"/>
      <c r="L136" s="33"/>
      <c r="M136" s="34"/>
      <c r="N136" s="35">
        <f t="shared" si="53"/>
        <v>146077858</v>
      </c>
    </row>
    <row r="137" spans="1:14" s="18" customFormat="1" ht="24" hidden="1" customHeight="1" x14ac:dyDescent="0.3">
      <c r="A137" s="19"/>
      <c r="B137" s="19">
        <v>10</v>
      </c>
      <c r="C137" s="29" t="s">
        <v>101</v>
      </c>
      <c r="D137" s="21"/>
      <c r="E137" s="19"/>
      <c r="F137" s="22"/>
      <c r="G137" s="23"/>
      <c r="H137" s="24"/>
      <c r="I137" s="23"/>
      <c r="J137" s="23"/>
      <c r="K137" s="32"/>
      <c r="L137" s="33"/>
      <c r="M137" s="34"/>
      <c r="N137" s="35">
        <f t="shared" si="53"/>
        <v>146077858</v>
      </c>
    </row>
    <row r="138" spans="1:14" s="18" customFormat="1" ht="24" hidden="1" customHeight="1" x14ac:dyDescent="0.3">
      <c r="A138" s="19"/>
      <c r="B138" s="19"/>
      <c r="C138" s="36" t="s">
        <v>21</v>
      </c>
      <c r="D138" s="21"/>
      <c r="E138" s="19">
        <v>236</v>
      </c>
      <c r="F138" s="22">
        <v>2514.8000000000002</v>
      </c>
      <c r="G138" s="23">
        <f>2350+700+1070+250+330</f>
        <v>4700</v>
      </c>
      <c r="H138" s="24">
        <f t="shared" ref="H138" si="64">F138*G138</f>
        <v>11819560</v>
      </c>
      <c r="I138" s="23">
        <v>0</v>
      </c>
      <c r="J138" s="23">
        <f t="shared" ref="J138" si="65">SUM(H138:I138)</f>
        <v>11819560</v>
      </c>
      <c r="K138" s="32"/>
      <c r="L138" s="33"/>
      <c r="M138" s="34"/>
      <c r="N138" s="35">
        <f t="shared" si="53"/>
        <v>157897418</v>
      </c>
    </row>
    <row r="139" spans="1:14" s="18" customFormat="1" ht="24" hidden="1" customHeight="1" x14ac:dyDescent="0.3">
      <c r="A139" s="19"/>
      <c r="B139" s="19">
        <v>10</v>
      </c>
      <c r="C139" s="29" t="s">
        <v>102</v>
      </c>
      <c r="D139" s="21"/>
      <c r="E139" s="19"/>
      <c r="F139" s="22"/>
      <c r="G139" s="23"/>
      <c r="H139" s="24"/>
      <c r="I139" s="23"/>
      <c r="J139" s="23"/>
      <c r="K139" s="32"/>
      <c r="L139" s="33"/>
      <c r="M139" s="34"/>
      <c r="N139" s="35">
        <f t="shared" si="53"/>
        <v>157897418</v>
      </c>
    </row>
    <row r="140" spans="1:14" s="18" customFormat="1" ht="24" hidden="1" customHeight="1" x14ac:dyDescent="0.3">
      <c r="A140" s="19"/>
      <c r="B140" s="19"/>
      <c r="C140" s="36" t="s">
        <v>103</v>
      </c>
      <c r="D140" s="37"/>
      <c r="E140" s="19">
        <v>7</v>
      </c>
      <c r="F140" s="22">
        <v>74.7</v>
      </c>
      <c r="G140" s="23">
        <f>2350+100+700+1070+250+330</f>
        <v>4800</v>
      </c>
      <c r="H140" s="24">
        <f t="shared" ref="H140" si="66">F140*G140</f>
        <v>358560</v>
      </c>
      <c r="I140" s="23">
        <v>0</v>
      </c>
      <c r="J140" s="23">
        <f t="shared" ref="J140" si="67">SUM(H140:I140)</f>
        <v>358560</v>
      </c>
      <c r="K140" s="32"/>
      <c r="L140" s="33"/>
      <c r="M140" s="34"/>
      <c r="N140" s="35">
        <f t="shared" si="53"/>
        <v>158255978</v>
      </c>
    </row>
    <row r="141" spans="1:14" s="18" customFormat="1" ht="24" hidden="1" customHeight="1" x14ac:dyDescent="0.3">
      <c r="A141" s="19"/>
      <c r="B141" s="19">
        <v>10</v>
      </c>
      <c r="C141" s="29" t="s">
        <v>104</v>
      </c>
      <c r="D141" s="21"/>
      <c r="E141" s="19"/>
      <c r="F141" s="22"/>
      <c r="G141" s="23"/>
      <c r="H141" s="24"/>
      <c r="I141" s="23"/>
      <c r="J141" s="23"/>
      <c r="K141" s="32"/>
      <c r="L141" s="33"/>
      <c r="M141" s="34"/>
      <c r="N141" s="35">
        <f t="shared" si="53"/>
        <v>158255978</v>
      </c>
    </row>
    <row r="142" spans="1:14" s="18" customFormat="1" ht="24" hidden="1" customHeight="1" x14ac:dyDescent="0.3">
      <c r="A142" s="19"/>
      <c r="B142" s="19"/>
      <c r="C142" s="29" t="s">
        <v>105</v>
      </c>
      <c r="D142" s="21"/>
      <c r="E142" s="19"/>
      <c r="F142" s="22"/>
      <c r="G142" s="23"/>
      <c r="H142" s="24">
        <v>120000</v>
      </c>
      <c r="I142" s="23">
        <f>H142*0.1</f>
        <v>12000</v>
      </c>
      <c r="J142" s="23">
        <f>SUM(H142:I142)</f>
        <v>132000</v>
      </c>
      <c r="K142" s="32"/>
      <c r="L142" s="33"/>
      <c r="M142" s="34"/>
      <c r="N142" s="35">
        <f t="shared" si="53"/>
        <v>158387978</v>
      </c>
    </row>
    <row r="143" spans="1:14" s="18" customFormat="1" ht="24" hidden="1" customHeight="1" x14ac:dyDescent="0.3">
      <c r="A143" s="19"/>
      <c r="B143" s="19">
        <v>13</v>
      </c>
      <c r="C143" s="29" t="s">
        <v>20</v>
      </c>
      <c r="D143" s="21"/>
      <c r="E143" s="19"/>
      <c r="F143" s="22"/>
      <c r="G143" s="23"/>
      <c r="H143" s="24"/>
      <c r="I143" s="23"/>
      <c r="J143" s="23"/>
      <c r="K143" s="32"/>
      <c r="L143" s="33"/>
      <c r="M143" s="34"/>
      <c r="N143" s="35">
        <f t="shared" si="53"/>
        <v>158387978</v>
      </c>
    </row>
    <row r="144" spans="1:14" s="18" customFormat="1" ht="24" hidden="1" customHeight="1" x14ac:dyDescent="0.3">
      <c r="A144" s="19"/>
      <c r="B144" s="19"/>
      <c r="C144" s="36" t="s">
        <v>21</v>
      </c>
      <c r="D144" s="37"/>
      <c r="E144" s="19">
        <v>1</v>
      </c>
      <c r="F144" s="22">
        <v>25.2</v>
      </c>
      <c r="G144" s="23">
        <f>2350+700+1070+250+330</f>
        <v>4700</v>
      </c>
      <c r="H144" s="24">
        <f t="shared" ref="H144" si="68">F144*G144</f>
        <v>118440</v>
      </c>
      <c r="I144" s="23">
        <v>0</v>
      </c>
      <c r="J144" s="23">
        <f t="shared" ref="J144" si="69">SUM(H144:I144)</f>
        <v>118440</v>
      </c>
      <c r="K144" s="32"/>
      <c r="L144" s="33"/>
      <c r="M144" s="34"/>
      <c r="N144" s="35">
        <f t="shared" si="53"/>
        <v>158506418</v>
      </c>
    </row>
    <row r="145" spans="1:14" s="18" customFormat="1" ht="24" hidden="1" customHeight="1" x14ac:dyDescent="0.3">
      <c r="A145" s="19"/>
      <c r="B145" s="19">
        <v>13</v>
      </c>
      <c r="C145" s="29" t="s">
        <v>106</v>
      </c>
      <c r="D145" s="21"/>
      <c r="E145" s="19"/>
      <c r="F145" s="22"/>
      <c r="G145" s="23"/>
      <c r="H145" s="24"/>
      <c r="I145" s="23"/>
      <c r="J145" s="23"/>
      <c r="K145" s="32"/>
      <c r="L145" s="33"/>
      <c r="M145" s="34"/>
      <c r="N145" s="35">
        <f t="shared" si="53"/>
        <v>158506418</v>
      </c>
    </row>
    <row r="146" spans="1:14" s="18" customFormat="1" ht="24" hidden="1" customHeight="1" x14ac:dyDescent="0.3">
      <c r="A146" s="19"/>
      <c r="B146" s="19"/>
      <c r="C146" s="29" t="s">
        <v>107</v>
      </c>
      <c r="D146" s="37"/>
      <c r="E146" s="19">
        <v>1</v>
      </c>
      <c r="F146" s="22">
        <v>3.2</v>
      </c>
      <c r="G146" s="23">
        <f>700+700+740</f>
        <v>2140</v>
      </c>
      <c r="H146" s="24">
        <f t="shared" ref="H146" si="70">F146*G146</f>
        <v>6848</v>
      </c>
      <c r="I146" s="23">
        <v>0</v>
      </c>
      <c r="J146" s="23">
        <f t="shared" ref="J146" si="71">SUM(H146:I146)</f>
        <v>6848</v>
      </c>
      <c r="K146" s="32"/>
      <c r="L146" s="33"/>
      <c r="M146" s="34"/>
      <c r="N146" s="35">
        <f t="shared" si="53"/>
        <v>158513266</v>
      </c>
    </row>
    <row r="147" spans="1:14" s="18" customFormat="1" ht="24" hidden="1" customHeight="1" x14ac:dyDescent="0.3">
      <c r="A147" s="19"/>
      <c r="B147" s="19">
        <v>13</v>
      </c>
      <c r="C147" s="29" t="s">
        <v>108</v>
      </c>
      <c r="D147" s="21"/>
      <c r="E147" s="19"/>
      <c r="F147" s="22"/>
      <c r="G147" s="23"/>
      <c r="H147" s="24"/>
      <c r="I147" s="23"/>
      <c r="J147" s="23"/>
      <c r="K147" s="32"/>
      <c r="L147" s="33"/>
      <c r="M147" s="34"/>
      <c r="N147" s="38">
        <f t="shared" si="53"/>
        <v>158513266</v>
      </c>
    </row>
    <row r="148" spans="1:14" s="18" customFormat="1" ht="24" hidden="1" customHeight="1" x14ac:dyDescent="0.3">
      <c r="A148" s="19"/>
      <c r="B148" s="19"/>
      <c r="C148" s="29" t="s">
        <v>46</v>
      </c>
      <c r="D148" s="21"/>
      <c r="E148" s="19">
        <v>2</v>
      </c>
      <c r="F148" s="22">
        <v>27.8</v>
      </c>
      <c r="G148" s="23">
        <v>2200</v>
      </c>
      <c r="H148" s="24">
        <f t="shared" ref="H148" si="72">F148*G148</f>
        <v>61160</v>
      </c>
      <c r="I148" s="23">
        <v>0</v>
      </c>
      <c r="J148" s="23">
        <f t="shared" ref="J148" si="73">SUM(H148:I148)</f>
        <v>61160</v>
      </c>
      <c r="K148" s="32"/>
      <c r="L148" s="33"/>
      <c r="M148" s="34"/>
      <c r="N148" s="38">
        <f t="shared" si="53"/>
        <v>158574426</v>
      </c>
    </row>
    <row r="149" spans="1:14" s="18" customFormat="1" ht="24" hidden="1" customHeight="1" x14ac:dyDescent="0.3">
      <c r="A149" s="19"/>
      <c r="B149" s="19">
        <v>13</v>
      </c>
      <c r="C149" s="29" t="s">
        <v>109</v>
      </c>
      <c r="D149" s="21"/>
      <c r="E149" s="19"/>
      <c r="F149" s="22"/>
      <c r="G149" s="23"/>
      <c r="H149" s="24"/>
      <c r="I149" s="23"/>
      <c r="J149" s="23"/>
      <c r="K149" s="32"/>
      <c r="L149" s="33"/>
      <c r="M149" s="34"/>
      <c r="N149" s="38">
        <f t="shared" si="53"/>
        <v>158574426</v>
      </c>
    </row>
    <row r="150" spans="1:14" s="18" customFormat="1" ht="24" hidden="1" customHeight="1" x14ac:dyDescent="0.3">
      <c r="A150" s="19"/>
      <c r="B150" s="19"/>
      <c r="C150" s="36" t="s">
        <v>110</v>
      </c>
      <c r="D150" s="37"/>
      <c r="E150" s="19">
        <v>8</v>
      </c>
      <c r="F150" s="22">
        <v>45.8</v>
      </c>
      <c r="G150" s="23">
        <f>2350+700+980+250+280</f>
        <v>4560</v>
      </c>
      <c r="H150" s="24">
        <f t="shared" ref="H150" si="74">F150*G150</f>
        <v>208848</v>
      </c>
      <c r="I150" s="23">
        <v>0</v>
      </c>
      <c r="J150" s="23">
        <f t="shared" ref="J150" si="75">SUM(H150:I150)</f>
        <v>208848</v>
      </c>
      <c r="K150" s="32"/>
      <c r="L150" s="33"/>
      <c r="M150" s="34"/>
      <c r="N150" s="38">
        <f t="shared" si="53"/>
        <v>158783274</v>
      </c>
    </row>
    <row r="151" spans="1:14" s="18" customFormat="1" ht="24" hidden="1" customHeight="1" x14ac:dyDescent="0.3">
      <c r="A151" s="19"/>
      <c r="B151" s="19">
        <v>13</v>
      </c>
      <c r="C151" s="29" t="s">
        <v>111</v>
      </c>
      <c r="D151" s="21"/>
      <c r="E151" s="19"/>
      <c r="F151" s="22"/>
      <c r="G151" s="23"/>
      <c r="H151" s="24"/>
      <c r="I151" s="23"/>
      <c r="J151" s="23"/>
      <c r="K151" s="32"/>
      <c r="L151" s="33"/>
      <c r="M151" s="34"/>
      <c r="N151" s="38">
        <f t="shared" si="53"/>
        <v>158783274</v>
      </c>
    </row>
    <row r="152" spans="1:14" s="18" customFormat="1" ht="24" hidden="1" customHeight="1" x14ac:dyDescent="0.3">
      <c r="A152" s="19"/>
      <c r="B152" s="19"/>
      <c r="C152" s="36" t="s">
        <v>21</v>
      </c>
      <c r="D152" s="21"/>
      <c r="E152" s="19">
        <v>42</v>
      </c>
      <c r="F152" s="22">
        <v>280.60000000000002</v>
      </c>
      <c r="G152" s="23">
        <f>2350+700+1070+250+330</f>
        <v>4700</v>
      </c>
      <c r="H152" s="24">
        <f t="shared" ref="H152:H153" si="76">F152*G152</f>
        <v>1318820</v>
      </c>
      <c r="I152" s="23">
        <v>0</v>
      </c>
      <c r="J152" s="23">
        <f t="shared" ref="J152:J153" si="77">SUM(H152:I152)</f>
        <v>1318820</v>
      </c>
      <c r="K152" s="32"/>
      <c r="L152" s="33"/>
      <c r="M152" s="34"/>
      <c r="N152" s="38">
        <f t="shared" si="53"/>
        <v>160102094</v>
      </c>
    </row>
    <row r="153" spans="1:14" s="18" customFormat="1" ht="24" hidden="1" customHeight="1" x14ac:dyDescent="0.3">
      <c r="A153" s="19"/>
      <c r="B153" s="19"/>
      <c r="C153" s="36" t="s">
        <v>112</v>
      </c>
      <c r="D153" s="21"/>
      <c r="E153" s="19">
        <v>23</v>
      </c>
      <c r="F153" s="22">
        <v>380.9</v>
      </c>
      <c r="G153" s="23">
        <f>2650+1000+980+250+280</f>
        <v>5160</v>
      </c>
      <c r="H153" s="24">
        <f t="shared" si="76"/>
        <v>1965443.9999999998</v>
      </c>
      <c r="I153" s="23">
        <v>0</v>
      </c>
      <c r="J153" s="23">
        <f t="shared" si="77"/>
        <v>1965443.9999999998</v>
      </c>
      <c r="K153" s="32"/>
      <c r="L153" s="33"/>
      <c r="M153" s="34"/>
      <c r="N153" s="38">
        <f t="shared" si="53"/>
        <v>162067538</v>
      </c>
    </row>
    <row r="154" spans="1:14" s="18" customFormat="1" ht="24" hidden="1" customHeight="1" x14ac:dyDescent="0.3">
      <c r="A154" s="19"/>
      <c r="B154" s="19">
        <v>13</v>
      </c>
      <c r="C154" s="29" t="s">
        <v>113</v>
      </c>
      <c r="D154" s="37"/>
      <c r="E154" s="19"/>
      <c r="F154" s="22"/>
      <c r="G154" s="23"/>
      <c r="H154" s="24"/>
      <c r="I154" s="23"/>
      <c r="J154" s="23"/>
      <c r="K154" s="32"/>
      <c r="L154" s="33"/>
      <c r="M154" s="34"/>
      <c r="N154" s="38">
        <f t="shared" si="53"/>
        <v>162067538</v>
      </c>
    </row>
    <row r="155" spans="1:14" s="18" customFormat="1" ht="24" hidden="1" customHeight="1" x14ac:dyDescent="0.3">
      <c r="A155" s="19"/>
      <c r="B155" s="19"/>
      <c r="C155" s="36" t="s">
        <v>48</v>
      </c>
      <c r="D155" s="21"/>
      <c r="E155" s="19">
        <v>33</v>
      </c>
      <c r="F155" s="22">
        <v>206.6</v>
      </c>
      <c r="G155" s="23">
        <f>2350+700+1070+250</f>
        <v>4370</v>
      </c>
      <c r="H155" s="24">
        <f t="shared" ref="H155:H156" si="78">F155*G155</f>
        <v>902842</v>
      </c>
      <c r="I155" s="23">
        <v>0</v>
      </c>
      <c r="J155" s="23">
        <f t="shared" ref="J155:J156" si="79">SUM(H155:I155)</f>
        <v>902842</v>
      </c>
      <c r="K155" s="32"/>
      <c r="L155" s="33"/>
      <c r="M155" s="34"/>
      <c r="N155" s="38">
        <f t="shared" si="53"/>
        <v>162970380</v>
      </c>
    </row>
    <row r="156" spans="1:14" s="18" customFormat="1" ht="24" hidden="1" customHeight="1" x14ac:dyDescent="0.3">
      <c r="A156" s="19"/>
      <c r="B156" s="19"/>
      <c r="C156" s="36" t="s">
        <v>86</v>
      </c>
      <c r="D156" s="21"/>
      <c r="E156" s="19">
        <v>4</v>
      </c>
      <c r="F156" s="22">
        <v>45.8</v>
      </c>
      <c r="G156" s="23">
        <f>700+1080+1070+250</f>
        <v>3100</v>
      </c>
      <c r="H156" s="24">
        <f t="shared" si="78"/>
        <v>141980</v>
      </c>
      <c r="I156" s="23">
        <v>0</v>
      </c>
      <c r="J156" s="23">
        <f t="shared" si="79"/>
        <v>141980</v>
      </c>
      <c r="K156" s="32"/>
      <c r="L156" s="33"/>
      <c r="M156" s="34"/>
      <c r="N156" s="38">
        <f t="shared" si="53"/>
        <v>163112360</v>
      </c>
    </row>
    <row r="157" spans="1:14" s="2" customFormat="1" ht="27" hidden="1" customHeight="1" thickBot="1" x14ac:dyDescent="0.35">
      <c r="A157" s="1"/>
      <c r="B157" s="1"/>
      <c r="C157" s="1"/>
      <c r="E157" s="86" t="s">
        <v>0</v>
      </c>
      <c r="F157" s="86"/>
      <c r="G157" s="86"/>
      <c r="H157" s="86"/>
      <c r="I157" s="86"/>
      <c r="J157" s="86"/>
      <c r="K157" s="1"/>
      <c r="L157" s="3"/>
      <c r="M157" s="3"/>
      <c r="N157" s="1"/>
    </row>
    <row r="158" spans="1:14" s="2" customFormat="1" ht="24" hidden="1" customHeight="1" thickTop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3"/>
      <c r="M158" s="3"/>
      <c r="N158" s="1"/>
    </row>
    <row r="159" spans="1:14" s="2" customFormat="1" ht="24" hidden="1" customHeight="1" thickBot="1" x14ac:dyDescent="0.35">
      <c r="A159" s="2" t="s">
        <v>1</v>
      </c>
      <c r="C159" s="4"/>
      <c r="D159" s="4"/>
      <c r="E159" s="5"/>
      <c r="F159" s="6"/>
      <c r="G159" s="7"/>
      <c r="H159" s="7"/>
      <c r="I159" s="7"/>
      <c r="J159" s="8"/>
      <c r="K159" s="9"/>
      <c r="L159" s="10"/>
      <c r="M159" s="11"/>
      <c r="N159" s="12" t="s">
        <v>2</v>
      </c>
    </row>
    <row r="160" spans="1:14" s="18" customFormat="1" ht="24" hidden="1" customHeight="1" thickTop="1" thickBot="1" x14ac:dyDescent="0.35">
      <c r="A160" s="13" t="s">
        <v>3</v>
      </c>
      <c r="B160" s="13" t="s">
        <v>4</v>
      </c>
      <c r="C160" s="87" t="s">
        <v>5</v>
      </c>
      <c r="D160" s="88"/>
      <c r="E160" s="13" t="s">
        <v>6</v>
      </c>
      <c r="F160" s="14" t="s">
        <v>7</v>
      </c>
      <c r="G160" s="15" t="s">
        <v>8</v>
      </c>
      <c r="H160" s="15" t="s">
        <v>9</v>
      </c>
      <c r="I160" s="15" t="s">
        <v>10</v>
      </c>
      <c r="J160" s="15" t="s">
        <v>11</v>
      </c>
      <c r="K160" s="16" t="s">
        <v>12</v>
      </c>
      <c r="L160" s="89" t="s">
        <v>13</v>
      </c>
      <c r="M160" s="90"/>
      <c r="N160" s="17" t="s">
        <v>14</v>
      </c>
    </row>
    <row r="161" spans="1:14" s="18" customFormat="1" ht="24" hidden="1" customHeight="1" thickTop="1" x14ac:dyDescent="0.3">
      <c r="A161" s="19"/>
      <c r="B161" s="19"/>
      <c r="C161" s="39" t="s">
        <v>41</v>
      </c>
      <c r="D161" s="40"/>
      <c r="E161" s="41"/>
      <c r="F161" s="42"/>
      <c r="G161" s="43"/>
      <c r="H161" s="44"/>
      <c r="I161" s="43"/>
      <c r="J161" s="43"/>
      <c r="K161" s="25"/>
      <c r="L161" s="26"/>
      <c r="M161" s="27"/>
      <c r="N161" s="28">
        <f>N156</f>
        <v>163112360</v>
      </c>
    </row>
    <row r="162" spans="1:14" s="18" customFormat="1" ht="24" hidden="1" customHeight="1" x14ac:dyDescent="0.3">
      <c r="A162" s="19">
        <v>1</v>
      </c>
      <c r="B162" s="19">
        <v>13</v>
      </c>
      <c r="C162" s="29" t="s">
        <v>114</v>
      </c>
      <c r="D162" s="21"/>
      <c r="E162" s="19"/>
      <c r="F162" s="22"/>
      <c r="G162" s="23"/>
      <c r="H162" s="24"/>
      <c r="I162" s="23"/>
      <c r="J162" s="23"/>
      <c r="K162" s="32"/>
      <c r="L162" s="33"/>
      <c r="M162" s="34"/>
      <c r="N162" s="35">
        <f>N161+J162+K162</f>
        <v>163112360</v>
      </c>
    </row>
    <row r="163" spans="1:14" s="18" customFormat="1" ht="24" hidden="1" customHeight="1" x14ac:dyDescent="0.3">
      <c r="A163" s="19"/>
      <c r="B163" s="19"/>
      <c r="C163" s="29" t="s">
        <v>115</v>
      </c>
      <c r="D163" s="21"/>
      <c r="E163" s="19">
        <v>4</v>
      </c>
      <c r="F163" s="22">
        <v>12</v>
      </c>
      <c r="G163" s="23">
        <f>700+700+980</f>
        <v>2380</v>
      </c>
      <c r="H163" s="24">
        <f t="shared" ref="H163" si="80">F163*G163</f>
        <v>28560</v>
      </c>
      <c r="I163" s="23">
        <v>0</v>
      </c>
      <c r="J163" s="23">
        <f t="shared" ref="J163" si="81">SUM(H163:I163)</f>
        <v>28560</v>
      </c>
      <c r="K163" s="32"/>
      <c r="L163" s="33"/>
      <c r="M163" s="34"/>
      <c r="N163" s="35">
        <f>N162+J163+K163</f>
        <v>163140920</v>
      </c>
    </row>
    <row r="164" spans="1:14" s="18" customFormat="1" ht="24" hidden="1" customHeight="1" x14ac:dyDescent="0.3">
      <c r="A164" s="19"/>
      <c r="B164" s="19">
        <v>14</v>
      </c>
      <c r="C164" s="29" t="s">
        <v>25</v>
      </c>
      <c r="D164" s="37"/>
      <c r="E164" s="19"/>
      <c r="F164" s="22"/>
      <c r="G164" s="23"/>
      <c r="H164" s="24"/>
      <c r="I164" s="23"/>
      <c r="J164" s="23"/>
      <c r="K164" s="32"/>
      <c r="L164" s="33"/>
      <c r="M164" s="34"/>
      <c r="N164" s="35">
        <f t="shared" ref="N164:N195" si="82">N163+J164+K164</f>
        <v>163140920</v>
      </c>
    </row>
    <row r="165" spans="1:14" s="18" customFormat="1" ht="24" hidden="1" customHeight="1" x14ac:dyDescent="0.3">
      <c r="A165" s="19"/>
      <c r="B165" s="19"/>
      <c r="C165" s="36" t="s">
        <v>116</v>
      </c>
      <c r="D165" s="21"/>
      <c r="E165" s="19">
        <v>6</v>
      </c>
      <c r="F165" s="22">
        <v>142.69999999999999</v>
      </c>
      <c r="G165" s="23">
        <f>1500+2000+1070+250</f>
        <v>4820</v>
      </c>
      <c r="H165" s="24">
        <f t="shared" ref="H165" si="83">F165*G165</f>
        <v>687814</v>
      </c>
      <c r="I165" s="23">
        <v>0</v>
      </c>
      <c r="J165" s="23">
        <f t="shared" ref="J165" si="84">SUM(H165:I165)</f>
        <v>687814</v>
      </c>
      <c r="K165" s="32"/>
      <c r="L165" s="33"/>
      <c r="M165" s="34"/>
      <c r="N165" s="35">
        <f t="shared" si="82"/>
        <v>163828734</v>
      </c>
    </row>
    <row r="166" spans="1:14" s="18" customFormat="1" ht="24" hidden="1" customHeight="1" x14ac:dyDescent="0.3">
      <c r="A166" s="19"/>
      <c r="B166" s="19"/>
      <c r="C166" s="29" t="s">
        <v>117</v>
      </c>
      <c r="D166" s="46"/>
      <c r="E166" s="19"/>
      <c r="F166" s="22"/>
      <c r="G166" s="23"/>
      <c r="H166" s="24">
        <v>360000</v>
      </c>
      <c r="I166" s="23">
        <f>H166*0.1</f>
        <v>36000</v>
      </c>
      <c r="J166" s="23">
        <f>SUM(H166:I166)</f>
        <v>396000</v>
      </c>
      <c r="K166" s="32"/>
      <c r="L166" s="33"/>
      <c r="M166" s="34"/>
      <c r="N166" s="35">
        <f t="shared" si="82"/>
        <v>164224734</v>
      </c>
    </row>
    <row r="167" spans="1:14" s="18" customFormat="1" ht="24" hidden="1" customHeight="1" x14ac:dyDescent="0.3">
      <c r="A167" s="19"/>
      <c r="B167" s="19">
        <v>14</v>
      </c>
      <c r="C167" s="29" t="s">
        <v>118</v>
      </c>
      <c r="D167" s="21"/>
      <c r="E167" s="19"/>
      <c r="F167" s="22"/>
      <c r="G167" s="23"/>
      <c r="H167" s="24"/>
      <c r="I167" s="23"/>
      <c r="J167" s="23"/>
      <c r="K167" s="32"/>
      <c r="L167" s="33"/>
      <c r="M167" s="34"/>
      <c r="N167" s="35">
        <f t="shared" si="82"/>
        <v>164224734</v>
      </c>
    </row>
    <row r="168" spans="1:14" s="18" customFormat="1" ht="24" hidden="1" customHeight="1" x14ac:dyDescent="0.3">
      <c r="A168" s="19"/>
      <c r="B168" s="19"/>
      <c r="C168" s="29" t="s">
        <v>105</v>
      </c>
      <c r="D168" s="21"/>
      <c r="E168" s="19"/>
      <c r="F168" s="22"/>
      <c r="G168" s="23"/>
      <c r="H168" s="24">
        <v>360000</v>
      </c>
      <c r="I168" s="23">
        <f>H168*0.1</f>
        <v>36000</v>
      </c>
      <c r="J168" s="23">
        <f>SUM(H168:I168)</f>
        <v>396000</v>
      </c>
      <c r="K168" s="32"/>
      <c r="L168" s="33"/>
      <c r="M168" s="34"/>
      <c r="N168" s="35">
        <f t="shared" si="82"/>
        <v>164620734</v>
      </c>
    </row>
    <row r="169" spans="1:14" s="18" customFormat="1" ht="24" hidden="1" customHeight="1" x14ac:dyDescent="0.3">
      <c r="A169" s="19"/>
      <c r="B169" s="19">
        <v>15</v>
      </c>
      <c r="C169" s="29" t="s">
        <v>119</v>
      </c>
      <c r="D169" s="21"/>
      <c r="E169" s="19"/>
      <c r="F169" s="22"/>
      <c r="G169" s="23"/>
      <c r="H169" s="24"/>
      <c r="I169" s="23"/>
      <c r="J169" s="23"/>
      <c r="K169" s="32"/>
      <c r="L169" s="33"/>
      <c r="M169" s="34"/>
      <c r="N169" s="35">
        <f t="shared" si="82"/>
        <v>164620734</v>
      </c>
    </row>
    <row r="170" spans="1:14" s="18" customFormat="1" ht="24" hidden="1" customHeight="1" x14ac:dyDescent="0.3">
      <c r="A170" s="19"/>
      <c r="B170" s="19"/>
      <c r="C170" s="36" t="s">
        <v>21</v>
      </c>
      <c r="D170" s="37"/>
      <c r="E170" s="19">
        <v>2</v>
      </c>
      <c r="F170" s="22">
        <v>18.600000000000001</v>
      </c>
      <c r="G170" s="23">
        <f>2350+700+1070+250+330</f>
        <v>4700</v>
      </c>
      <c r="H170" s="24">
        <f t="shared" ref="H170:H171" si="85">F170*G170</f>
        <v>87420</v>
      </c>
      <c r="I170" s="23">
        <v>0</v>
      </c>
      <c r="J170" s="23">
        <f t="shared" ref="J170" si="86">SUM(H170:I170)</f>
        <v>87420</v>
      </c>
      <c r="K170" s="32"/>
      <c r="L170" s="33"/>
      <c r="M170" s="34"/>
      <c r="N170" s="35">
        <f t="shared" si="82"/>
        <v>164708154</v>
      </c>
    </row>
    <row r="171" spans="1:14" s="18" customFormat="1" ht="24" hidden="1" customHeight="1" x14ac:dyDescent="0.3">
      <c r="A171" s="19"/>
      <c r="B171" s="19">
        <v>15</v>
      </c>
      <c r="C171" s="29" t="s">
        <v>120</v>
      </c>
      <c r="D171" s="21"/>
      <c r="E171" s="19">
        <v>1</v>
      </c>
      <c r="F171" s="22">
        <v>20.8</v>
      </c>
      <c r="G171" s="23">
        <v>2000</v>
      </c>
      <c r="H171" s="24">
        <f t="shared" si="85"/>
        <v>41600</v>
      </c>
      <c r="I171" s="23">
        <v>0</v>
      </c>
      <c r="J171" s="23">
        <f t="shared" ref="J171" si="87">SUM(H171:I171)</f>
        <v>41600</v>
      </c>
      <c r="K171" s="32"/>
      <c r="L171" s="33"/>
      <c r="M171" s="34"/>
      <c r="N171" s="35">
        <f t="shared" si="82"/>
        <v>164749754</v>
      </c>
    </row>
    <row r="172" spans="1:14" s="18" customFormat="1" ht="24" hidden="1" customHeight="1" x14ac:dyDescent="0.3">
      <c r="A172" s="19"/>
      <c r="B172" s="19">
        <v>15</v>
      </c>
      <c r="C172" s="29" t="s">
        <v>121</v>
      </c>
      <c r="D172" s="21"/>
      <c r="E172" s="19"/>
      <c r="F172" s="22"/>
      <c r="G172" s="23"/>
      <c r="H172" s="24"/>
      <c r="I172" s="23"/>
      <c r="J172" s="23"/>
      <c r="K172" s="32"/>
      <c r="L172" s="33"/>
      <c r="M172" s="34"/>
      <c r="N172" s="35">
        <f t="shared" si="82"/>
        <v>164749754</v>
      </c>
    </row>
    <row r="173" spans="1:14" s="18" customFormat="1" ht="24" hidden="1" customHeight="1" x14ac:dyDescent="0.3">
      <c r="A173" s="19"/>
      <c r="B173" s="19"/>
      <c r="C173" s="29" t="s">
        <v>122</v>
      </c>
      <c r="D173" s="21"/>
      <c r="E173" s="19"/>
      <c r="F173" s="22"/>
      <c r="G173" s="23"/>
      <c r="H173" s="24">
        <v>160000</v>
      </c>
      <c r="I173" s="23">
        <f>H173*0.1</f>
        <v>16000</v>
      </c>
      <c r="J173" s="23">
        <f>SUM(H173:I173)</f>
        <v>176000</v>
      </c>
      <c r="K173" s="32"/>
      <c r="L173" s="33"/>
      <c r="M173" s="34"/>
      <c r="N173" s="35">
        <f t="shared" si="82"/>
        <v>164925754</v>
      </c>
    </row>
    <row r="174" spans="1:14" s="18" customFormat="1" ht="24" hidden="1" customHeight="1" x14ac:dyDescent="0.3">
      <c r="A174" s="19"/>
      <c r="B174" s="19">
        <v>15</v>
      </c>
      <c r="C174" s="29" t="s">
        <v>68</v>
      </c>
      <c r="D174" s="37"/>
      <c r="E174" s="19"/>
      <c r="F174" s="22"/>
      <c r="G174" s="23"/>
      <c r="H174" s="24"/>
      <c r="I174" s="23"/>
      <c r="J174" s="23"/>
      <c r="K174" s="32"/>
      <c r="L174" s="33"/>
      <c r="M174" s="34"/>
      <c r="N174" s="35">
        <f t="shared" si="82"/>
        <v>164925754</v>
      </c>
    </row>
    <row r="175" spans="1:14" s="18" customFormat="1" ht="24" hidden="1" customHeight="1" x14ac:dyDescent="0.3">
      <c r="A175" s="19"/>
      <c r="B175" s="19"/>
      <c r="C175" s="29" t="s">
        <v>92</v>
      </c>
      <c r="D175" s="21"/>
      <c r="E175" s="19"/>
      <c r="F175" s="22"/>
      <c r="G175" s="23"/>
      <c r="H175" s="24">
        <v>280000</v>
      </c>
      <c r="I175" s="23">
        <f>H175*0.1</f>
        <v>28000</v>
      </c>
      <c r="J175" s="23">
        <f>SUM(H175:I175)</f>
        <v>308000</v>
      </c>
      <c r="K175" s="32"/>
      <c r="L175" s="33"/>
      <c r="M175" s="34"/>
      <c r="N175" s="35">
        <f t="shared" si="82"/>
        <v>165233754</v>
      </c>
    </row>
    <row r="176" spans="1:14" s="18" customFormat="1" ht="24" hidden="1" customHeight="1" x14ac:dyDescent="0.3">
      <c r="A176" s="19"/>
      <c r="B176" s="19">
        <v>15</v>
      </c>
      <c r="C176" s="29" t="s">
        <v>123</v>
      </c>
      <c r="D176" s="21"/>
      <c r="E176" s="19"/>
      <c r="F176" s="22"/>
      <c r="G176" s="23"/>
      <c r="H176" s="24"/>
      <c r="I176" s="23"/>
      <c r="J176" s="23"/>
      <c r="K176" s="32"/>
      <c r="L176" s="33"/>
      <c r="M176" s="34"/>
      <c r="N176" s="35">
        <f t="shared" si="82"/>
        <v>165233754</v>
      </c>
    </row>
    <row r="177" spans="1:14" s="18" customFormat="1" ht="24" hidden="1" customHeight="1" x14ac:dyDescent="0.3">
      <c r="A177" s="19"/>
      <c r="B177" s="19"/>
      <c r="C177" s="29" t="s">
        <v>105</v>
      </c>
      <c r="D177" s="21"/>
      <c r="E177" s="19"/>
      <c r="F177" s="22"/>
      <c r="G177" s="23"/>
      <c r="H177" s="24">
        <v>360000</v>
      </c>
      <c r="I177" s="23">
        <f>H177*0.1</f>
        <v>36000</v>
      </c>
      <c r="J177" s="23">
        <f>SUM(H177:I177)</f>
        <v>396000</v>
      </c>
      <c r="K177" s="32"/>
      <c r="L177" s="33"/>
      <c r="M177" s="34"/>
      <c r="N177" s="35">
        <f t="shared" si="82"/>
        <v>165629754</v>
      </c>
    </row>
    <row r="178" spans="1:14" s="18" customFormat="1" ht="24" hidden="1" customHeight="1" x14ac:dyDescent="0.3">
      <c r="A178" s="19"/>
      <c r="B178" s="19">
        <v>16</v>
      </c>
      <c r="C178" s="29" t="s">
        <v>124</v>
      </c>
      <c r="D178" s="37"/>
      <c r="E178" s="19"/>
      <c r="F178" s="22"/>
      <c r="G178" s="23"/>
      <c r="H178" s="24"/>
      <c r="I178" s="23"/>
      <c r="J178" s="23"/>
      <c r="K178" s="32"/>
      <c r="L178" s="33"/>
      <c r="M178" s="34"/>
      <c r="N178" s="35">
        <f t="shared" si="82"/>
        <v>165629754</v>
      </c>
    </row>
    <row r="179" spans="1:14" s="18" customFormat="1" ht="24" hidden="1" customHeight="1" x14ac:dyDescent="0.3">
      <c r="A179" s="19"/>
      <c r="B179" s="19"/>
      <c r="C179" s="36" t="s">
        <v>61</v>
      </c>
      <c r="D179" s="21"/>
      <c r="E179" s="19">
        <v>36</v>
      </c>
      <c r="F179" s="22">
        <v>257.60000000000002</v>
      </c>
      <c r="G179" s="23">
        <f>2350+2350+700+1070+1070+250+250+330+330</f>
        <v>8700</v>
      </c>
      <c r="H179" s="24">
        <f t="shared" ref="H179:H180" si="88">F179*G179</f>
        <v>2241120</v>
      </c>
      <c r="I179" s="23">
        <v>0</v>
      </c>
      <c r="J179" s="23">
        <f t="shared" ref="J179:J180" si="89">SUM(H179:I179)</f>
        <v>2241120</v>
      </c>
      <c r="K179" s="32"/>
      <c r="L179" s="33"/>
      <c r="M179" s="34"/>
      <c r="N179" s="35">
        <f t="shared" si="82"/>
        <v>167870874</v>
      </c>
    </row>
    <row r="180" spans="1:14" s="18" customFormat="1" ht="24" hidden="1" customHeight="1" x14ac:dyDescent="0.3">
      <c r="A180" s="19"/>
      <c r="B180" s="19"/>
      <c r="C180" s="36" t="s">
        <v>63</v>
      </c>
      <c r="D180" s="21"/>
      <c r="E180" s="19">
        <v>18</v>
      </c>
      <c r="F180" s="22">
        <v>77.7</v>
      </c>
      <c r="G180" s="23">
        <f>2650+2650+1000+980+980+250+250+280+280</f>
        <v>9320</v>
      </c>
      <c r="H180" s="24">
        <f t="shared" si="88"/>
        <v>724164</v>
      </c>
      <c r="I180" s="23">
        <v>0</v>
      </c>
      <c r="J180" s="23">
        <f t="shared" si="89"/>
        <v>724164</v>
      </c>
      <c r="K180" s="32"/>
      <c r="L180" s="33"/>
      <c r="M180" s="34"/>
      <c r="N180" s="35">
        <f t="shared" si="82"/>
        <v>168595038</v>
      </c>
    </row>
    <row r="181" spans="1:14" s="18" customFormat="1" ht="24" hidden="1" customHeight="1" x14ac:dyDescent="0.3">
      <c r="A181" s="19"/>
      <c r="B181" s="19">
        <v>16</v>
      </c>
      <c r="C181" s="29" t="s">
        <v>125</v>
      </c>
      <c r="D181" s="21"/>
      <c r="E181" s="19"/>
      <c r="F181" s="22"/>
      <c r="G181" s="23"/>
      <c r="H181" s="24"/>
      <c r="I181" s="23"/>
      <c r="J181" s="23"/>
      <c r="K181" s="32"/>
      <c r="L181" s="33"/>
      <c r="M181" s="34"/>
      <c r="N181" s="35">
        <f t="shared" si="82"/>
        <v>168595038</v>
      </c>
    </row>
    <row r="182" spans="1:14" s="18" customFormat="1" ht="24" hidden="1" customHeight="1" x14ac:dyDescent="0.3">
      <c r="A182" s="19"/>
      <c r="B182" s="19"/>
      <c r="C182" s="29" t="s">
        <v>126</v>
      </c>
      <c r="D182" s="37"/>
      <c r="E182" s="19">
        <v>2835</v>
      </c>
      <c r="F182" s="22">
        <v>15258.5</v>
      </c>
      <c r="G182" s="23">
        <f>700+1080+980+250</f>
        <v>3010</v>
      </c>
      <c r="H182" s="24">
        <f t="shared" ref="H182" si="90">F182*G182</f>
        <v>45928085</v>
      </c>
      <c r="I182" s="23">
        <v>0</v>
      </c>
      <c r="J182" s="23">
        <f t="shared" ref="J182" si="91">SUM(H182:I182)</f>
        <v>45928085</v>
      </c>
      <c r="K182" s="32"/>
      <c r="L182" s="33"/>
      <c r="M182" s="34"/>
      <c r="N182" s="35">
        <f t="shared" si="82"/>
        <v>214523123</v>
      </c>
    </row>
    <row r="183" spans="1:14" s="18" customFormat="1" ht="24" hidden="1" customHeight="1" x14ac:dyDescent="0.3">
      <c r="A183" s="19"/>
      <c r="B183" s="19">
        <v>16</v>
      </c>
      <c r="C183" s="29" t="s">
        <v>127</v>
      </c>
      <c r="D183" s="21"/>
      <c r="E183" s="19"/>
      <c r="F183" s="22"/>
      <c r="G183" s="23"/>
      <c r="H183" s="24"/>
      <c r="I183" s="23"/>
      <c r="J183" s="23"/>
      <c r="K183" s="32"/>
      <c r="L183" s="33"/>
      <c r="M183" s="34"/>
      <c r="N183" s="35">
        <f t="shared" si="82"/>
        <v>214523123</v>
      </c>
    </row>
    <row r="184" spans="1:14" s="18" customFormat="1" ht="24" hidden="1" customHeight="1" x14ac:dyDescent="0.3">
      <c r="A184" s="19"/>
      <c r="B184" s="19"/>
      <c r="C184" s="36" t="s">
        <v>21</v>
      </c>
      <c r="D184" s="37"/>
      <c r="E184" s="19">
        <v>2</v>
      </c>
      <c r="F184" s="22">
        <v>6</v>
      </c>
      <c r="G184" s="23">
        <f>2350+700+1070+250+330</f>
        <v>4700</v>
      </c>
      <c r="H184" s="24">
        <f t="shared" ref="H184" si="92">F184*G184</f>
        <v>28200</v>
      </c>
      <c r="I184" s="23">
        <v>0</v>
      </c>
      <c r="J184" s="23">
        <f t="shared" ref="J184" si="93">SUM(H184:I184)</f>
        <v>28200</v>
      </c>
      <c r="K184" s="32"/>
      <c r="L184" s="33"/>
      <c r="M184" s="34"/>
      <c r="N184" s="35">
        <f t="shared" si="82"/>
        <v>214551323</v>
      </c>
    </row>
    <row r="185" spans="1:14" s="18" customFormat="1" ht="24" hidden="1" customHeight="1" x14ac:dyDescent="0.3">
      <c r="A185" s="19"/>
      <c r="B185" s="19">
        <v>17</v>
      </c>
      <c r="C185" s="29" t="s">
        <v>128</v>
      </c>
      <c r="D185" s="21"/>
      <c r="E185" s="19"/>
      <c r="F185" s="22"/>
      <c r="G185" s="23"/>
      <c r="H185" s="24"/>
      <c r="I185" s="23"/>
      <c r="J185" s="23"/>
      <c r="K185" s="32"/>
      <c r="L185" s="33"/>
      <c r="M185" s="34"/>
      <c r="N185" s="35">
        <f t="shared" si="82"/>
        <v>214551323</v>
      </c>
    </row>
    <row r="186" spans="1:14" s="18" customFormat="1" ht="24" hidden="1" customHeight="1" x14ac:dyDescent="0.3">
      <c r="A186" s="19"/>
      <c r="B186" s="19"/>
      <c r="C186" s="36" t="s">
        <v>23</v>
      </c>
      <c r="D186" s="21"/>
      <c r="E186" s="19">
        <v>1640</v>
      </c>
      <c r="F186" s="22">
        <v>8561.2000000000007</v>
      </c>
      <c r="G186" s="23">
        <f>2350+100+700+1070+250+330</f>
        <v>4800</v>
      </c>
      <c r="H186" s="24">
        <f t="shared" ref="H186" si="94">F186*G186</f>
        <v>41093760</v>
      </c>
      <c r="I186" s="23">
        <v>0</v>
      </c>
      <c r="J186" s="23">
        <f t="shared" ref="J186" si="95">SUM(H186:I186)</f>
        <v>41093760</v>
      </c>
      <c r="K186" s="32"/>
      <c r="L186" s="33"/>
      <c r="M186" s="34"/>
      <c r="N186" s="38">
        <f t="shared" si="82"/>
        <v>255645083</v>
      </c>
    </row>
    <row r="187" spans="1:14" s="18" customFormat="1" ht="24" hidden="1" customHeight="1" x14ac:dyDescent="0.3">
      <c r="A187" s="19"/>
      <c r="B187" s="19">
        <v>18</v>
      </c>
      <c r="C187" s="29" t="s">
        <v>129</v>
      </c>
      <c r="D187" s="21"/>
      <c r="E187" s="19"/>
      <c r="F187" s="22"/>
      <c r="G187" s="23"/>
      <c r="H187" s="24"/>
      <c r="I187" s="23"/>
      <c r="J187" s="23"/>
      <c r="K187" s="32"/>
      <c r="L187" s="33"/>
      <c r="M187" s="34"/>
      <c r="N187" s="38">
        <f t="shared" si="82"/>
        <v>255645083</v>
      </c>
    </row>
    <row r="188" spans="1:14" s="18" customFormat="1" ht="24" hidden="1" customHeight="1" x14ac:dyDescent="0.3">
      <c r="A188" s="19"/>
      <c r="B188" s="19"/>
      <c r="C188" s="29" t="s">
        <v>130</v>
      </c>
      <c r="D188" s="21"/>
      <c r="E188" s="19"/>
      <c r="F188" s="22"/>
      <c r="G188" s="23"/>
      <c r="H188" s="24">
        <v>120000</v>
      </c>
      <c r="I188" s="23">
        <f>H188*0.1</f>
        <v>12000</v>
      </c>
      <c r="J188" s="23">
        <f>SUM(H188:I188)</f>
        <v>132000</v>
      </c>
      <c r="K188" s="32"/>
      <c r="L188" s="33"/>
      <c r="M188" s="34"/>
      <c r="N188" s="38">
        <f t="shared" si="82"/>
        <v>255777083</v>
      </c>
    </row>
    <row r="189" spans="1:14" s="18" customFormat="1" ht="24" hidden="1" customHeight="1" x14ac:dyDescent="0.3">
      <c r="A189" s="19"/>
      <c r="B189" s="19"/>
      <c r="C189" s="29" t="s">
        <v>81</v>
      </c>
      <c r="D189" s="21"/>
      <c r="E189" s="19"/>
      <c r="F189" s="22"/>
      <c r="G189" s="23"/>
      <c r="H189" s="24">
        <v>70000</v>
      </c>
      <c r="I189" s="23">
        <f>H189*0.1</f>
        <v>7000</v>
      </c>
      <c r="J189" s="23">
        <f>SUM(H189:I189)</f>
        <v>77000</v>
      </c>
      <c r="K189" s="32"/>
      <c r="L189" s="33"/>
      <c r="M189" s="34"/>
      <c r="N189" s="38">
        <f t="shared" si="82"/>
        <v>255854083</v>
      </c>
    </row>
    <row r="190" spans="1:14" s="18" customFormat="1" ht="24" hidden="1" customHeight="1" x14ac:dyDescent="0.3">
      <c r="A190" s="19"/>
      <c r="B190" s="19">
        <v>20</v>
      </c>
      <c r="C190" s="29" t="s">
        <v>131</v>
      </c>
      <c r="D190" s="21"/>
      <c r="E190" s="19"/>
      <c r="F190" s="22"/>
      <c r="G190" s="23"/>
      <c r="H190" s="24"/>
      <c r="I190" s="23"/>
      <c r="J190" s="23"/>
      <c r="K190" s="32"/>
      <c r="L190" s="33"/>
      <c r="M190" s="34"/>
      <c r="N190" s="38">
        <f t="shared" si="82"/>
        <v>255854083</v>
      </c>
    </row>
    <row r="191" spans="1:14" s="18" customFormat="1" ht="24" hidden="1" customHeight="1" x14ac:dyDescent="0.3">
      <c r="A191" s="19"/>
      <c r="B191" s="19"/>
      <c r="C191" s="29" t="s">
        <v>30</v>
      </c>
      <c r="D191" s="21"/>
      <c r="E191" s="19">
        <v>288</v>
      </c>
      <c r="F191" s="22">
        <v>1553.2</v>
      </c>
      <c r="G191" s="23">
        <f>700+1080+980+250</f>
        <v>3010</v>
      </c>
      <c r="H191" s="24">
        <f t="shared" ref="H191" si="96">F191*G191</f>
        <v>4675132</v>
      </c>
      <c r="I191" s="23">
        <v>0</v>
      </c>
      <c r="J191" s="23">
        <f t="shared" ref="J191" si="97">SUM(H191:I191)</f>
        <v>4675132</v>
      </c>
      <c r="K191" s="32"/>
      <c r="L191" s="33"/>
      <c r="M191" s="34"/>
      <c r="N191" s="38">
        <f t="shared" si="82"/>
        <v>260529215</v>
      </c>
    </row>
    <row r="192" spans="1:14" s="18" customFormat="1" ht="24" hidden="1" customHeight="1" x14ac:dyDescent="0.3">
      <c r="A192" s="19"/>
      <c r="B192" s="19">
        <v>20</v>
      </c>
      <c r="C192" s="29" t="s">
        <v>22</v>
      </c>
      <c r="D192" s="37"/>
      <c r="E192" s="19"/>
      <c r="F192" s="22"/>
      <c r="G192" s="23"/>
      <c r="H192" s="24"/>
      <c r="I192" s="23"/>
      <c r="J192" s="23"/>
      <c r="K192" s="32"/>
      <c r="L192" s="33"/>
      <c r="M192" s="34"/>
      <c r="N192" s="38">
        <f t="shared" si="82"/>
        <v>260529215</v>
      </c>
    </row>
    <row r="193" spans="1:14" s="18" customFormat="1" ht="24" hidden="1" customHeight="1" x14ac:dyDescent="0.3">
      <c r="A193" s="19"/>
      <c r="B193" s="19"/>
      <c r="C193" s="36" t="s">
        <v>31</v>
      </c>
      <c r="D193" s="21"/>
      <c r="E193" s="19">
        <v>1</v>
      </c>
      <c r="F193" s="22">
        <v>11.2</v>
      </c>
      <c r="G193" s="23">
        <f>2350+700+2350-800+1070+1070+250+250+330+330</f>
        <v>7900</v>
      </c>
      <c r="H193" s="24">
        <f t="shared" ref="H193" si="98">F193*G193</f>
        <v>88480</v>
      </c>
      <c r="I193" s="23">
        <v>0</v>
      </c>
      <c r="J193" s="23">
        <f t="shared" ref="J193" si="99">SUM(H193:I193)</f>
        <v>88480</v>
      </c>
      <c r="K193" s="32"/>
      <c r="L193" s="33"/>
      <c r="M193" s="34"/>
      <c r="N193" s="38">
        <f t="shared" si="82"/>
        <v>260617695</v>
      </c>
    </row>
    <row r="194" spans="1:14" s="18" customFormat="1" ht="24" hidden="1" customHeight="1" x14ac:dyDescent="0.3">
      <c r="A194" s="19"/>
      <c r="B194" s="19">
        <v>20</v>
      </c>
      <c r="C194" s="29" t="s">
        <v>132</v>
      </c>
      <c r="D194" s="21"/>
      <c r="E194" s="19"/>
      <c r="F194" s="22"/>
      <c r="G194" s="23"/>
      <c r="H194" s="24"/>
      <c r="I194" s="23"/>
      <c r="J194" s="23"/>
      <c r="K194" s="32"/>
      <c r="L194" s="33"/>
      <c r="M194" s="34"/>
      <c r="N194" s="38">
        <f t="shared" si="82"/>
        <v>260617695</v>
      </c>
    </row>
    <row r="195" spans="1:14" s="18" customFormat="1" ht="24" hidden="1" customHeight="1" x14ac:dyDescent="0.3">
      <c r="A195" s="19"/>
      <c r="B195" s="19"/>
      <c r="C195" s="29" t="s">
        <v>53</v>
      </c>
      <c r="D195" s="21"/>
      <c r="E195" s="19">
        <v>2</v>
      </c>
      <c r="F195" s="22">
        <v>14.3</v>
      </c>
      <c r="G195" s="23">
        <f>950+1080+1070+250</f>
        <v>3350</v>
      </c>
      <c r="H195" s="24">
        <f t="shared" ref="H195" si="100">F195*G195</f>
        <v>47905</v>
      </c>
      <c r="I195" s="23">
        <v>0</v>
      </c>
      <c r="J195" s="23">
        <f t="shared" ref="J195" si="101">SUM(H195:I195)</f>
        <v>47905</v>
      </c>
      <c r="K195" s="32"/>
      <c r="L195" s="33"/>
      <c r="M195" s="34"/>
      <c r="N195" s="38">
        <f t="shared" si="82"/>
        <v>260665600</v>
      </c>
    </row>
    <row r="196" spans="1:14" s="2" customFormat="1" ht="27" hidden="1" customHeight="1" thickBot="1" x14ac:dyDescent="0.35">
      <c r="A196" s="1"/>
      <c r="B196" s="1"/>
      <c r="C196" s="1"/>
      <c r="E196" s="86" t="s">
        <v>0</v>
      </c>
      <c r="F196" s="86"/>
      <c r="G196" s="86"/>
      <c r="H196" s="86"/>
      <c r="I196" s="86"/>
      <c r="J196" s="86"/>
      <c r="K196" s="1"/>
      <c r="L196" s="3"/>
      <c r="M196" s="3"/>
      <c r="N196" s="1"/>
    </row>
    <row r="197" spans="1:14" s="2" customFormat="1" ht="24" hidden="1" customHeight="1" thickTop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3"/>
      <c r="M197" s="3"/>
      <c r="N197" s="1"/>
    </row>
    <row r="198" spans="1:14" s="2" customFormat="1" ht="24" hidden="1" customHeight="1" thickBot="1" x14ac:dyDescent="0.35">
      <c r="A198" s="2" t="s">
        <v>1</v>
      </c>
      <c r="C198" s="4"/>
      <c r="D198" s="4"/>
      <c r="E198" s="5"/>
      <c r="F198" s="6"/>
      <c r="G198" s="7"/>
      <c r="H198" s="7"/>
      <c r="I198" s="7"/>
      <c r="J198" s="8"/>
      <c r="K198" s="9"/>
      <c r="L198" s="10"/>
      <c r="M198" s="11"/>
      <c r="N198" s="12" t="s">
        <v>2</v>
      </c>
    </row>
    <row r="199" spans="1:14" s="18" customFormat="1" ht="24" hidden="1" customHeight="1" thickTop="1" thickBot="1" x14ac:dyDescent="0.35">
      <c r="A199" s="13" t="s">
        <v>3</v>
      </c>
      <c r="B199" s="13" t="s">
        <v>4</v>
      </c>
      <c r="C199" s="87" t="s">
        <v>5</v>
      </c>
      <c r="D199" s="88"/>
      <c r="E199" s="13" t="s">
        <v>6</v>
      </c>
      <c r="F199" s="14" t="s">
        <v>7</v>
      </c>
      <c r="G199" s="15" t="s">
        <v>8</v>
      </c>
      <c r="H199" s="15" t="s">
        <v>9</v>
      </c>
      <c r="I199" s="15" t="s">
        <v>10</v>
      </c>
      <c r="J199" s="15" t="s">
        <v>11</v>
      </c>
      <c r="K199" s="16" t="s">
        <v>12</v>
      </c>
      <c r="L199" s="89" t="s">
        <v>13</v>
      </c>
      <c r="M199" s="90"/>
      <c r="N199" s="17" t="s">
        <v>14</v>
      </c>
    </row>
    <row r="200" spans="1:14" s="18" customFormat="1" ht="24" hidden="1" customHeight="1" thickTop="1" x14ac:dyDescent="0.3">
      <c r="A200" s="19"/>
      <c r="B200" s="19"/>
      <c r="C200" s="39" t="s">
        <v>41</v>
      </c>
      <c r="D200" s="40"/>
      <c r="E200" s="41"/>
      <c r="F200" s="42"/>
      <c r="G200" s="43"/>
      <c r="H200" s="44"/>
      <c r="I200" s="43"/>
      <c r="J200" s="43"/>
      <c r="K200" s="25"/>
      <c r="L200" s="26"/>
      <c r="M200" s="27"/>
      <c r="N200" s="28">
        <f>N195</f>
        <v>260665600</v>
      </c>
    </row>
    <row r="201" spans="1:14" s="18" customFormat="1" ht="24" hidden="1" customHeight="1" x14ac:dyDescent="0.3">
      <c r="A201" s="19">
        <v>1</v>
      </c>
      <c r="B201" s="19">
        <v>20</v>
      </c>
      <c r="C201" s="29" t="s">
        <v>119</v>
      </c>
      <c r="D201" s="21"/>
      <c r="E201" s="19"/>
      <c r="F201" s="22"/>
      <c r="G201" s="23"/>
      <c r="H201" s="24"/>
      <c r="I201" s="23"/>
      <c r="J201" s="23"/>
      <c r="K201" s="32"/>
      <c r="L201" s="33"/>
      <c r="M201" s="34"/>
      <c r="N201" s="35">
        <f>N200+J201+K201</f>
        <v>260665600</v>
      </c>
    </row>
    <row r="202" spans="1:14" s="18" customFormat="1" ht="24" hidden="1" customHeight="1" x14ac:dyDescent="0.3">
      <c r="A202" s="19"/>
      <c r="B202" s="19"/>
      <c r="C202" s="36" t="s">
        <v>21</v>
      </c>
      <c r="D202" s="21"/>
      <c r="E202" s="19">
        <v>1</v>
      </c>
      <c r="F202" s="22">
        <v>5.6</v>
      </c>
      <c r="G202" s="23">
        <f>2350+700+1070+250+330</f>
        <v>4700</v>
      </c>
      <c r="H202" s="24">
        <f t="shared" ref="H202" si="102">F202*G202</f>
        <v>26320</v>
      </c>
      <c r="I202" s="23">
        <v>0</v>
      </c>
      <c r="J202" s="23">
        <f t="shared" ref="J202" si="103">SUM(H202:I202)</f>
        <v>26320</v>
      </c>
      <c r="K202" s="32"/>
      <c r="L202" s="33"/>
      <c r="M202" s="34"/>
      <c r="N202" s="35">
        <f>N201+J202+K202</f>
        <v>260691920</v>
      </c>
    </row>
    <row r="203" spans="1:14" s="18" customFormat="1" ht="24" hidden="1" customHeight="1" x14ac:dyDescent="0.3">
      <c r="A203" s="19"/>
      <c r="B203" s="19">
        <v>20</v>
      </c>
      <c r="C203" s="29" t="s">
        <v>133</v>
      </c>
      <c r="D203" s="37"/>
      <c r="E203" s="19"/>
      <c r="F203" s="22"/>
      <c r="G203" s="23"/>
      <c r="H203" s="24"/>
      <c r="I203" s="23"/>
      <c r="J203" s="23"/>
      <c r="K203" s="32"/>
      <c r="L203" s="33"/>
      <c r="M203" s="34"/>
      <c r="N203" s="35">
        <f t="shared" ref="N203:N234" si="104">N202+J203+K203</f>
        <v>260691920</v>
      </c>
    </row>
    <row r="204" spans="1:14" s="18" customFormat="1" ht="24" hidden="1" customHeight="1" x14ac:dyDescent="0.3">
      <c r="A204" s="19"/>
      <c r="B204" s="19"/>
      <c r="C204" s="36" t="s">
        <v>28</v>
      </c>
      <c r="D204" s="21"/>
      <c r="E204" s="19">
        <v>8</v>
      </c>
      <c r="F204" s="22">
        <v>63.4</v>
      </c>
      <c r="G204" s="23">
        <f>700+1080+1070+250</f>
        <v>3100</v>
      </c>
      <c r="H204" s="24">
        <f t="shared" ref="H204" si="105">F204*G204</f>
        <v>196540</v>
      </c>
      <c r="I204" s="23">
        <v>0</v>
      </c>
      <c r="J204" s="23">
        <f t="shared" ref="J204" si="106">SUM(H204:I204)</f>
        <v>196540</v>
      </c>
      <c r="K204" s="32"/>
      <c r="L204" s="33"/>
      <c r="M204" s="34"/>
      <c r="N204" s="35">
        <f t="shared" si="104"/>
        <v>260888460</v>
      </c>
    </row>
    <row r="205" spans="1:14" s="18" customFormat="1" ht="24" hidden="1" customHeight="1" x14ac:dyDescent="0.3">
      <c r="A205" s="19"/>
      <c r="B205" s="19">
        <v>21</v>
      </c>
      <c r="C205" s="29" t="s">
        <v>134</v>
      </c>
      <c r="D205" s="46"/>
      <c r="E205" s="19"/>
      <c r="F205" s="22"/>
      <c r="G205" s="23"/>
      <c r="H205" s="24"/>
      <c r="I205" s="23"/>
      <c r="J205" s="23"/>
      <c r="K205" s="32"/>
      <c r="L205" s="33"/>
      <c r="M205" s="34"/>
      <c r="N205" s="35">
        <f t="shared" si="104"/>
        <v>260888460</v>
      </c>
    </row>
    <row r="206" spans="1:14" s="18" customFormat="1" ht="24" hidden="1" customHeight="1" x14ac:dyDescent="0.3">
      <c r="A206" s="19"/>
      <c r="B206" s="19"/>
      <c r="C206" s="29" t="s">
        <v>135</v>
      </c>
      <c r="D206" s="21"/>
      <c r="E206" s="19">
        <v>14</v>
      </c>
      <c r="F206" s="22">
        <v>214</v>
      </c>
      <c r="G206" s="23">
        <f>1000+1350+980+250</f>
        <v>3580</v>
      </c>
      <c r="H206" s="24">
        <f t="shared" ref="H206:H207" si="107">F206*G206</f>
        <v>766120</v>
      </c>
      <c r="I206" s="23">
        <v>0</v>
      </c>
      <c r="J206" s="23">
        <f t="shared" ref="J206:J207" si="108">SUM(H206:I206)</f>
        <v>766120</v>
      </c>
      <c r="K206" s="32"/>
      <c r="L206" s="33"/>
      <c r="M206" s="34"/>
      <c r="N206" s="35">
        <f t="shared" si="104"/>
        <v>261654580</v>
      </c>
    </row>
    <row r="207" spans="1:14" s="18" customFormat="1" ht="24" hidden="1" customHeight="1" x14ac:dyDescent="0.3">
      <c r="A207" s="19"/>
      <c r="B207" s="19"/>
      <c r="C207" s="29" t="s">
        <v>136</v>
      </c>
      <c r="D207" s="21"/>
      <c r="E207" s="19">
        <v>16</v>
      </c>
      <c r="F207" s="22">
        <v>295.8</v>
      </c>
      <c r="G207" s="23">
        <f>1000+1350+1200+300</f>
        <v>3850</v>
      </c>
      <c r="H207" s="24">
        <f t="shared" si="107"/>
        <v>1138830</v>
      </c>
      <c r="I207" s="23">
        <v>0</v>
      </c>
      <c r="J207" s="23">
        <f t="shared" si="108"/>
        <v>1138830</v>
      </c>
      <c r="K207" s="32"/>
      <c r="L207" s="33"/>
      <c r="M207" s="34"/>
      <c r="N207" s="35">
        <f t="shared" si="104"/>
        <v>262793410</v>
      </c>
    </row>
    <row r="208" spans="1:14" s="18" customFormat="1" ht="24" hidden="1" customHeight="1" x14ac:dyDescent="0.3">
      <c r="A208" s="19"/>
      <c r="B208" s="19">
        <v>21</v>
      </c>
      <c r="C208" s="29" t="s">
        <v>24</v>
      </c>
      <c r="D208" s="21"/>
      <c r="E208" s="19"/>
      <c r="F208" s="22"/>
      <c r="G208" s="23"/>
      <c r="H208" s="24"/>
      <c r="I208" s="23"/>
      <c r="J208" s="23"/>
      <c r="K208" s="32"/>
      <c r="L208" s="33"/>
      <c r="M208" s="34"/>
      <c r="N208" s="35">
        <f t="shared" si="104"/>
        <v>262793410</v>
      </c>
    </row>
    <row r="209" spans="1:14" s="18" customFormat="1" ht="24" hidden="1" customHeight="1" x14ac:dyDescent="0.3">
      <c r="A209" s="19"/>
      <c r="B209" s="19"/>
      <c r="C209" s="39" t="s">
        <v>46</v>
      </c>
      <c r="D209" s="37"/>
      <c r="E209" s="19">
        <v>9</v>
      </c>
      <c r="F209" s="22">
        <v>113.7</v>
      </c>
      <c r="G209" s="23">
        <v>2100</v>
      </c>
      <c r="H209" s="24">
        <f t="shared" ref="H209" si="109">F209*G209</f>
        <v>238770</v>
      </c>
      <c r="I209" s="23">
        <v>0</v>
      </c>
      <c r="J209" s="23">
        <f t="shared" ref="J209" si="110">SUM(H209:I209)</f>
        <v>238770</v>
      </c>
      <c r="K209" s="32"/>
      <c r="L209" s="33"/>
      <c r="M209" s="34"/>
      <c r="N209" s="35">
        <f t="shared" si="104"/>
        <v>263032180</v>
      </c>
    </row>
    <row r="210" spans="1:14" s="18" customFormat="1" ht="24" hidden="1" customHeight="1" x14ac:dyDescent="0.3">
      <c r="A210" s="19"/>
      <c r="B210" s="19">
        <v>21</v>
      </c>
      <c r="C210" s="29" t="s">
        <v>137</v>
      </c>
      <c r="D210" s="21"/>
      <c r="E210" s="19"/>
      <c r="F210" s="22"/>
      <c r="G210" s="23"/>
      <c r="H210" s="24"/>
      <c r="I210" s="23"/>
      <c r="J210" s="23"/>
      <c r="K210" s="32"/>
      <c r="L210" s="33"/>
      <c r="M210" s="34"/>
      <c r="N210" s="35">
        <f t="shared" si="104"/>
        <v>263032180</v>
      </c>
    </row>
    <row r="211" spans="1:14" s="18" customFormat="1" ht="24" hidden="1" customHeight="1" x14ac:dyDescent="0.3">
      <c r="A211" s="19"/>
      <c r="B211" s="19"/>
      <c r="C211" s="36" t="s">
        <v>23</v>
      </c>
      <c r="D211" s="21"/>
      <c r="E211" s="19">
        <v>4852</v>
      </c>
      <c r="F211" s="22">
        <v>25623.7</v>
      </c>
      <c r="G211" s="23">
        <f>2350+100+700+1070+250+330</f>
        <v>4800</v>
      </c>
      <c r="H211" s="24">
        <f t="shared" ref="H211" si="111">F211*G211</f>
        <v>122993760</v>
      </c>
      <c r="I211" s="23">
        <v>0</v>
      </c>
      <c r="J211" s="23">
        <f t="shared" ref="J211" si="112">SUM(H211:I211)</f>
        <v>122993760</v>
      </c>
      <c r="K211" s="32"/>
      <c r="L211" s="33"/>
      <c r="M211" s="34"/>
      <c r="N211" s="35">
        <f t="shared" si="104"/>
        <v>386025940</v>
      </c>
    </row>
    <row r="212" spans="1:14" s="18" customFormat="1" ht="24" hidden="1" customHeight="1" x14ac:dyDescent="0.3">
      <c r="A212" s="19"/>
      <c r="B212" s="19">
        <v>21</v>
      </c>
      <c r="C212" s="29" t="s">
        <v>60</v>
      </c>
      <c r="D212" s="21"/>
      <c r="E212" s="19"/>
      <c r="F212" s="22"/>
      <c r="G212" s="23"/>
      <c r="H212" s="24"/>
      <c r="I212" s="23"/>
      <c r="J212" s="23"/>
      <c r="K212" s="32"/>
      <c r="L212" s="33"/>
      <c r="M212" s="34"/>
      <c r="N212" s="35">
        <f t="shared" si="104"/>
        <v>386025940</v>
      </c>
    </row>
    <row r="213" spans="1:14" s="18" customFormat="1" ht="24" hidden="1" customHeight="1" x14ac:dyDescent="0.3">
      <c r="A213" s="19"/>
      <c r="B213" s="19"/>
      <c r="C213" s="36" t="s">
        <v>61</v>
      </c>
      <c r="D213" s="37"/>
      <c r="E213" s="19">
        <v>2</v>
      </c>
      <c r="F213" s="22">
        <v>26.6</v>
      </c>
      <c r="G213" s="23">
        <f>2350+2350+700+1070+1070+250+250+330+330</f>
        <v>8700</v>
      </c>
      <c r="H213" s="24">
        <f t="shared" ref="H213" si="113">F213*G213</f>
        <v>231420</v>
      </c>
      <c r="I213" s="23">
        <v>0</v>
      </c>
      <c r="J213" s="23">
        <f t="shared" ref="J213" si="114">SUM(H213:I213)</f>
        <v>231420</v>
      </c>
      <c r="K213" s="32"/>
      <c r="L213" s="33"/>
      <c r="M213" s="34"/>
      <c r="N213" s="35">
        <f t="shared" si="104"/>
        <v>386257360</v>
      </c>
    </row>
    <row r="214" spans="1:14" s="18" customFormat="1" ht="24" hidden="1" customHeight="1" x14ac:dyDescent="0.3">
      <c r="A214" s="19"/>
      <c r="B214" s="19">
        <v>21</v>
      </c>
      <c r="C214" s="29" t="s">
        <v>138</v>
      </c>
      <c r="D214" s="21"/>
      <c r="E214" s="19"/>
      <c r="F214" s="22"/>
      <c r="G214" s="23"/>
      <c r="H214" s="24"/>
      <c r="I214" s="23"/>
      <c r="J214" s="23"/>
      <c r="K214" s="32"/>
      <c r="L214" s="33"/>
      <c r="M214" s="34"/>
      <c r="N214" s="35">
        <f t="shared" si="104"/>
        <v>386257360</v>
      </c>
    </row>
    <row r="215" spans="1:14" s="18" customFormat="1" ht="24" hidden="1" customHeight="1" x14ac:dyDescent="0.3">
      <c r="A215" s="19"/>
      <c r="B215" s="19"/>
      <c r="C215" s="36" t="s">
        <v>139</v>
      </c>
      <c r="D215" s="21"/>
      <c r="E215" s="19">
        <v>29</v>
      </c>
      <c r="F215" s="22">
        <v>447.3</v>
      </c>
      <c r="G215" s="23">
        <f>2350+700+1070+250+330</f>
        <v>4700</v>
      </c>
      <c r="H215" s="24">
        <f t="shared" ref="H215" si="115">F215*G215</f>
        <v>2102310</v>
      </c>
      <c r="I215" s="23">
        <v>0</v>
      </c>
      <c r="J215" s="23">
        <f t="shared" ref="J215" si="116">SUM(H215:I215)</f>
        <v>2102310</v>
      </c>
      <c r="K215" s="32"/>
      <c r="L215" s="33"/>
      <c r="M215" s="34"/>
      <c r="N215" s="35">
        <f t="shared" si="104"/>
        <v>388359670</v>
      </c>
    </row>
    <row r="216" spans="1:14" s="18" customFormat="1" ht="24" hidden="1" customHeight="1" x14ac:dyDescent="0.3">
      <c r="A216" s="19"/>
      <c r="B216" s="19">
        <v>21</v>
      </c>
      <c r="C216" s="29" t="s">
        <v>140</v>
      </c>
      <c r="D216" s="21"/>
      <c r="E216" s="19"/>
      <c r="F216" s="22"/>
      <c r="G216" s="23"/>
      <c r="H216" s="24"/>
      <c r="I216" s="23"/>
      <c r="J216" s="23"/>
      <c r="K216" s="32"/>
      <c r="L216" s="33"/>
      <c r="M216" s="34"/>
      <c r="N216" s="35">
        <f t="shared" si="104"/>
        <v>388359670</v>
      </c>
    </row>
    <row r="217" spans="1:14" s="18" customFormat="1" ht="24" hidden="1" customHeight="1" x14ac:dyDescent="0.3">
      <c r="A217" s="19"/>
      <c r="B217" s="19"/>
      <c r="C217" s="29" t="s">
        <v>141</v>
      </c>
      <c r="D217" s="37"/>
      <c r="E217" s="19"/>
      <c r="F217" s="22"/>
      <c r="G217" s="23"/>
      <c r="H217" s="24">
        <v>280000</v>
      </c>
      <c r="I217" s="23">
        <f>H217*0.1</f>
        <v>28000</v>
      </c>
      <c r="J217" s="23">
        <f>SUM(H217:I217)</f>
        <v>308000</v>
      </c>
      <c r="K217" s="32"/>
      <c r="L217" s="33"/>
      <c r="M217" s="34"/>
      <c r="N217" s="35">
        <f t="shared" si="104"/>
        <v>388667670</v>
      </c>
    </row>
    <row r="218" spans="1:14" s="18" customFormat="1" ht="24" hidden="1" customHeight="1" x14ac:dyDescent="0.3">
      <c r="A218" s="19"/>
      <c r="B218" s="19"/>
      <c r="C218" s="39" t="s">
        <v>81</v>
      </c>
      <c r="D218" s="21"/>
      <c r="E218" s="19"/>
      <c r="F218" s="22"/>
      <c r="G218" s="23"/>
      <c r="H218" s="24">
        <v>70000</v>
      </c>
      <c r="I218" s="23">
        <f>H218*0.1</f>
        <v>7000</v>
      </c>
      <c r="J218" s="23">
        <f>SUM(H218:I218)</f>
        <v>77000</v>
      </c>
      <c r="K218" s="32"/>
      <c r="L218" s="33"/>
      <c r="M218" s="34"/>
      <c r="N218" s="35">
        <f t="shared" si="104"/>
        <v>388744670</v>
      </c>
    </row>
    <row r="219" spans="1:14" s="18" customFormat="1" ht="24" hidden="1" customHeight="1" x14ac:dyDescent="0.3">
      <c r="A219" s="19"/>
      <c r="B219" s="19">
        <v>21</v>
      </c>
      <c r="C219" s="29" t="s">
        <v>142</v>
      </c>
      <c r="D219" s="21"/>
      <c r="E219" s="19"/>
      <c r="F219" s="22"/>
      <c r="G219" s="23"/>
      <c r="H219" s="24"/>
      <c r="I219" s="23"/>
      <c r="J219" s="23"/>
      <c r="K219" s="32"/>
      <c r="L219" s="33"/>
      <c r="M219" s="34"/>
      <c r="N219" s="35">
        <f t="shared" si="104"/>
        <v>388744670</v>
      </c>
    </row>
    <row r="220" spans="1:14" s="18" customFormat="1" ht="24" hidden="1" customHeight="1" x14ac:dyDescent="0.3">
      <c r="A220" s="19"/>
      <c r="B220" s="19"/>
      <c r="C220" s="36" t="s">
        <v>143</v>
      </c>
      <c r="D220" s="21"/>
      <c r="E220" s="19">
        <v>3</v>
      </c>
      <c r="F220" s="22">
        <v>44.8</v>
      </c>
      <c r="G220" s="23">
        <f>2350+700+1070+250+330</f>
        <v>4700</v>
      </c>
      <c r="H220" s="24">
        <f t="shared" ref="H220:H222" si="117">F220*G220</f>
        <v>210560</v>
      </c>
      <c r="I220" s="23">
        <v>0</v>
      </c>
      <c r="J220" s="23">
        <f t="shared" ref="J220:J222" si="118">SUM(H220:I220)</f>
        <v>210560</v>
      </c>
      <c r="K220" s="32"/>
      <c r="L220" s="33"/>
      <c r="M220" s="34"/>
      <c r="N220" s="35">
        <f t="shared" si="104"/>
        <v>388955230</v>
      </c>
    </row>
    <row r="221" spans="1:14" s="18" customFormat="1" ht="24" hidden="1" customHeight="1" x14ac:dyDescent="0.3">
      <c r="A221" s="19"/>
      <c r="B221" s="19"/>
      <c r="C221" s="29" t="s">
        <v>75</v>
      </c>
      <c r="D221" s="37"/>
      <c r="E221" s="19">
        <v>4</v>
      </c>
      <c r="F221" s="22">
        <v>50.5</v>
      </c>
      <c r="G221" s="23">
        <v>2750</v>
      </c>
      <c r="H221" s="24">
        <f t="shared" si="117"/>
        <v>138875</v>
      </c>
      <c r="I221" s="23">
        <v>0</v>
      </c>
      <c r="J221" s="23">
        <f t="shared" si="118"/>
        <v>138875</v>
      </c>
      <c r="K221" s="32"/>
      <c r="L221" s="33"/>
      <c r="M221" s="34"/>
      <c r="N221" s="35">
        <f t="shared" si="104"/>
        <v>389094105</v>
      </c>
    </row>
    <row r="222" spans="1:14" s="18" customFormat="1" ht="24" hidden="1" customHeight="1" x14ac:dyDescent="0.3">
      <c r="A222" s="19"/>
      <c r="B222" s="19"/>
      <c r="C222" s="29" t="s">
        <v>144</v>
      </c>
      <c r="D222" s="21"/>
      <c r="E222" s="19">
        <v>1</v>
      </c>
      <c r="F222" s="22">
        <v>3</v>
      </c>
      <c r="G222" s="23">
        <v>2200</v>
      </c>
      <c r="H222" s="24">
        <f t="shared" si="117"/>
        <v>6600</v>
      </c>
      <c r="I222" s="23">
        <v>0</v>
      </c>
      <c r="J222" s="23">
        <f t="shared" si="118"/>
        <v>6600</v>
      </c>
      <c r="K222" s="32"/>
      <c r="L222" s="33"/>
      <c r="M222" s="34"/>
      <c r="N222" s="35">
        <f t="shared" si="104"/>
        <v>389100705</v>
      </c>
    </row>
    <row r="223" spans="1:14" s="18" customFormat="1" ht="24" hidden="1" customHeight="1" x14ac:dyDescent="0.3">
      <c r="A223" s="19"/>
      <c r="B223" s="19">
        <v>22</v>
      </c>
      <c r="C223" s="29" t="s">
        <v>134</v>
      </c>
      <c r="D223" s="21"/>
      <c r="E223" s="19"/>
      <c r="F223" s="22"/>
      <c r="G223" s="23"/>
      <c r="H223" s="24"/>
      <c r="I223" s="23"/>
      <c r="J223" s="23"/>
      <c r="K223" s="32"/>
      <c r="L223" s="33"/>
      <c r="M223" s="34"/>
      <c r="N223" s="35">
        <f t="shared" si="104"/>
        <v>389100705</v>
      </c>
    </row>
    <row r="224" spans="1:14" s="18" customFormat="1" ht="24" hidden="1" customHeight="1" x14ac:dyDescent="0.3">
      <c r="A224" s="19"/>
      <c r="B224" s="19"/>
      <c r="C224" s="29" t="s">
        <v>135</v>
      </c>
      <c r="D224" s="21"/>
      <c r="E224" s="19">
        <v>28</v>
      </c>
      <c r="F224" s="22">
        <v>268.8</v>
      </c>
      <c r="G224" s="23">
        <f>1000+1350+980+250</f>
        <v>3580</v>
      </c>
      <c r="H224" s="24">
        <f t="shared" ref="H224" si="119">F224*G224</f>
        <v>962304</v>
      </c>
      <c r="I224" s="23">
        <v>0</v>
      </c>
      <c r="J224" s="23">
        <f t="shared" ref="J224" si="120">SUM(H224:I224)</f>
        <v>962304</v>
      </c>
      <c r="K224" s="32"/>
      <c r="L224" s="33"/>
      <c r="M224" s="34"/>
      <c r="N224" s="35">
        <f t="shared" si="104"/>
        <v>390063009</v>
      </c>
    </row>
    <row r="225" spans="1:14" s="18" customFormat="1" ht="24" hidden="1" customHeight="1" x14ac:dyDescent="0.3">
      <c r="A225" s="19"/>
      <c r="B225" s="19">
        <v>22</v>
      </c>
      <c r="C225" s="29" t="s">
        <v>145</v>
      </c>
      <c r="D225" s="21"/>
      <c r="E225" s="19"/>
      <c r="F225" s="22"/>
      <c r="G225" s="23"/>
      <c r="H225" s="24"/>
      <c r="I225" s="23"/>
      <c r="J225" s="23"/>
      <c r="K225" s="32"/>
      <c r="L225" s="33"/>
      <c r="M225" s="34"/>
      <c r="N225" s="38">
        <f t="shared" si="104"/>
        <v>390063009</v>
      </c>
    </row>
    <row r="226" spans="1:14" s="18" customFormat="1" ht="24" hidden="1" customHeight="1" x14ac:dyDescent="0.3">
      <c r="A226" s="19"/>
      <c r="B226" s="19"/>
      <c r="C226" s="36" t="s">
        <v>21</v>
      </c>
      <c r="D226" s="37"/>
      <c r="E226" s="19">
        <v>150</v>
      </c>
      <c r="F226" s="22">
        <v>1420.2</v>
      </c>
      <c r="G226" s="23">
        <f>2350+700+1070+250+330</f>
        <v>4700</v>
      </c>
      <c r="H226" s="24">
        <f t="shared" ref="H226" si="121">F226*G226</f>
        <v>6674940</v>
      </c>
      <c r="I226" s="23">
        <v>0</v>
      </c>
      <c r="J226" s="23">
        <f t="shared" ref="J226" si="122">SUM(H226:I226)</f>
        <v>6674940</v>
      </c>
      <c r="K226" s="32"/>
      <c r="L226" s="33"/>
      <c r="M226" s="34"/>
      <c r="N226" s="38">
        <f t="shared" si="104"/>
        <v>396737949</v>
      </c>
    </row>
    <row r="227" spans="1:14" s="18" customFormat="1" ht="24" hidden="1" customHeight="1" x14ac:dyDescent="0.3">
      <c r="A227" s="19"/>
      <c r="B227" s="19">
        <v>23</v>
      </c>
      <c r="C227" s="29" t="s">
        <v>146</v>
      </c>
      <c r="D227" s="21"/>
      <c r="E227" s="19"/>
      <c r="F227" s="22"/>
      <c r="G227" s="23"/>
      <c r="H227" s="24"/>
      <c r="I227" s="23"/>
      <c r="J227" s="23"/>
      <c r="K227" s="32"/>
      <c r="L227" s="33"/>
      <c r="M227" s="34"/>
      <c r="N227" s="38">
        <f t="shared" si="104"/>
        <v>396737949</v>
      </c>
    </row>
    <row r="228" spans="1:14" s="18" customFormat="1" ht="24" hidden="1" customHeight="1" x14ac:dyDescent="0.3">
      <c r="A228" s="19"/>
      <c r="B228" s="19"/>
      <c r="C228" s="36" t="s">
        <v>147</v>
      </c>
      <c r="D228" s="21"/>
      <c r="E228" s="19">
        <v>126</v>
      </c>
      <c r="F228" s="22">
        <v>2500.6</v>
      </c>
      <c r="G228" s="23">
        <f>2650+1000+1200+300+350</f>
        <v>5500</v>
      </c>
      <c r="H228" s="24">
        <f t="shared" ref="H228:H230" si="123">F228*G228</f>
        <v>13753300</v>
      </c>
      <c r="I228" s="23">
        <v>0</v>
      </c>
      <c r="J228" s="23">
        <f t="shared" ref="J228:J230" si="124">SUM(H228:I228)</f>
        <v>13753300</v>
      </c>
      <c r="K228" s="32"/>
      <c r="L228" s="33"/>
      <c r="M228" s="34"/>
      <c r="N228" s="38">
        <f t="shared" si="104"/>
        <v>410491249</v>
      </c>
    </row>
    <row r="229" spans="1:14" s="18" customFormat="1" ht="24" hidden="1" customHeight="1" x14ac:dyDescent="0.3">
      <c r="A229" s="19"/>
      <c r="B229" s="19"/>
      <c r="C229" s="36" t="s">
        <v>148</v>
      </c>
      <c r="D229" s="21"/>
      <c r="E229" s="19">
        <v>1</v>
      </c>
      <c r="F229" s="22">
        <v>16.600000000000001</v>
      </c>
      <c r="G229" s="23">
        <f>2350+1500+1300+350+450</f>
        <v>5950</v>
      </c>
      <c r="H229" s="24">
        <f t="shared" si="123"/>
        <v>98770.000000000015</v>
      </c>
      <c r="I229" s="23">
        <v>0</v>
      </c>
      <c r="J229" s="23">
        <f t="shared" si="124"/>
        <v>98770.000000000015</v>
      </c>
      <c r="K229" s="32"/>
      <c r="L229" s="33"/>
      <c r="M229" s="34"/>
      <c r="N229" s="38">
        <f t="shared" si="104"/>
        <v>410590019</v>
      </c>
    </row>
    <row r="230" spans="1:14" s="18" customFormat="1" ht="24" hidden="1" customHeight="1" x14ac:dyDescent="0.3">
      <c r="A230" s="19"/>
      <c r="B230" s="19"/>
      <c r="C230" s="36" t="s">
        <v>149</v>
      </c>
      <c r="D230" s="21"/>
      <c r="E230" s="19">
        <v>69</v>
      </c>
      <c r="F230" s="22">
        <v>347.4</v>
      </c>
      <c r="G230" s="23">
        <f>2350+2350+1500+1070+1070+250+250+290+290</f>
        <v>9420</v>
      </c>
      <c r="H230" s="24">
        <f t="shared" si="123"/>
        <v>3272508</v>
      </c>
      <c r="I230" s="23">
        <v>0</v>
      </c>
      <c r="J230" s="23">
        <f t="shared" si="124"/>
        <v>3272508</v>
      </c>
      <c r="K230" s="32"/>
      <c r="L230" s="33"/>
      <c r="M230" s="34"/>
      <c r="N230" s="38">
        <f t="shared" si="104"/>
        <v>413862527</v>
      </c>
    </row>
    <row r="231" spans="1:14" s="18" customFormat="1" ht="24" hidden="1" customHeight="1" x14ac:dyDescent="0.3">
      <c r="A231" s="19"/>
      <c r="B231" s="19">
        <v>23</v>
      </c>
      <c r="C231" s="29" t="s">
        <v>150</v>
      </c>
      <c r="D231" s="37"/>
      <c r="E231" s="19"/>
      <c r="F231" s="22"/>
      <c r="G231" s="23"/>
      <c r="H231" s="24"/>
      <c r="I231" s="23"/>
      <c r="J231" s="23"/>
      <c r="K231" s="32"/>
      <c r="L231" s="33"/>
      <c r="M231" s="34"/>
      <c r="N231" s="38">
        <f t="shared" si="104"/>
        <v>413862527</v>
      </c>
    </row>
    <row r="232" spans="1:14" s="18" customFormat="1" ht="24" hidden="1" customHeight="1" x14ac:dyDescent="0.3">
      <c r="A232" s="19"/>
      <c r="B232" s="19"/>
      <c r="C232" s="36" t="s">
        <v>23</v>
      </c>
      <c r="D232" s="21"/>
      <c r="E232" s="19">
        <v>372</v>
      </c>
      <c r="F232" s="22">
        <v>2012.5</v>
      </c>
      <c r="G232" s="23">
        <f>2350+100+700+1070+250+330</f>
        <v>4800</v>
      </c>
      <c r="H232" s="24">
        <f t="shared" ref="H232" si="125">F232*G232</f>
        <v>9660000</v>
      </c>
      <c r="I232" s="23">
        <v>0</v>
      </c>
      <c r="J232" s="23">
        <f t="shared" ref="J232" si="126">SUM(H232:I232)</f>
        <v>9660000</v>
      </c>
      <c r="K232" s="32"/>
      <c r="L232" s="33"/>
      <c r="M232" s="34"/>
      <c r="N232" s="38">
        <f t="shared" si="104"/>
        <v>423522527</v>
      </c>
    </row>
    <row r="233" spans="1:14" s="18" customFormat="1" ht="24" hidden="1" customHeight="1" x14ac:dyDescent="0.3">
      <c r="A233" s="19"/>
      <c r="B233" s="19">
        <v>23</v>
      </c>
      <c r="C233" s="20" t="s">
        <v>151</v>
      </c>
      <c r="D233" s="21"/>
      <c r="E233" s="19"/>
      <c r="F233" s="22"/>
      <c r="G233" s="23"/>
      <c r="H233" s="24"/>
      <c r="I233" s="23"/>
      <c r="J233" s="23"/>
      <c r="K233" s="32"/>
      <c r="L233" s="33"/>
      <c r="M233" s="34"/>
      <c r="N233" s="38">
        <f t="shared" si="104"/>
        <v>423522527</v>
      </c>
    </row>
    <row r="234" spans="1:14" s="18" customFormat="1" ht="24" hidden="1" customHeight="1" x14ac:dyDescent="0.3">
      <c r="A234" s="19"/>
      <c r="B234" s="19"/>
      <c r="C234" s="29" t="s">
        <v>105</v>
      </c>
      <c r="D234" s="21"/>
      <c r="E234" s="19"/>
      <c r="F234" s="22"/>
      <c r="G234" s="23"/>
      <c r="H234" s="24">
        <v>340000</v>
      </c>
      <c r="I234" s="23">
        <f>H234*0.1</f>
        <v>34000</v>
      </c>
      <c r="J234" s="23">
        <f>SUM(H234:I234)</f>
        <v>374000</v>
      </c>
      <c r="K234" s="32"/>
      <c r="L234" s="33"/>
      <c r="M234" s="34"/>
      <c r="N234" s="38">
        <f t="shared" si="104"/>
        <v>423896527</v>
      </c>
    </row>
    <row r="235" spans="1:14" s="2" customFormat="1" ht="27" hidden="1" customHeight="1" thickBot="1" x14ac:dyDescent="0.35">
      <c r="A235" s="1"/>
      <c r="B235" s="1"/>
      <c r="C235" s="1"/>
      <c r="E235" s="86" t="s">
        <v>0</v>
      </c>
      <c r="F235" s="86"/>
      <c r="G235" s="86"/>
      <c r="H235" s="86"/>
      <c r="I235" s="86"/>
      <c r="J235" s="86"/>
      <c r="K235" s="1"/>
      <c r="L235" s="3"/>
      <c r="M235" s="3"/>
      <c r="N235" s="1"/>
    </row>
    <row r="236" spans="1:14" s="2" customFormat="1" ht="24" hidden="1" customHeight="1" thickTop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3"/>
      <c r="M236" s="3"/>
      <c r="N236" s="1"/>
    </row>
    <row r="237" spans="1:14" s="2" customFormat="1" ht="24" hidden="1" customHeight="1" thickBot="1" x14ac:dyDescent="0.35">
      <c r="A237" s="2" t="s">
        <v>1</v>
      </c>
      <c r="C237" s="4"/>
      <c r="D237" s="4"/>
      <c r="E237" s="5"/>
      <c r="F237" s="6"/>
      <c r="G237" s="7"/>
      <c r="H237" s="7"/>
      <c r="I237" s="7"/>
      <c r="J237" s="8"/>
      <c r="K237" s="9"/>
      <c r="L237" s="10"/>
      <c r="M237" s="11"/>
      <c r="N237" s="12" t="s">
        <v>2</v>
      </c>
    </row>
    <row r="238" spans="1:14" s="18" customFormat="1" ht="24" hidden="1" customHeight="1" thickTop="1" thickBot="1" x14ac:dyDescent="0.35">
      <c r="A238" s="13" t="s">
        <v>3</v>
      </c>
      <c r="B238" s="13" t="s">
        <v>4</v>
      </c>
      <c r="C238" s="87" t="s">
        <v>5</v>
      </c>
      <c r="D238" s="88"/>
      <c r="E238" s="13" t="s">
        <v>6</v>
      </c>
      <c r="F238" s="14" t="s">
        <v>7</v>
      </c>
      <c r="G238" s="15" t="s">
        <v>8</v>
      </c>
      <c r="H238" s="15" t="s">
        <v>9</v>
      </c>
      <c r="I238" s="15" t="s">
        <v>10</v>
      </c>
      <c r="J238" s="15" t="s">
        <v>11</v>
      </c>
      <c r="K238" s="16" t="s">
        <v>12</v>
      </c>
      <c r="L238" s="89" t="s">
        <v>13</v>
      </c>
      <c r="M238" s="90"/>
      <c r="N238" s="17" t="s">
        <v>14</v>
      </c>
    </row>
    <row r="239" spans="1:14" s="18" customFormat="1" ht="24" hidden="1" customHeight="1" thickTop="1" x14ac:dyDescent="0.3">
      <c r="A239" s="19"/>
      <c r="B239" s="19"/>
      <c r="C239" s="39" t="s">
        <v>41</v>
      </c>
      <c r="D239" s="40"/>
      <c r="E239" s="41"/>
      <c r="F239" s="42"/>
      <c r="G239" s="43"/>
      <c r="H239" s="44"/>
      <c r="I239" s="43"/>
      <c r="J239" s="43"/>
      <c r="K239" s="25"/>
      <c r="L239" s="26"/>
      <c r="M239" s="27"/>
      <c r="N239" s="28">
        <f>N234</f>
        <v>423896527</v>
      </c>
    </row>
    <row r="240" spans="1:14" s="18" customFormat="1" ht="24" hidden="1" customHeight="1" x14ac:dyDescent="0.3">
      <c r="A240" s="19"/>
      <c r="B240" s="19"/>
      <c r="C240" s="29"/>
      <c r="D240" s="21"/>
      <c r="E240" s="19"/>
      <c r="F240" s="22"/>
      <c r="G240" s="23"/>
      <c r="H240" s="24"/>
      <c r="I240" s="23"/>
      <c r="J240" s="47">
        <v>-6527</v>
      </c>
      <c r="K240" s="32"/>
      <c r="L240" s="33"/>
      <c r="M240" s="34"/>
      <c r="N240" s="48">
        <f>N239+J240+K240</f>
        <v>423890000</v>
      </c>
    </row>
    <row r="241" spans="1:14" s="18" customFormat="1" ht="24" hidden="1" customHeight="1" x14ac:dyDescent="0.3">
      <c r="A241" s="19"/>
      <c r="B241" s="19"/>
      <c r="C241" s="36"/>
      <c r="D241" s="21" t="s">
        <v>152</v>
      </c>
      <c r="E241" s="19"/>
      <c r="F241" s="22"/>
      <c r="G241" s="23"/>
      <c r="H241" s="24"/>
      <c r="I241" s="23"/>
      <c r="J241" s="47">
        <v>-28890000</v>
      </c>
      <c r="K241" s="32"/>
      <c r="L241" s="33"/>
      <c r="M241" s="34"/>
      <c r="N241" s="35">
        <f>N240+J241+K241</f>
        <v>395000000</v>
      </c>
    </row>
    <row r="242" spans="1:14" s="18" customFormat="1" ht="24" hidden="1" customHeight="1" thickBot="1" x14ac:dyDescent="0.35">
      <c r="A242" s="49">
        <v>1</v>
      </c>
      <c r="B242" s="49">
        <v>31</v>
      </c>
      <c r="C242" s="50"/>
      <c r="D242" s="51" t="s">
        <v>153</v>
      </c>
      <c r="E242" s="49"/>
      <c r="F242" s="52"/>
      <c r="G242" s="53"/>
      <c r="H242" s="54"/>
      <c r="I242" s="53"/>
      <c r="J242" s="53"/>
      <c r="K242" s="55">
        <v>-395000000</v>
      </c>
      <c r="L242" s="56">
        <v>45688</v>
      </c>
      <c r="M242" s="57">
        <v>395000000</v>
      </c>
      <c r="N242" s="58">
        <f t="shared" ref="N242:N273" si="127">N241+J242+K242</f>
        <v>0</v>
      </c>
    </row>
    <row r="243" spans="1:14" s="18" customFormat="1" ht="24" hidden="1" customHeight="1" thickTop="1" x14ac:dyDescent="0.3">
      <c r="A243" s="59">
        <v>1</v>
      </c>
      <c r="B243" s="59">
        <v>24</v>
      </c>
      <c r="C243" s="60" t="s">
        <v>154</v>
      </c>
      <c r="D243" s="61"/>
      <c r="E243" s="59"/>
      <c r="F243" s="62"/>
      <c r="G243" s="63"/>
      <c r="H243" s="64"/>
      <c r="I243" s="63"/>
      <c r="J243" s="63"/>
      <c r="K243" s="65"/>
      <c r="L243" s="66"/>
      <c r="M243" s="67"/>
      <c r="N243" s="68">
        <f t="shared" si="127"/>
        <v>0</v>
      </c>
    </row>
    <row r="244" spans="1:14" s="18" customFormat="1" ht="24" hidden="1" customHeight="1" x14ac:dyDescent="0.3">
      <c r="A244" s="19"/>
      <c r="B244" s="19"/>
      <c r="C244" s="29" t="s">
        <v>155</v>
      </c>
      <c r="D244" s="46"/>
      <c r="E244" s="19">
        <v>896</v>
      </c>
      <c r="F244" s="22">
        <v>4504.8999999999996</v>
      </c>
      <c r="G244" s="23">
        <f>550+2200-700+980</f>
        <v>3030</v>
      </c>
      <c r="H244" s="24">
        <f t="shared" ref="H244" si="128">F244*G244</f>
        <v>13649846.999999998</v>
      </c>
      <c r="I244" s="23">
        <v>0</v>
      </c>
      <c r="J244" s="23">
        <f t="shared" ref="J244" si="129">SUM(H244:I244)</f>
        <v>13649846.999999998</v>
      </c>
      <c r="K244" s="32"/>
      <c r="L244" s="33"/>
      <c r="M244" s="34"/>
      <c r="N244" s="35">
        <f t="shared" si="127"/>
        <v>13649846.999999998</v>
      </c>
    </row>
    <row r="245" spans="1:14" s="18" customFormat="1" ht="24" hidden="1" customHeight="1" x14ac:dyDescent="0.3">
      <c r="A245" s="19"/>
      <c r="B245" s="19">
        <v>24</v>
      </c>
      <c r="C245" s="29" t="s">
        <v>150</v>
      </c>
      <c r="D245" s="21"/>
      <c r="E245" s="19"/>
      <c r="F245" s="22"/>
      <c r="G245" s="23"/>
      <c r="H245" s="24"/>
      <c r="I245" s="23"/>
      <c r="J245" s="23"/>
      <c r="K245" s="32"/>
      <c r="L245" s="33"/>
      <c r="M245" s="34"/>
      <c r="N245" s="35">
        <f t="shared" si="127"/>
        <v>13649846.999999998</v>
      </c>
    </row>
    <row r="246" spans="1:14" s="18" customFormat="1" ht="24" hidden="1" customHeight="1" x14ac:dyDescent="0.3">
      <c r="A246" s="19"/>
      <c r="B246" s="19"/>
      <c r="C246" s="50" t="s">
        <v>23</v>
      </c>
      <c r="D246" s="51"/>
      <c r="E246" s="49">
        <v>48</v>
      </c>
      <c r="F246" s="52">
        <v>144</v>
      </c>
      <c r="G246" s="53">
        <f>2200+550+1070+250+330</f>
        <v>4400</v>
      </c>
      <c r="H246" s="54">
        <f t="shared" ref="H246" si="130">F246*G246</f>
        <v>633600</v>
      </c>
      <c r="I246" s="53">
        <v>0</v>
      </c>
      <c r="J246" s="53">
        <f t="shared" ref="J246" si="131">SUM(H246:I246)</f>
        <v>633600</v>
      </c>
      <c r="K246" s="32"/>
      <c r="L246" s="33"/>
      <c r="M246" s="34"/>
      <c r="N246" s="35">
        <f t="shared" si="127"/>
        <v>14283446.999999998</v>
      </c>
    </row>
    <row r="247" spans="1:14" s="18" customFormat="1" ht="24" hidden="1" customHeight="1" x14ac:dyDescent="0.3">
      <c r="A247" s="19"/>
      <c r="B247" s="19">
        <v>24</v>
      </c>
      <c r="C247" s="29" t="s">
        <v>156</v>
      </c>
      <c r="D247" s="21"/>
      <c r="E247" s="19"/>
      <c r="F247" s="22"/>
      <c r="G247" s="23"/>
      <c r="H247" s="24"/>
      <c r="I247" s="23"/>
      <c r="J247" s="23"/>
      <c r="K247" s="32"/>
      <c r="L247" s="33"/>
      <c r="M247" s="34"/>
      <c r="N247" s="35">
        <f t="shared" si="127"/>
        <v>14283446.999999998</v>
      </c>
    </row>
    <row r="248" spans="1:14" s="18" customFormat="1" ht="24" hidden="1" customHeight="1" x14ac:dyDescent="0.3">
      <c r="A248" s="19"/>
      <c r="B248" s="19"/>
      <c r="C248" s="29" t="s">
        <v>155</v>
      </c>
      <c r="D248" s="46"/>
      <c r="E248" s="19">
        <v>4692</v>
      </c>
      <c r="F248" s="22">
        <v>23497.9</v>
      </c>
      <c r="G248" s="23">
        <f>550+2200-700+980</f>
        <v>3030</v>
      </c>
      <c r="H248" s="24">
        <f t="shared" ref="H248" si="132">F248*G248</f>
        <v>71198637</v>
      </c>
      <c r="I248" s="23">
        <v>0</v>
      </c>
      <c r="J248" s="23">
        <f t="shared" ref="J248" si="133">SUM(H248:I248)</f>
        <v>71198637</v>
      </c>
      <c r="K248" s="32"/>
      <c r="L248" s="33"/>
      <c r="M248" s="34"/>
      <c r="N248" s="35">
        <f t="shared" si="127"/>
        <v>85482084</v>
      </c>
    </row>
    <row r="249" spans="1:14" s="18" customFormat="1" ht="24" hidden="1" customHeight="1" x14ac:dyDescent="0.3">
      <c r="A249" s="19"/>
      <c r="B249" s="19">
        <v>24</v>
      </c>
      <c r="C249" s="29" t="s">
        <v>42</v>
      </c>
      <c r="D249" s="21"/>
      <c r="E249" s="19"/>
      <c r="F249" s="22"/>
      <c r="G249" s="23"/>
      <c r="H249" s="24"/>
      <c r="I249" s="23"/>
      <c r="J249" s="23"/>
      <c r="K249" s="32"/>
      <c r="L249" s="33"/>
      <c r="M249" s="34"/>
      <c r="N249" s="35">
        <f t="shared" si="127"/>
        <v>85482084</v>
      </c>
    </row>
    <row r="250" spans="1:14" s="18" customFormat="1" ht="24" hidden="1" customHeight="1" x14ac:dyDescent="0.3">
      <c r="A250" s="19"/>
      <c r="B250" s="19"/>
      <c r="C250" s="29" t="s">
        <v>157</v>
      </c>
      <c r="D250" s="21"/>
      <c r="E250" s="19"/>
      <c r="F250" s="22"/>
      <c r="G250" s="23"/>
      <c r="H250" s="24">
        <v>280000</v>
      </c>
      <c r="I250" s="23">
        <f>H250*0.1</f>
        <v>28000</v>
      </c>
      <c r="J250" s="23">
        <f>SUM(H250:I250)</f>
        <v>308000</v>
      </c>
      <c r="K250" s="32"/>
      <c r="L250" s="33"/>
      <c r="M250" s="34"/>
      <c r="N250" s="35">
        <f t="shared" si="127"/>
        <v>85790084</v>
      </c>
    </row>
    <row r="251" spans="1:14" s="18" customFormat="1" ht="24" hidden="1" customHeight="1" x14ac:dyDescent="0.3">
      <c r="A251" s="19">
        <v>2</v>
      </c>
      <c r="B251" s="19">
        <v>3</v>
      </c>
      <c r="C251" s="29" t="s">
        <v>158</v>
      </c>
      <c r="D251" s="21"/>
      <c r="E251" s="19"/>
      <c r="F251" s="22"/>
      <c r="G251" s="23"/>
      <c r="H251" s="24"/>
      <c r="I251" s="23"/>
      <c r="J251" s="23"/>
      <c r="K251" s="32"/>
      <c r="L251" s="33"/>
      <c r="M251" s="34"/>
      <c r="N251" s="35">
        <f t="shared" si="127"/>
        <v>85790084</v>
      </c>
    </row>
    <row r="252" spans="1:14" s="18" customFormat="1" ht="24" hidden="1" customHeight="1" x14ac:dyDescent="0.3">
      <c r="A252" s="19"/>
      <c r="B252" s="19"/>
      <c r="C252" s="69" t="s">
        <v>126</v>
      </c>
      <c r="D252" s="21"/>
      <c r="E252" s="19">
        <v>85</v>
      </c>
      <c r="F252" s="22">
        <v>392.5</v>
      </c>
      <c r="G252" s="23">
        <f>550+1000+980+250</f>
        <v>2780</v>
      </c>
      <c r="H252" s="24">
        <f t="shared" ref="H252:H253" si="134">F252*G252</f>
        <v>1091150</v>
      </c>
      <c r="I252" s="23">
        <v>0</v>
      </c>
      <c r="J252" s="23">
        <f t="shared" ref="J252:J253" si="135">SUM(H252:I252)</f>
        <v>1091150</v>
      </c>
      <c r="K252" s="32"/>
      <c r="L252" s="33"/>
      <c r="M252" s="34"/>
      <c r="N252" s="35">
        <f t="shared" si="127"/>
        <v>86881234</v>
      </c>
    </row>
    <row r="253" spans="1:14" s="18" customFormat="1" ht="24" hidden="1" customHeight="1" x14ac:dyDescent="0.3">
      <c r="A253" s="19"/>
      <c r="B253" s="19"/>
      <c r="C253" s="69" t="s">
        <v>159</v>
      </c>
      <c r="D253" s="21"/>
      <c r="E253" s="19">
        <v>1</v>
      </c>
      <c r="F253" s="22">
        <v>7.1</v>
      </c>
      <c r="G253" s="23">
        <f>550+1000</f>
        <v>1550</v>
      </c>
      <c r="H253" s="24">
        <f t="shared" si="134"/>
        <v>11005</v>
      </c>
      <c r="I253" s="23">
        <v>0</v>
      </c>
      <c r="J253" s="23">
        <f t="shared" si="135"/>
        <v>11005</v>
      </c>
      <c r="K253" s="32"/>
      <c r="L253" s="33"/>
      <c r="M253" s="34"/>
      <c r="N253" s="35">
        <f t="shared" si="127"/>
        <v>86892239</v>
      </c>
    </row>
    <row r="254" spans="1:14" s="18" customFormat="1" ht="24" hidden="1" customHeight="1" x14ac:dyDescent="0.3">
      <c r="A254" s="19"/>
      <c r="B254" s="19">
        <v>3</v>
      </c>
      <c r="C254" s="29" t="s">
        <v>160</v>
      </c>
      <c r="D254" s="21"/>
      <c r="E254" s="19"/>
      <c r="F254" s="22"/>
      <c r="G254" s="23"/>
      <c r="H254" s="24"/>
      <c r="I254" s="23"/>
      <c r="J254" s="23"/>
      <c r="K254" s="32"/>
      <c r="L254" s="33"/>
      <c r="M254" s="34"/>
      <c r="N254" s="35">
        <f t="shared" si="127"/>
        <v>86892239</v>
      </c>
    </row>
    <row r="255" spans="1:14" s="18" customFormat="1" ht="24" hidden="1" customHeight="1" x14ac:dyDescent="0.3">
      <c r="A255" s="19"/>
      <c r="B255" s="19"/>
      <c r="C255" s="36" t="s">
        <v>61</v>
      </c>
      <c r="D255" s="21"/>
      <c r="E255" s="19">
        <v>592</v>
      </c>
      <c r="F255" s="22">
        <v>2771.1</v>
      </c>
      <c r="G255" s="23">
        <f>2200+2200+550+1070+1070+250+250+330+330</f>
        <v>8250</v>
      </c>
      <c r="H255" s="24">
        <f t="shared" ref="H255" si="136">F255*G255</f>
        <v>22861575</v>
      </c>
      <c r="I255" s="23">
        <v>0</v>
      </c>
      <c r="J255" s="23">
        <f t="shared" ref="J255" si="137">SUM(H255:I255)</f>
        <v>22861575</v>
      </c>
      <c r="K255" s="32"/>
      <c r="L255" s="33"/>
      <c r="M255" s="34"/>
      <c r="N255" s="35">
        <f t="shared" si="127"/>
        <v>109753814</v>
      </c>
    </row>
    <row r="256" spans="1:14" s="18" customFormat="1" ht="24" hidden="1" customHeight="1" x14ac:dyDescent="0.3">
      <c r="A256" s="19"/>
      <c r="B256" s="19">
        <v>3</v>
      </c>
      <c r="C256" s="29" t="s">
        <v>99</v>
      </c>
      <c r="D256" s="21"/>
      <c r="E256" s="19"/>
      <c r="F256" s="22"/>
      <c r="G256" s="23"/>
      <c r="H256" s="24"/>
      <c r="I256" s="23"/>
      <c r="J256" s="23"/>
      <c r="K256" s="32"/>
      <c r="L256" s="33"/>
      <c r="M256" s="34"/>
      <c r="N256" s="35">
        <f t="shared" si="127"/>
        <v>109753814</v>
      </c>
    </row>
    <row r="257" spans="1:14" s="18" customFormat="1" ht="24" hidden="1" customHeight="1" x14ac:dyDescent="0.3">
      <c r="A257" s="19"/>
      <c r="B257" s="19"/>
      <c r="C257" s="29" t="s">
        <v>75</v>
      </c>
      <c r="D257" s="21"/>
      <c r="E257" s="19">
        <v>2</v>
      </c>
      <c r="F257" s="22">
        <v>21.7</v>
      </c>
      <c r="G257" s="23">
        <v>2750</v>
      </c>
      <c r="H257" s="24">
        <f t="shared" ref="H257" si="138">F257*G257</f>
        <v>59675</v>
      </c>
      <c r="I257" s="23">
        <v>0</v>
      </c>
      <c r="J257" s="23">
        <f t="shared" ref="J257" si="139">SUM(H257:I257)</f>
        <v>59675</v>
      </c>
      <c r="K257" s="32"/>
      <c r="L257" s="33"/>
      <c r="M257" s="34"/>
      <c r="N257" s="35">
        <f t="shared" si="127"/>
        <v>109813489</v>
      </c>
    </row>
    <row r="258" spans="1:14" s="18" customFormat="1" ht="24" hidden="1" customHeight="1" x14ac:dyDescent="0.3">
      <c r="A258" s="19"/>
      <c r="B258" s="19">
        <v>3</v>
      </c>
      <c r="C258" s="39" t="s">
        <v>161</v>
      </c>
      <c r="D258" s="21"/>
      <c r="E258" s="19"/>
      <c r="F258" s="22"/>
      <c r="G258" s="23"/>
      <c r="H258" s="24"/>
      <c r="I258" s="23"/>
      <c r="J258" s="23"/>
      <c r="K258" s="32"/>
      <c r="L258" s="33"/>
      <c r="M258" s="34"/>
      <c r="N258" s="35">
        <f t="shared" si="127"/>
        <v>109813489</v>
      </c>
    </row>
    <row r="259" spans="1:14" s="18" customFormat="1" ht="24" hidden="1" customHeight="1" x14ac:dyDescent="0.3">
      <c r="A259" s="19"/>
      <c r="B259" s="19"/>
      <c r="C259" s="29" t="s">
        <v>45</v>
      </c>
      <c r="D259" s="21"/>
      <c r="E259" s="19"/>
      <c r="F259" s="22"/>
      <c r="G259" s="23"/>
      <c r="H259" s="24">
        <v>120000</v>
      </c>
      <c r="I259" s="23">
        <f>H259*0.1</f>
        <v>12000</v>
      </c>
      <c r="J259" s="23">
        <f>SUM(H259:I259)</f>
        <v>132000</v>
      </c>
      <c r="K259" s="32"/>
      <c r="L259" s="33"/>
      <c r="M259" s="34"/>
      <c r="N259" s="35">
        <f t="shared" si="127"/>
        <v>109945489</v>
      </c>
    </row>
    <row r="260" spans="1:14" s="18" customFormat="1" ht="24" hidden="1" customHeight="1" x14ac:dyDescent="0.3">
      <c r="A260" s="19"/>
      <c r="B260" s="19"/>
      <c r="C260" s="29" t="s">
        <v>162</v>
      </c>
      <c r="D260" s="21"/>
      <c r="E260" s="19"/>
      <c r="F260" s="22"/>
      <c r="G260" s="23"/>
      <c r="H260" s="24">
        <v>120000</v>
      </c>
      <c r="I260" s="23">
        <f>H260*0.1</f>
        <v>12000</v>
      </c>
      <c r="J260" s="23">
        <f>SUM(H260:I260)</f>
        <v>132000</v>
      </c>
      <c r="K260" s="32"/>
      <c r="L260" s="33"/>
      <c r="M260" s="34"/>
      <c r="N260" s="35">
        <f t="shared" si="127"/>
        <v>110077489</v>
      </c>
    </row>
    <row r="261" spans="1:14" s="18" customFormat="1" ht="24" hidden="1" customHeight="1" x14ac:dyDescent="0.3">
      <c r="A261" s="19"/>
      <c r="B261" s="19"/>
      <c r="C261" s="29" t="s">
        <v>81</v>
      </c>
      <c r="D261" s="21"/>
      <c r="E261" s="19"/>
      <c r="F261" s="22"/>
      <c r="G261" s="23"/>
      <c r="H261" s="24">
        <v>70000</v>
      </c>
      <c r="I261" s="23">
        <f>H261*0.1</f>
        <v>7000</v>
      </c>
      <c r="J261" s="23">
        <f>SUM(H261:I261)</f>
        <v>77000</v>
      </c>
      <c r="K261" s="32"/>
      <c r="L261" s="33"/>
      <c r="M261" s="34"/>
      <c r="N261" s="35">
        <f t="shared" si="127"/>
        <v>110154489</v>
      </c>
    </row>
    <row r="262" spans="1:14" s="18" customFormat="1" ht="24" hidden="1" customHeight="1" x14ac:dyDescent="0.3">
      <c r="A262" s="19"/>
      <c r="B262" s="19">
        <v>4</v>
      </c>
      <c r="C262" s="39" t="s">
        <v>163</v>
      </c>
      <c r="D262" s="37"/>
      <c r="E262" s="19"/>
      <c r="F262" s="22"/>
      <c r="G262" s="23"/>
      <c r="H262" s="24"/>
      <c r="I262" s="23"/>
      <c r="J262" s="23"/>
      <c r="K262" s="32"/>
      <c r="L262" s="33"/>
      <c r="M262" s="34"/>
      <c r="N262" s="35">
        <f t="shared" si="127"/>
        <v>110154489</v>
      </c>
    </row>
    <row r="263" spans="1:14" s="18" customFormat="1" ht="24" hidden="1" customHeight="1" x14ac:dyDescent="0.3">
      <c r="A263" s="19"/>
      <c r="B263" s="19"/>
      <c r="C263" s="36" t="s">
        <v>61</v>
      </c>
      <c r="D263" s="21"/>
      <c r="E263" s="19">
        <v>8</v>
      </c>
      <c r="F263" s="22">
        <v>24</v>
      </c>
      <c r="G263" s="23">
        <f>2200+2200+550+1070+1070+250+250+330+330</f>
        <v>8250</v>
      </c>
      <c r="H263" s="24">
        <f t="shared" ref="H263" si="140">F263*G263</f>
        <v>198000</v>
      </c>
      <c r="I263" s="23">
        <v>0</v>
      </c>
      <c r="J263" s="23">
        <f t="shared" ref="J263" si="141">SUM(H263:I263)</f>
        <v>198000</v>
      </c>
      <c r="K263" s="32"/>
      <c r="L263" s="33"/>
      <c r="M263" s="34"/>
      <c r="N263" s="35">
        <f t="shared" si="127"/>
        <v>110352489</v>
      </c>
    </row>
    <row r="264" spans="1:14" s="18" customFormat="1" ht="24" hidden="1" customHeight="1" x14ac:dyDescent="0.3">
      <c r="A264" s="19"/>
      <c r="B264" s="19">
        <v>4</v>
      </c>
      <c r="C264" s="29" t="s">
        <v>164</v>
      </c>
      <c r="D264" s="21"/>
      <c r="E264" s="19"/>
      <c r="F264" s="22"/>
      <c r="G264" s="23"/>
      <c r="H264" s="24"/>
      <c r="I264" s="23"/>
      <c r="J264" s="23"/>
      <c r="K264" s="32"/>
      <c r="L264" s="33"/>
      <c r="M264" s="34"/>
      <c r="N264" s="38">
        <f t="shared" si="127"/>
        <v>110352489</v>
      </c>
    </row>
    <row r="265" spans="1:14" s="18" customFormat="1" ht="24" hidden="1" customHeight="1" x14ac:dyDescent="0.3">
      <c r="A265" s="19"/>
      <c r="B265" s="19"/>
      <c r="C265" s="36" t="s">
        <v>21</v>
      </c>
      <c r="D265" s="21"/>
      <c r="E265" s="19">
        <v>26</v>
      </c>
      <c r="F265" s="22">
        <v>251.4</v>
      </c>
      <c r="G265" s="23">
        <f>2200+550+1070+250+330</f>
        <v>4400</v>
      </c>
      <c r="H265" s="24">
        <f t="shared" ref="H265" si="142">F265*G265</f>
        <v>1106160</v>
      </c>
      <c r="I265" s="23">
        <v>0</v>
      </c>
      <c r="J265" s="23">
        <f t="shared" ref="J265" si="143">SUM(H265:I265)</f>
        <v>1106160</v>
      </c>
      <c r="K265" s="32"/>
      <c r="L265" s="33"/>
      <c r="M265" s="34"/>
      <c r="N265" s="38">
        <f t="shared" si="127"/>
        <v>111458649</v>
      </c>
    </row>
    <row r="266" spans="1:14" s="18" customFormat="1" ht="24" hidden="1" customHeight="1" x14ac:dyDescent="0.3">
      <c r="A266" s="19"/>
      <c r="B266" s="19">
        <v>4</v>
      </c>
      <c r="C266" s="29" t="s">
        <v>165</v>
      </c>
      <c r="D266" s="21"/>
      <c r="E266" s="19"/>
      <c r="F266" s="22"/>
      <c r="G266" s="23"/>
      <c r="H266" s="24"/>
      <c r="I266" s="23"/>
      <c r="J266" s="23"/>
      <c r="K266" s="32"/>
      <c r="L266" s="33"/>
      <c r="M266" s="34"/>
      <c r="N266" s="38">
        <f t="shared" si="127"/>
        <v>111458649</v>
      </c>
    </row>
    <row r="267" spans="1:14" s="18" customFormat="1" ht="24" hidden="1" customHeight="1" x14ac:dyDescent="0.3">
      <c r="A267" s="19"/>
      <c r="B267" s="19"/>
      <c r="C267" s="36" t="s">
        <v>166</v>
      </c>
      <c r="D267" s="37"/>
      <c r="E267" s="19">
        <v>45</v>
      </c>
      <c r="F267" s="22">
        <v>304.39999999999998</v>
      </c>
      <c r="G267" s="23">
        <f>2200+2200+550+1070+1070+250+250</f>
        <v>7590</v>
      </c>
      <c r="H267" s="24">
        <f t="shared" ref="H267:H268" si="144">F267*G267</f>
        <v>2310396</v>
      </c>
      <c r="I267" s="23">
        <v>0</v>
      </c>
      <c r="J267" s="23">
        <f t="shared" ref="J267:J268" si="145">SUM(H267:I267)</f>
        <v>2310396</v>
      </c>
      <c r="K267" s="32"/>
      <c r="L267" s="33"/>
      <c r="M267" s="34"/>
      <c r="N267" s="38">
        <f t="shared" si="127"/>
        <v>113769045</v>
      </c>
    </row>
    <row r="268" spans="1:14" s="18" customFormat="1" ht="24" hidden="1" customHeight="1" x14ac:dyDescent="0.3">
      <c r="A268" s="19"/>
      <c r="B268" s="19"/>
      <c r="C268" s="36" t="s">
        <v>167</v>
      </c>
      <c r="D268" s="21"/>
      <c r="E268" s="19">
        <v>8</v>
      </c>
      <c r="F268" s="22">
        <v>24</v>
      </c>
      <c r="G268" s="23">
        <f>2200+550+1070+250</f>
        <v>4070</v>
      </c>
      <c r="H268" s="24">
        <f t="shared" si="144"/>
        <v>97680</v>
      </c>
      <c r="I268" s="23">
        <v>0</v>
      </c>
      <c r="J268" s="23">
        <f t="shared" si="145"/>
        <v>97680</v>
      </c>
      <c r="K268" s="32"/>
      <c r="L268" s="33"/>
      <c r="M268" s="34"/>
      <c r="N268" s="38">
        <f t="shared" si="127"/>
        <v>113866725</v>
      </c>
    </row>
    <row r="269" spans="1:14" s="18" customFormat="1" ht="24" hidden="1" customHeight="1" x14ac:dyDescent="0.3">
      <c r="A269" s="19"/>
      <c r="B269" s="19">
        <v>4</v>
      </c>
      <c r="C269" s="29" t="s">
        <v>168</v>
      </c>
      <c r="D269" s="21"/>
      <c r="E269" s="19"/>
      <c r="F269" s="22"/>
      <c r="G269" s="23"/>
      <c r="H269" s="24"/>
      <c r="I269" s="23"/>
      <c r="J269" s="23"/>
      <c r="K269" s="32"/>
      <c r="L269" s="33"/>
      <c r="M269" s="34"/>
      <c r="N269" s="38">
        <f t="shared" si="127"/>
        <v>113866725</v>
      </c>
    </row>
    <row r="270" spans="1:14" s="18" customFormat="1" ht="24" hidden="1" customHeight="1" x14ac:dyDescent="0.3">
      <c r="A270" s="19"/>
      <c r="B270" s="19"/>
      <c r="C270" s="29" t="s">
        <v>28</v>
      </c>
      <c r="D270" s="21"/>
      <c r="E270" s="19">
        <v>9</v>
      </c>
      <c r="F270" s="22">
        <v>122.1</v>
      </c>
      <c r="G270" s="23">
        <f>550+1000+1070+250</f>
        <v>2870</v>
      </c>
      <c r="H270" s="24">
        <f t="shared" ref="H270:H271" si="146">F270*G270</f>
        <v>350427</v>
      </c>
      <c r="I270" s="23">
        <v>0</v>
      </c>
      <c r="J270" s="23">
        <f t="shared" ref="J270:J271" si="147">SUM(H270:I270)</f>
        <v>350427</v>
      </c>
      <c r="K270" s="32"/>
      <c r="L270" s="33"/>
      <c r="M270" s="34"/>
      <c r="N270" s="38">
        <f t="shared" si="127"/>
        <v>114217152</v>
      </c>
    </row>
    <row r="271" spans="1:14" s="18" customFormat="1" ht="24" hidden="1" customHeight="1" x14ac:dyDescent="0.3">
      <c r="A271" s="19"/>
      <c r="B271" s="19"/>
      <c r="C271" s="29" t="s">
        <v>46</v>
      </c>
      <c r="D271" s="21"/>
      <c r="E271" s="19">
        <v>8</v>
      </c>
      <c r="F271" s="22">
        <v>144.30000000000001</v>
      </c>
      <c r="G271" s="23">
        <v>2100</v>
      </c>
      <c r="H271" s="24">
        <f t="shared" si="146"/>
        <v>303030</v>
      </c>
      <c r="I271" s="23">
        <v>0</v>
      </c>
      <c r="J271" s="23">
        <f t="shared" si="147"/>
        <v>303030</v>
      </c>
      <c r="K271" s="32"/>
      <c r="L271" s="33"/>
      <c r="M271" s="34"/>
      <c r="N271" s="38">
        <f t="shared" si="127"/>
        <v>114520182</v>
      </c>
    </row>
    <row r="272" spans="1:14" s="18" customFormat="1" ht="24" hidden="1" customHeight="1" x14ac:dyDescent="0.3">
      <c r="A272" s="19"/>
      <c r="B272" s="19">
        <v>4</v>
      </c>
      <c r="C272" s="29" t="s">
        <v>165</v>
      </c>
      <c r="D272" s="37"/>
      <c r="E272" s="19"/>
      <c r="F272" s="22"/>
      <c r="G272" s="23"/>
      <c r="H272" s="24"/>
      <c r="I272" s="23"/>
      <c r="J272" s="23"/>
      <c r="K272" s="32"/>
      <c r="L272" s="33"/>
      <c r="M272" s="34"/>
      <c r="N272" s="38">
        <f t="shared" si="127"/>
        <v>114520182</v>
      </c>
    </row>
    <row r="273" spans="1:14" s="18" customFormat="1" ht="24" hidden="1" customHeight="1" x14ac:dyDescent="0.3">
      <c r="A273" s="19"/>
      <c r="B273" s="19"/>
      <c r="C273" s="36" t="s">
        <v>166</v>
      </c>
      <c r="D273" s="21"/>
      <c r="E273" s="19">
        <v>1</v>
      </c>
      <c r="F273" s="22">
        <v>23.2</v>
      </c>
      <c r="G273" s="23">
        <f>2200+2200+550+1070+1070+250+250</f>
        <v>7590</v>
      </c>
      <c r="H273" s="24">
        <f t="shared" ref="H273" si="148">F273*G273</f>
        <v>176088</v>
      </c>
      <c r="I273" s="23">
        <v>0</v>
      </c>
      <c r="J273" s="23">
        <f t="shared" ref="J273" si="149">SUM(H273:I273)</f>
        <v>176088</v>
      </c>
      <c r="K273" s="32"/>
      <c r="L273" s="33"/>
      <c r="M273" s="34"/>
      <c r="N273" s="38">
        <f t="shared" si="127"/>
        <v>114696270</v>
      </c>
    </row>
    <row r="274" spans="1:14" s="2" customFormat="1" ht="27" hidden="1" customHeight="1" thickBot="1" x14ac:dyDescent="0.35">
      <c r="A274" s="1"/>
      <c r="B274" s="1"/>
      <c r="C274" s="1"/>
      <c r="E274" s="86" t="s">
        <v>0</v>
      </c>
      <c r="F274" s="86"/>
      <c r="G274" s="86"/>
      <c r="H274" s="86"/>
      <c r="I274" s="86"/>
      <c r="J274" s="86"/>
      <c r="K274" s="1"/>
      <c r="L274" s="3"/>
      <c r="M274" s="3"/>
      <c r="N274" s="1"/>
    </row>
    <row r="275" spans="1:14" s="2" customFormat="1" ht="24" hidden="1" customHeight="1" thickTop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3"/>
      <c r="M275" s="3"/>
      <c r="N275" s="1"/>
    </row>
    <row r="276" spans="1:14" s="2" customFormat="1" ht="24" hidden="1" customHeight="1" thickBot="1" x14ac:dyDescent="0.35">
      <c r="A276" s="2" t="s">
        <v>1</v>
      </c>
      <c r="C276" s="4"/>
      <c r="D276" s="4"/>
      <c r="E276" s="5"/>
      <c r="F276" s="6"/>
      <c r="G276" s="7"/>
      <c r="H276" s="7"/>
      <c r="I276" s="7"/>
      <c r="J276" s="8"/>
      <c r="K276" s="9"/>
      <c r="L276" s="10"/>
      <c r="M276" s="11"/>
      <c r="N276" s="12" t="s">
        <v>2</v>
      </c>
    </row>
    <row r="277" spans="1:14" s="18" customFormat="1" ht="24" hidden="1" customHeight="1" thickTop="1" thickBot="1" x14ac:dyDescent="0.35">
      <c r="A277" s="13" t="s">
        <v>3</v>
      </c>
      <c r="B277" s="13" t="s">
        <v>4</v>
      </c>
      <c r="C277" s="87" t="s">
        <v>5</v>
      </c>
      <c r="D277" s="88"/>
      <c r="E277" s="13" t="s">
        <v>6</v>
      </c>
      <c r="F277" s="14" t="s">
        <v>7</v>
      </c>
      <c r="G277" s="15" t="s">
        <v>8</v>
      </c>
      <c r="H277" s="15" t="s">
        <v>9</v>
      </c>
      <c r="I277" s="15" t="s">
        <v>10</v>
      </c>
      <c r="J277" s="15" t="s">
        <v>11</v>
      </c>
      <c r="K277" s="16" t="s">
        <v>12</v>
      </c>
      <c r="L277" s="89" t="s">
        <v>13</v>
      </c>
      <c r="M277" s="90"/>
      <c r="N277" s="17" t="s">
        <v>14</v>
      </c>
    </row>
    <row r="278" spans="1:14" s="18" customFormat="1" ht="24" hidden="1" customHeight="1" thickTop="1" x14ac:dyDescent="0.3">
      <c r="A278" s="41"/>
      <c r="B278" s="41"/>
      <c r="C278" s="70" t="s">
        <v>41</v>
      </c>
      <c r="D278" s="40"/>
      <c r="E278" s="41"/>
      <c r="F278" s="42"/>
      <c r="G278" s="43"/>
      <c r="H278" s="44"/>
      <c r="I278" s="43"/>
      <c r="J278" s="43"/>
      <c r="K278" s="25"/>
      <c r="L278" s="26"/>
      <c r="M278" s="27"/>
      <c r="N278" s="28">
        <f>N273</f>
        <v>114696270</v>
      </c>
    </row>
    <row r="279" spans="1:14" s="18" customFormat="1" ht="24" hidden="1" customHeight="1" x14ac:dyDescent="0.3">
      <c r="A279" s="19">
        <v>2</v>
      </c>
      <c r="B279" s="19">
        <v>4</v>
      </c>
      <c r="C279" s="29" t="s">
        <v>169</v>
      </c>
      <c r="D279" s="21"/>
      <c r="E279" s="19"/>
      <c r="F279" s="22"/>
      <c r="G279" s="23"/>
      <c r="H279" s="24"/>
      <c r="I279" s="23"/>
      <c r="J279" s="47"/>
      <c r="K279" s="32"/>
      <c r="L279" s="33"/>
      <c r="M279" s="34"/>
      <c r="N279" s="35">
        <f>N278+J279+K279</f>
        <v>114696270</v>
      </c>
    </row>
    <row r="280" spans="1:14" s="18" customFormat="1" ht="24" hidden="1" customHeight="1" x14ac:dyDescent="0.3">
      <c r="A280" s="19"/>
      <c r="B280" s="19"/>
      <c r="C280" s="36" t="s">
        <v>21</v>
      </c>
      <c r="D280" s="21"/>
      <c r="E280" s="19">
        <v>242</v>
      </c>
      <c r="F280" s="22">
        <v>2847.5</v>
      </c>
      <c r="G280" s="23">
        <f>2200+550+1070+250+330</f>
        <v>4400</v>
      </c>
      <c r="H280" s="24">
        <f t="shared" ref="H280:H281" si="150">F280*G280</f>
        <v>12529000</v>
      </c>
      <c r="I280" s="23">
        <v>0</v>
      </c>
      <c r="J280" s="23">
        <f t="shared" ref="J280:J281" si="151">SUM(H280:I280)</f>
        <v>12529000</v>
      </c>
      <c r="K280" s="32"/>
      <c r="L280" s="33"/>
      <c r="M280" s="34"/>
      <c r="N280" s="35">
        <f>N279+J280+K280</f>
        <v>127225270</v>
      </c>
    </row>
    <row r="281" spans="1:14" s="18" customFormat="1" ht="24" hidden="1" customHeight="1" x14ac:dyDescent="0.3">
      <c r="A281" s="19"/>
      <c r="B281" s="19"/>
      <c r="C281" s="36" t="s">
        <v>61</v>
      </c>
      <c r="D281" s="21"/>
      <c r="E281" s="19">
        <v>4</v>
      </c>
      <c r="F281" s="22">
        <v>12</v>
      </c>
      <c r="G281" s="23">
        <f>2200+2200+550+1070+1070+250+250+330+330</f>
        <v>8250</v>
      </c>
      <c r="H281" s="24">
        <f t="shared" si="150"/>
        <v>99000</v>
      </c>
      <c r="I281" s="23">
        <v>0</v>
      </c>
      <c r="J281" s="23">
        <f t="shared" si="151"/>
        <v>99000</v>
      </c>
      <c r="K281" s="32"/>
      <c r="L281" s="33"/>
      <c r="M281" s="34"/>
      <c r="N281" s="35">
        <f t="shared" ref="N281:N312" si="152">N280+J281+K281</f>
        <v>127324270</v>
      </c>
    </row>
    <row r="282" spans="1:14" s="18" customFormat="1" ht="24" hidden="1" customHeight="1" x14ac:dyDescent="0.3">
      <c r="A282" s="19"/>
      <c r="B282" s="19">
        <v>4</v>
      </c>
      <c r="C282" s="29" t="s">
        <v>170</v>
      </c>
      <c r="D282" s="21"/>
      <c r="E282" s="19"/>
      <c r="F282" s="22"/>
      <c r="G282" s="23"/>
      <c r="H282" s="24"/>
      <c r="I282" s="23"/>
      <c r="J282" s="23"/>
      <c r="K282" s="32"/>
      <c r="L282" s="33"/>
      <c r="M282" s="34"/>
      <c r="N282" s="35">
        <f t="shared" si="152"/>
        <v>127324270</v>
      </c>
    </row>
    <row r="283" spans="1:14" s="18" customFormat="1" ht="24" hidden="1" customHeight="1" x14ac:dyDescent="0.3">
      <c r="A283" s="19"/>
      <c r="B283" s="19"/>
      <c r="C283" s="36" t="s">
        <v>21</v>
      </c>
      <c r="D283" s="21"/>
      <c r="E283" s="19">
        <v>13</v>
      </c>
      <c r="F283" s="22">
        <v>66.5</v>
      </c>
      <c r="G283" s="23">
        <f>2200+550+1070+250+330</f>
        <v>4400</v>
      </c>
      <c r="H283" s="24">
        <f t="shared" ref="H283" si="153">F283*G283</f>
        <v>292600</v>
      </c>
      <c r="I283" s="23">
        <v>0</v>
      </c>
      <c r="J283" s="23">
        <f t="shared" ref="J283" si="154">SUM(H283:I283)</f>
        <v>292600</v>
      </c>
      <c r="K283" s="32"/>
      <c r="L283" s="33"/>
      <c r="M283" s="34"/>
      <c r="N283" s="35">
        <f t="shared" si="152"/>
        <v>127616870</v>
      </c>
    </row>
    <row r="284" spans="1:14" s="18" customFormat="1" ht="24" hidden="1" customHeight="1" x14ac:dyDescent="0.3">
      <c r="A284" s="19"/>
      <c r="B284" s="19">
        <v>5</v>
      </c>
      <c r="C284" s="29" t="s">
        <v>171</v>
      </c>
      <c r="D284" s="21"/>
      <c r="E284" s="19"/>
      <c r="F284" s="22"/>
      <c r="G284" s="23"/>
      <c r="H284" s="24"/>
      <c r="I284" s="23"/>
      <c r="J284" s="23"/>
      <c r="K284" s="32"/>
      <c r="L284" s="33"/>
      <c r="M284" s="34"/>
      <c r="N284" s="35">
        <f t="shared" si="152"/>
        <v>127616870</v>
      </c>
    </row>
    <row r="285" spans="1:14" s="18" customFormat="1" ht="24" hidden="1" customHeight="1" x14ac:dyDescent="0.3">
      <c r="A285" s="19"/>
      <c r="B285" s="19"/>
      <c r="C285" s="36" t="s">
        <v>61</v>
      </c>
      <c r="D285" s="21"/>
      <c r="E285" s="19">
        <v>36</v>
      </c>
      <c r="F285" s="22">
        <v>190</v>
      </c>
      <c r="G285" s="23">
        <f>2200+2200+550+1070+1070+250+250+330+330</f>
        <v>8250</v>
      </c>
      <c r="H285" s="24">
        <f t="shared" ref="H285" si="155">F285*G285</f>
        <v>1567500</v>
      </c>
      <c r="I285" s="23">
        <v>0</v>
      </c>
      <c r="J285" s="23">
        <f t="shared" ref="J285" si="156">SUM(H285:I285)</f>
        <v>1567500</v>
      </c>
      <c r="K285" s="32"/>
      <c r="L285" s="33"/>
      <c r="M285" s="34"/>
      <c r="N285" s="35">
        <f t="shared" si="152"/>
        <v>129184370</v>
      </c>
    </row>
    <row r="286" spans="1:14" s="18" customFormat="1" ht="24" hidden="1" customHeight="1" x14ac:dyDescent="0.3">
      <c r="A286" s="19"/>
      <c r="B286" s="19">
        <v>6</v>
      </c>
      <c r="C286" s="29" t="s">
        <v>172</v>
      </c>
      <c r="D286" s="21"/>
      <c r="E286" s="19"/>
      <c r="F286" s="22"/>
      <c r="G286" s="23"/>
      <c r="H286" s="24"/>
      <c r="I286" s="23"/>
      <c r="J286" s="23"/>
      <c r="K286" s="32"/>
      <c r="L286" s="33"/>
      <c r="M286" s="34"/>
      <c r="N286" s="35">
        <f t="shared" si="152"/>
        <v>129184370</v>
      </c>
    </row>
    <row r="287" spans="1:14" s="18" customFormat="1" ht="24" hidden="1" customHeight="1" x14ac:dyDescent="0.3">
      <c r="A287" s="19"/>
      <c r="B287" s="19"/>
      <c r="C287" s="36" t="s">
        <v>23</v>
      </c>
      <c r="D287" s="37"/>
      <c r="E287" s="19">
        <v>291</v>
      </c>
      <c r="F287" s="22">
        <v>3670.4</v>
      </c>
      <c r="G287" s="23">
        <f>2200+550+1070+250+330</f>
        <v>4400</v>
      </c>
      <c r="H287" s="24">
        <f t="shared" ref="H287:H288" si="157">F287*G287</f>
        <v>16149760</v>
      </c>
      <c r="I287" s="23">
        <v>0</v>
      </c>
      <c r="J287" s="23">
        <f t="shared" ref="J287" si="158">SUM(H287:I287)</f>
        <v>16149760</v>
      </c>
      <c r="K287" s="32"/>
      <c r="L287" s="33"/>
      <c r="M287" s="34"/>
      <c r="N287" s="35">
        <f t="shared" si="152"/>
        <v>145334130</v>
      </c>
    </row>
    <row r="288" spans="1:14" s="18" customFormat="1" ht="24" hidden="1" customHeight="1" x14ac:dyDescent="0.3">
      <c r="A288" s="19"/>
      <c r="B288" s="19"/>
      <c r="C288" s="29" t="s">
        <v>100</v>
      </c>
      <c r="D288" s="21"/>
      <c r="E288" s="19">
        <v>16</v>
      </c>
      <c r="F288" s="22">
        <v>48</v>
      </c>
      <c r="G288" s="23">
        <v>1400</v>
      </c>
      <c r="H288" s="24">
        <f t="shared" si="157"/>
        <v>67200</v>
      </c>
      <c r="I288" s="23">
        <v>0</v>
      </c>
      <c r="J288" s="23">
        <f t="shared" ref="J288" si="159">SUM(H288:I288)</f>
        <v>67200</v>
      </c>
      <c r="K288" s="32"/>
      <c r="L288" s="33"/>
      <c r="M288" s="34"/>
      <c r="N288" s="35">
        <f t="shared" si="152"/>
        <v>145401330</v>
      </c>
    </row>
    <row r="289" spans="1:14" s="18" customFormat="1" ht="24" hidden="1" customHeight="1" x14ac:dyDescent="0.3">
      <c r="A289" s="19"/>
      <c r="B289" s="19">
        <v>6</v>
      </c>
      <c r="C289" s="39" t="s">
        <v>173</v>
      </c>
      <c r="D289" s="21"/>
      <c r="E289" s="19"/>
      <c r="F289" s="22"/>
      <c r="G289" s="23"/>
      <c r="H289" s="24"/>
      <c r="I289" s="23"/>
      <c r="J289" s="23"/>
      <c r="K289" s="32"/>
      <c r="L289" s="33"/>
      <c r="M289" s="34"/>
      <c r="N289" s="35">
        <f t="shared" si="152"/>
        <v>145401330</v>
      </c>
    </row>
    <row r="290" spans="1:14" s="18" customFormat="1" ht="24" hidden="1" customHeight="1" x14ac:dyDescent="0.3">
      <c r="A290" s="19"/>
      <c r="B290" s="19"/>
      <c r="C290" s="36" t="s">
        <v>48</v>
      </c>
      <c r="D290" s="21"/>
      <c r="E290" s="19">
        <v>113</v>
      </c>
      <c r="F290" s="22">
        <v>1273.0999999999999</v>
      </c>
      <c r="G290" s="23">
        <f>2200+550+1070+250</f>
        <v>4070</v>
      </c>
      <c r="H290" s="24">
        <f t="shared" ref="H290" si="160">F290*G290</f>
        <v>5181517</v>
      </c>
      <c r="I290" s="23">
        <v>0</v>
      </c>
      <c r="J290" s="23">
        <f t="shared" ref="J290" si="161">SUM(H290:I290)</f>
        <v>5181517</v>
      </c>
      <c r="K290" s="32"/>
      <c r="L290" s="33"/>
      <c r="M290" s="34"/>
      <c r="N290" s="35">
        <f t="shared" si="152"/>
        <v>150582847</v>
      </c>
    </row>
    <row r="291" spans="1:14" s="18" customFormat="1" ht="24" hidden="1" customHeight="1" x14ac:dyDescent="0.3">
      <c r="A291" s="19"/>
      <c r="B291" s="19">
        <v>6</v>
      </c>
      <c r="C291" s="29" t="s">
        <v>174</v>
      </c>
      <c r="D291" s="21"/>
      <c r="E291" s="19"/>
      <c r="F291" s="22"/>
      <c r="G291" s="23"/>
      <c r="H291" s="24"/>
      <c r="I291" s="23"/>
      <c r="J291" s="23"/>
      <c r="K291" s="32"/>
      <c r="L291" s="33"/>
      <c r="M291" s="34"/>
      <c r="N291" s="35">
        <f t="shared" si="152"/>
        <v>150582847</v>
      </c>
    </row>
    <row r="292" spans="1:14" s="18" customFormat="1" ht="24" hidden="1" customHeight="1" x14ac:dyDescent="0.3">
      <c r="A292" s="19"/>
      <c r="B292" s="19"/>
      <c r="C292" s="29" t="s">
        <v>126</v>
      </c>
      <c r="D292" s="21"/>
      <c r="E292" s="19">
        <v>6</v>
      </c>
      <c r="F292" s="22">
        <v>31.2</v>
      </c>
      <c r="G292" s="23">
        <f>550+1000+980+250</f>
        <v>2780</v>
      </c>
      <c r="H292" s="24">
        <f t="shared" ref="H292" si="162">F292*G292</f>
        <v>86736</v>
      </c>
      <c r="I292" s="23">
        <v>0</v>
      </c>
      <c r="J292" s="23">
        <f t="shared" ref="J292" si="163">SUM(H292:I292)</f>
        <v>86736</v>
      </c>
      <c r="K292" s="32"/>
      <c r="L292" s="33"/>
      <c r="M292" s="34"/>
      <c r="N292" s="35">
        <f t="shared" si="152"/>
        <v>150669583</v>
      </c>
    </row>
    <row r="293" spans="1:14" s="18" customFormat="1" ht="24" hidden="1" customHeight="1" x14ac:dyDescent="0.3">
      <c r="A293" s="19"/>
      <c r="B293" s="19">
        <v>6</v>
      </c>
      <c r="C293" s="29" t="s">
        <v>175</v>
      </c>
      <c r="D293" s="21"/>
      <c r="E293" s="19"/>
      <c r="F293" s="22"/>
      <c r="G293" s="23"/>
      <c r="H293" s="24"/>
      <c r="I293" s="23"/>
      <c r="J293" s="23"/>
      <c r="K293" s="32"/>
      <c r="L293" s="33"/>
      <c r="M293" s="34"/>
      <c r="N293" s="35">
        <f t="shared" si="152"/>
        <v>150669583</v>
      </c>
    </row>
    <row r="294" spans="1:14" s="18" customFormat="1" ht="24" hidden="1" customHeight="1" x14ac:dyDescent="0.3">
      <c r="A294" s="19"/>
      <c r="B294" s="19"/>
      <c r="C294" s="29" t="s">
        <v>176</v>
      </c>
      <c r="D294" s="21"/>
      <c r="E294" s="19"/>
      <c r="F294" s="22"/>
      <c r="G294" s="23"/>
      <c r="H294" s="24">
        <f>740000/2</f>
        <v>370000</v>
      </c>
      <c r="I294" s="23">
        <f>H294*0.1</f>
        <v>37000</v>
      </c>
      <c r="J294" s="23">
        <f>SUM(H294:I294)</f>
        <v>407000</v>
      </c>
      <c r="K294" s="32"/>
      <c r="L294" s="33"/>
      <c r="M294" s="34"/>
      <c r="N294" s="35">
        <f t="shared" si="152"/>
        <v>151076583</v>
      </c>
    </row>
    <row r="295" spans="1:14" s="18" customFormat="1" ht="24" hidden="1" customHeight="1" x14ac:dyDescent="0.3">
      <c r="A295" s="19"/>
      <c r="B295" s="19">
        <v>7</v>
      </c>
      <c r="C295" s="29" t="s">
        <v>60</v>
      </c>
      <c r="D295" s="37"/>
      <c r="E295" s="19"/>
      <c r="F295" s="22"/>
      <c r="G295" s="23"/>
      <c r="H295" s="24"/>
      <c r="I295" s="23"/>
      <c r="J295" s="23"/>
      <c r="K295" s="32"/>
      <c r="L295" s="33"/>
      <c r="M295" s="34"/>
      <c r="N295" s="35">
        <f t="shared" si="152"/>
        <v>151076583</v>
      </c>
    </row>
    <row r="296" spans="1:14" s="18" customFormat="1" ht="24" hidden="1" customHeight="1" x14ac:dyDescent="0.3">
      <c r="A296" s="19"/>
      <c r="B296" s="19"/>
      <c r="C296" s="39" t="s">
        <v>89</v>
      </c>
      <c r="D296" s="21"/>
      <c r="E296" s="19">
        <v>155</v>
      </c>
      <c r="F296" s="22">
        <v>465</v>
      </c>
      <c r="G296" s="23">
        <f>550+55</f>
        <v>605</v>
      </c>
      <c r="H296" s="24">
        <f t="shared" ref="H296" si="164">F296*G296</f>
        <v>281325</v>
      </c>
      <c r="I296" s="23">
        <v>0</v>
      </c>
      <c r="J296" s="23">
        <f t="shared" ref="J296" si="165">SUM(H296:I296)</f>
        <v>281325</v>
      </c>
      <c r="K296" s="32"/>
      <c r="L296" s="33"/>
      <c r="M296" s="34"/>
      <c r="N296" s="35">
        <f t="shared" si="152"/>
        <v>151357908</v>
      </c>
    </row>
    <row r="297" spans="1:14" s="18" customFormat="1" ht="24" hidden="1" customHeight="1" x14ac:dyDescent="0.3">
      <c r="A297" s="19"/>
      <c r="B297" s="19">
        <v>7</v>
      </c>
      <c r="C297" s="29" t="s">
        <v>177</v>
      </c>
      <c r="D297" s="21"/>
      <c r="E297" s="19"/>
      <c r="F297" s="22"/>
      <c r="G297" s="23"/>
      <c r="H297" s="24"/>
      <c r="I297" s="23"/>
      <c r="J297" s="23"/>
      <c r="K297" s="32"/>
      <c r="L297" s="33"/>
      <c r="M297" s="34"/>
      <c r="N297" s="35">
        <f t="shared" si="152"/>
        <v>151357908</v>
      </c>
    </row>
    <row r="298" spans="1:14" s="18" customFormat="1" ht="24" hidden="1" customHeight="1" x14ac:dyDescent="0.3">
      <c r="A298" s="19"/>
      <c r="B298" s="19"/>
      <c r="C298" s="36" t="s">
        <v>178</v>
      </c>
      <c r="D298" s="21"/>
      <c r="E298" s="19">
        <v>1</v>
      </c>
      <c r="F298" s="22">
        <v>23.2</v>
      </c>
      <c r="G298" s="23">
        <f>2200+1200+1070+250+330</f>
        <v>5050</v>
      </c>
      <c r="H298" s="24">
        <f t="shared" ref="H298" si="166">F298*G298</f>
        <v>117160</v>
      </c>
      <c r="I298" s="23">
        <v>0</v>
      </c>
      <c r="J298" s="23">
        <f t="shared" ref="J298" si="167">SUM(H298:I298)</f>
        <v>117160</v>
      </c>
      <c r="K298" s="32"/>
      <c r="L298" s="33"/>
      <c r="M298" s="34"/>
      <c r="N298" s="35">
        <f t="shared" si="152"/>
        <v>151475068</v>
      </c>
    </row>
    <row r="299" spans="1:14" s="18" customFormat="1" ht="24" hidden="1" customHeight="1" x14ac:dyDescent="0.3">
      <c r="A299" s="19"/>
      <c r="B299" s="19">
        <v>8</v>
      </c>
      <c r="C299" s="29" t="s">
        <v>175</v>
      </c>
      <c r="D299" s="37"/>
      <c r="E299" s="19"/>
      <c r="F299" s="22"/>
      <c r="G299" s="23"/>
      <c r="H299" s="24"/>
      <c r="I299" s="23"/>
      <c r="J299" s="23"/>
      <c r="K299" s="32"/>
      <c r="L299" s="33"/>
      <c r="M299" s="34"/>
      <c r="N299" s="35">
        <f t="shared" si="152"/>
        <v>151475068</v>
      </c>
    </row>
    <row r="300" spans="1:14" s="18" customFormat="1" ht="24" hidden="1" customHeight="1" x14ac:dyDescent="0.3">
      <c r="A300" s="19"/>
      <c r="B300" s="19"/>
      <c r="C300" s="39" t="s">
        <v>179</v>
      </c>
      <c r="D300" s="21"/>
      <c r="E300" s="19"/>
      <c r="F300" s="22"/>
      <c r="G300" s="23"/>
      <c r="H300" s="24">
        <f>140000/2</f>
        <v>70000</v>
      </c>
      <c r="I300" s="23">
        <f>H300*0.1</f>
        <v>7000</v>
      </c>
      <c r="J300" s="23">
        <f>SUM(H300:I300)</f>
        <v>77000</v>
      </c>
      <c r="K300" s="32"/>
      <c r="L300" s="33"/>
      <c r="M300" s="34"/>
      <c r="N300" s="35">
        <f t="shared" si="152"/>
        <v>151552068</v>
      </c>
    </row>
    <row r="301" spans="1:14" s="18" customFormat="1" ht="24" hidden="1" customHeight="1" x14ac:dyDescent="0.3">
      <c r="A301" s="19"/>
      <c r="B301" s="19">
        <v>10</v>
      </c>
      <c r="C301" s="29" t="s">
        <v>180</v>
      </c>
      <c r="D301" s="21"/>
      <c r="E301" s="19"/>
      <c r="F301" s="22"/>
      <c r="G301" s="23"/>
      <c r="H301" s="24"/>
      <c r="I301" s="23"/>
      <c r="J301" s="23"/>
      <c r="K301" s="32"/>
      <c r="L301" s="33"/>
      <c r="M301" s="34"/>
      <c r="N301" s="35">
        <f t="shared" si="152"/>
        <v>151552068</v>
      </c>
    </row>
    <row r="302" spans="1:14" s="18" customFormat="1" ht="24" hidden="1" customHeight="1" x14ac:dyDescent="0.3">
      <c r="A302" s="19"/>
      <c r="B302" s="19"/>
      <c r="C302" s="36" t="s">
        <v>181</v>
      </c>
      <c r="D302" s="21"/>
      <c r="E302" s="19">
        <v>1</v>
      </c>
      <c r="F302" s="22">
        <v>18.3</v>
      </c>
      <c r="G302" s="23">
        <f>2200+200+550+1070+250+330</f>
        <v>4600</v>
      </c>
      <c r="H302" s="24">
        <f t="shared" ref="H302" si="168">F302*G302</f>
        <v>84180</v>
      </c>
      <c r="I302" s="23">
        <v>0</v>
      </c>
      <c r="J302" s="23">
        <f t="shared" ref="J302" si="169">SUM(H302:I302)</f>
        <v>84180</v>
      </c>
      <c r="K302" s="32"/>
      <c r="L302" s="33"/>
      <c r="M302" s="34"/>
      <c r="N302" s="35">
        <f t="shared" si="152"/>
        <v>151636248</v>
      </c>
    </row>
    <row r="303" spans="1:14" s="18" customFormat="1" ht="24" hidden="1" customHeight="1" x14ac:dyDescent="0.3">
      <c r="A303" s="19"/>
      <c r="B303" s="19">
        <v>10</v>
      </c>
      <c r="C303" s="29" t="s">
        <v>160</v>
      </c>
      <c r="D303" s="21"/>
      <c r="E303" s="19"/>
      <c r="F303" s="22"/>
      <c r="G303" s="23"/>
      <c r="H303" s="24"/>
      <c r="I303" s="23"/>
      <c r="J303" s="23"/>
      <c r="K303" s="32"/>
      <c r="L303" s="33"/>
      <c r="M303" s="34"/>
      <c r="N303" s="38">
        <f t="shared" si="152"/>
        <v>151636248</v>
      </c>
    </row>
    <row r="304" spans="1:14" s="18" customFormat="1" ht="24" hidden="1" customHeight="1" x14ac:dyDescent="0.3">
      <c r="A304" s="19"/>
      <c r="B304" s="19"/>
      <c r="C304" s="36" t="s">
        <v>61</v>
      </c>
      <c r="D304" s="37"/>
      <c r="E304" s="19">
        <v>11</v>
      </c>
      <c r="F304" s="22">
        <v>48.3</v>
      </c>
      <c r="G304" s="23">
        <f>2200+2200+550+1070+1070+250+250+330+330</f>
        <v>8250</v>
      </c>
      <c r="H304" s="24">
        <f t="shared" ref="H304" si="170">F304*G304</f>
        <v>398475</v>
      </c>
      <c r="I304" s="23">
        <v>0</v>
      </c>
      <c r="J304" s="23">
        <f t="shared" ref="J304" si="171">SUM(H304:I304)</f>
        <v>398475</v>
      </c>
      <c r="K304" s="32"/>
      <c r="L304" s="33"/>
      <c r="M304" s="34"/>
      <c r="N304" s="38">
        <f t="shared" si="152"/>
        <v>152034723</v>
      </c>
    </row>
    <row r="305" spans="1:14" s="18" customFormat="1" ht="24" hidden="1" customHeight="1" x14ac:dyDescent="0.3">
      <c r="A305" s="19"/>
      <c r="B305" s="19">
        <v>10</v>
      </c>
      <c r="C305" s="29" t="s">
        <v>182</v>
      </c>
      <c r="D305" s="21"/>
      <c r="E305" s="19"/>
      <c r="F305" s="22"/>
      <c r="G305" s="23"/>
      <c r="H305" s="24"/>
      <c r="I305" s="23"/>
      <c r="J305" s="23"/>
      <c r="K305" s="32"/>
      <c r="L305" s="33"/>
      <c r="M305" s="34"/>
      <c r="N305" s="38">
        <f t="shared" si="152"/>
        <v>152034723</v>
      </c>
    </row>
    <row r="306" spans="1:14" s="18" customFormat="1" ht="24" hidden="1" customHeight="1" x14ac:dyDescent="0.3">
      <c r="A306" s="19"/>
      <c r="B306" s="19"/>
      <c r="C306" s="36" t="s">
        <v>48</v>
      </c>
      <c r="D306" s="21"/>
      <c r="E306" s="19">
        <v>1</v>
      </c>
      <c r="F306" s="22">
        <v>25.7</v>
      </c>
      <c r="G306" s="23">
        <f>2200+550+1070+250</f>
        <v>4070</v>
      </c>
      <c r="H306" s="24">
        <f t="shared" ref="H306:H307" si="172">F306*G306</f>
        <v>104599</v>
      </c>
      <c r="I306" s="23">
        <v>0</v>
      </c>
      <c r="J306" s="23">
        <f t="shared" ref="J306:J307" si="173">SUM(H306:I306)</f>
        <v>104599</v>
      </c>
      <c r="K306" s="32"/>
      <c r="L306" s="33"/>
      <c r="M306" s="34"/>
      <c r="N306" s="38">
        <f t="shared" si="152"/>
        <v>152139322</v>
      </c>
    </row>
    <row r="307" spans="1:14" s="18" customFormat="1" ht="24" hidden="1" customHeight="1" x14ac:dyDescent="0.3">
      <c r="A307" s="19"/>
      <c r="B307" s="19"/>
      <c r="C307" s="29" t="s">
        <v>89</v>
      </c>
      <c r="D307" s="21"/>
      <c r="E307" s="19">
        <v>1</v>
      </c>
      <c r="F307" s="22">
        <v>14.3</v>
      </c>
      <c r="G307" s="23">
        <f>550+55</f>
        <v>605</v>
      </c>
      <c r="H307" s="24">
        <f t="shared" si="172"/>
        <v>8651.5</v>
      </c>
      <c r="I307" s="23">
        <v>0</v>
      </c>
      <c r="J307" s="23">
        <f t="shared" si="173"/>
        <v>8651.5</v>
      </c>
      <c r="K307" s="32"/>
      <c r="L307" s="33"/>
      <c r="M307" s="34"/>
      <c r="N307" s="38">
        <f t="shared" si="152"/>
        <v>152147973.5</v>
      </c>
    </row>
    <row r="308" spans="1:14" s="18" customFormat="1" ht="24" hidden="1" customHeight="1" x14ac:dyDescent="0.3">
      <c r="A308" s="19"/>
      <c r="B308" s="19">
        <v>10</v>
      </c>
      <c r="C308" s="29" t="s">
        <v>160</v>
      </c>
      <c r="D308" s="21"/>
      <c r="E308" s="19"/>
      <c r="F308" s="22"/>
      <c r="G308" s="23"/>
      <c r="H308" s="24"/>
      <c r="I308" s="23"/>
      <c r="J308" s="23"/>
      <c r="K308" s="32"/>
      <c r="L308" s="33"/>
      <c r="M308" s="34"/>
      <c r="N308" s="38">
        <f t="shared" si="152"/>
        <v>152147973.5</v>
      </c>
    </row>
    <row r="309" spans="1:14" s="18" customFormat="1" ht="24" hidden="1" customHeight="1" x14ac:dyDescent="0.3">
      <c r="A309" s="19"/>
      <c r="B309" s="19"/>
      <c r="C309" s="39" t="s">
        <v>105</v>
      </c>
      <c r="D309" s="37"/>
      <c r="E309" s="19"/>
      <c r="F309" s="22"/>
      <c r="G309" s="23"/>
      <c r="H309" s="24">
        <v>140000</v>
      </c>
      <c r="I309" s="23">
        <f>H309*0.1</f>
        <v>14000</v>
      </c>
      <c r="J309" s="23">
        <f>SUM(H309:I309)</f>
        <v>154000</v>
      </c>
      <c r="K309" s="32"/>
      <c r="L309" s="33"/>
      <c r="M309" s="34"/>
      <c r="N309" s="38">
        <f t="shared" si="152"/>
        <v>152301973.5</v>
      </c>
    </row>
    <row r="310" spans="1:14" s="18" customFormat="1" ht="24" hidden="1" customHeight="1" x14ac:dyDescent="0.3">
      <c r="A310" s="19"/>
      <c r="B310" s="19">
        <v>11</v>
      </c>
      <c r="C310" s="29" t="s">
        <v>137</v>
      </c>
      <c r="D310" s="21"/>
      <c r="E310" s="19"/>
      <c r="F310" s="22"/>
      <c r="G310" s="23"/>
      <c r="H310" s="24"/>
      <c r="I310" s="23"/>
      <c r="J310" s="23"/>
      <c r="K310" s="32"/>
      <c r="L310" s="33"/>
      <c r="M310" s="34"/>
      <c r="N310" s="38">
        <f t="shared" si="152"/>
        <v>152301973.5</v>
      </c>
    </row>
    <row r="311" spans="1:14" s="18" customFormat="1" ht="24" hidden="1" customHeight="1" x14ac:dyDescent="0.3">
      <c r="A311" s="19"/>
      <c r="B311" s="19"/>
      <c r="C311" s="36" t="s">
        <v>23</v>
      </c>
      <c r="D311" s="21"/>
      <c r="E311" s="19">
        <v>4</v>
      </c>
      <c r="F311" s="22">
        <v>22.3</v>
      </c>
      <c r="G311" s="23">
        <f>2200+550+1070+250+330</f>
        <v>4400</v>
      </c>
      <c r="H311" s="24">
        <f t="shared" ref="H311" si="174">F311*G311</f>
        <v>98120</v>
      </c>
      <c r="I311" s="23">
        <v>0</v>
      </c>
      <c r="J311" s="23">
        <f t="shared" ref="J311" si="175">SUM(H311:I311)</f>
        <v>98120</v>
      </c>
      <c r="K311" s="32"/>
      <c r="L311" s="33"/>
      <c r="M311" s="34"/>
      <c r="N311" s="38">
        <f t="shared" si="152"/>
        <v>152400093.5</v>
      </c>
    </row>
    <row r="312" spans="1:14" s="18" customFormat="1" ht="24" hidden="1" customHeight="1" x14ac:dyDescent="0.3">
      <c r="A312" s="19"/>
      <c r="B312" s="19"/>
      <c r="C312" s="29"/>
      <c r="D312" s="21"/>
      <c r="E312" s="19"/>
      <c r="F312" s="22"/>
      <c r="G312" s="23"/>
      <c r="H312" s="24"/>
      <c r="I312" s="23"/>
      <c r="J312" s="23"/>
      <c r="K312" s="32"/>
      <c r="L312" s="33"/>
      <c r="M312" s="34"/>
      <c r="N312" s="38">
        <f t="shared" si="152"/>
        <v>152400093.5</v>
      </c>
    </row>
    <row r="313" spans="1:14" s="2" customFormat="1" ht="27" hidden="1" customHeight="1" thickBot="1" x14ac:dyDescent="0.35">
      <c r="A313" s="1"/>
      <c r="B313" s="1"/>
      <c r="C313" s="1"/>
      <c r="E313" s="86" t="s">
        <v>0</v>
      </c>
      <c r="F313" s="86"/>
      <c r="G313" s="86"/>
      <c r="H313" s="86"/>
      <c r="I313" s="86"/>
      <c r="J313" s="86"/>
      <c r="K313" s="1"/>
      <c r="L313" s="3"/>
      <c r="M313" s="3"/>
      <c r="N313" s="1"/>
    </row>
    <row r="314" spans="1:14" s="2" customFormat="1" ht="24" hidden="1" customHeight="1" thickTop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3"/>
      <c r="M314" s="3"/>
      <c r="N314" s="1"/>
    </row>
    <row r="315" spans="1:14" s="2" customFormat="1" ht="24" hidden="1" customHeight="1" thickBot="1" x14ac:dyDescent="0.35">
      <c r="A315" s="2" t="s">
        <v>1</v>
      </c>
      <c r="C315" s="4"/>
      <c r="D315" s="4"/>
      <c r="E315" s="5"/>
      <c r="F315" s="6"/>
      <c r="G315" s="7"/>
      <c r="H315" s="7"/>
      <c r="I315" s="7"/>
      <c r="J315" s="8"/>
      <c r="K315" s="9"/>
      <c r="L315" s="10"/>
      <c r="M315" s="11"/>
      <c r="N315" s="12" t="s">
        <v>2</v>
      </c>
    </row>
    <row r="316" spans="1:14" s="18" customFormat="1" ht="24" hidden="1" customHeight="1" thickTop="1" thickBot="1" x14ac:dyDescent="0.35">
      <c r="A316" s="13" t="s">
        <v>3</v>
      </c>
      <c r="B316" s="13" t="s">
        <v>4</v>
      </c>
      <c r="C316" s="87" t="s">
        <v>5</v>
      </c>
      <c r="D316" s="88"/>
      <c r="E316" s="13" t="s">
        <v>6</v>
      </c>
      <c r="F316" s="14" t="s">
        <v>7</v>
      </c>
      <c r="G316" s="15" t="s">
        <v>8</v>
      </c>
      <c r="H316" s="15" t="s">
        <v>9</v>
      </c>
      <c r="I316" s="15" t="s">
        <v>10</v>
      </c>
      <c r="J316" s="15" t="s">
        <v>11</v>
      </c>
      <c r="K316" s="16" t="s">
        <v>12</v>
      </c>
      <c r="L316" s="89" t="s">
        <v>13</v>
      </c>
      <c r="M316" s="90"/>
      <c r="N316" s="17" t="s">
        <v>14</v>
      </c>
    </row>
    <row r="317" spans="1:14" s="18" customFormat="1" ht="24" hidden="1" customHeight="1" thickTop="1" x14ac:dyDescent="0.3">
      <c r="A317" s="41"/>
      <c r="B317" s="41"/>
      <c r="C317" s="70" t="s">
        <v>41</v>
      </c>
      <c r="D317" s="40"/>
      <c r="E317" s="41"/>
      <c r="F317" s="42"/>
      <c r="G317" s="43"/>
      <c r="H317" s="44"/>
      <c r="I317" s="43"/>
      <c r="J317" s="43"/>
      <c r="K317" s="25"/>
      <c r="L317" s="26"/>
      <c r="M317" s="27"/>
      <c r="N317" s="28">
        <f>N312</f>
        <v>152400093.5</v>
      </c>
    </row>
    <row r="318" spans="1:14" s="18" customFormat="1" ht="24" hidden="1" customHeight="1" x14ac:dyDescent="0.3">
      <c r="A318" s="19">
        <v>2</v>
      </c>
      <c r="B318" s="19">
        <v>11</v>
      </c>
      <c r="C318" s="29" t="s">
        <v>183</v>
      </c>
      <c r="D318" s="21"/>
      <c r="E318" s="19"/>
      <c r="F318" s="22"/>
      <c r="G318" s="23"/>
      <c r="H318" s="24"/>
      <c r="I318" s="23"/>
      <c r="J318" s="47"/>
      <c r="K318" s="32"/>
      <c r="L318" s="33"/>
      <c r="M318" s="34"/>
      <c r="N318" s="35">
        <f>N317+J318+K318</f>
        <v>152400093.5</v>
      </c>
    </row>
    <row r="319" spans="1:14" s="18" customFormat="1" ht="24" hidden="1" customHeight="1" x14ac:dyDescent="0.3">
      <c r="A319" s="19"/>
      <c r="B319" s="19"/>
      <c r="C319" s="36" t="s">
        <v>23</v>
      </c>
      <c r="D319" s="21"/>
      <c r="E319" s="19">
        <v>76</v>
      </c>
      <c r="F319" s="22">
        <v>461.5</v>
      </c>
      <c r="G319" s="23">
        <f>2200+550+1070+250+330</f>
        <v>4400</v>
      </c>
      <c r="H319" s="24">
        <f t="shared" ref="H319" si="176">F319*G319</f>
        <v>2030600</v>
      </c>
      <c r="I319" s="23">
        <v>0</v>
      </c>
      <c r="J319" s="23">
        <f t="shared" ref="J319" si="177">SUM(H319:I319)</f>
        <v>2030600</v>
      </c>
      <c r="K319" s="32"/>
      <c r="L319" s="33"/>
      <c r="M319" s="34"/>
      <c r="N319" s="35">
        <f>N318+J319+K319</f>
        <v>154430693.5</v>
      </c>
    </row>
    <row r="320" spans="1:14" s="18" customFormat="1" ht="24" hidden="1" customHeight="1" x14ac:dyDescent="0.3">
      <c r="A320" s="19"/>
      <c r="B320" s="19">
        <v>11</v>
      </c>
      <c r="C320" s="39" t="s">
        <v>161</v>
      </c>
      <c r="D320" s="21"/>
      <c r="E320" s="19"/>
      <c r="F320" s="22"/>
      <c r="G320" s="23"/>
      <c r="H320" s="24"/>
      <c r="I320" s="23"/>
      <c r="J320" s="23"/>
      <c r="K320" s="32"/>
      <c r="L320" s="33"/>
      <c r="M320" s="34"/>
      <c r="N320" s="35">
        <f t="shared" ref="N320:N351" si="178">N319+J320+K320</f>
        <v>154430693.5</v>
      </c>
    </row>
    <row r="321" spans="1:14" s="18" customFormat="1" ht="24" hidden="1" customHeight="1" x14ac:dyDescent="0.3">
      <c r="A321" s="19"/>
      <c r="B321" s="19"/>
      <c r="C321" s="36" t="s">
        <v>21</v>
      </c>
      <c r="D321" s="21"/>
      <c r="E321" s="19">
        <v>19</v>
      </c>
      <c r="F321" s="22">
        <v>314.39999999999998</v>
      </c>
      <c r="G321" s="23">
        <f>2200+550+1070+250+330</f>
        <v>4400</v>
      </c>
      <c r="H321" s="24">
        <f t="shared" ref="H321" si="179">F321*G321</f>
        <v>1383360</v>
      </c>
      <c r="I321" s="23">
        <v>0</v>
      </c>
      <c r="J321" s="23">
        <f t="shared" ref="J321" si="180">SUM(H321:I321)</f>
        <v>1383360</v>
      </c>
      <c r="K321" s="32"/>
      <c r="L321" s="33"/>
      <c r="M321" s="34"/>
      <c r="N321" s="35">
        <f t="shared" si="178"/>
        <v>155814053.5</v>
      </c>
    </row>
    <row r="322" spans="1:14" s="18" customFormat="1" ht="24" hidden="1" customHeight="1" x14ac:dyDescent="0.3">
      <c r="A322" s="19"/>
      <c r="B322" s="19">
        <v>11</v>
      </c>
      <c r="C322" s="39" t="s">
        <v>184</v>
      </c>
      <c r="D322" s="21"/>
      <c r="E322" s="19"/>
      <c r="F322" s="22"/>
      <c r="G322" s="23"/>
      <c r="H322" s="24"/>
      <c r="I322" s="23"/>
      <c r="J322" s="23"/>
      <c r="K322" s="32"/>
      <c r="L322" s="33"/>
      <c r="M322" s="34"/>
      <c r="N322" s="35">
        <f t="shared" si="178"/>
        <v>155814053.5</v>
      </c>
    </row>
    <row r="323" spans="1:14" s="18" customFormat="1" ht="24" hidden="1" customHeight="1" x14ac:dyDescent="0.3">
      <c r="A323" s="19"/>
      <c r="B323" s="19"/>
      <c r="C323" s="36" t="s">
        <v>139</v>
      </c>
      <c r="D323" s="21"/>
      <c r="E323" s="19">
        <v>1</v>
      </c>
      <c r="F323" s="22">
        <v>18.8</v>
      </c>
      <c r="G323" s="23">
        <f>2200+550+1070+250+330</f>
        <v>4400</v>
      </c>
      <c r="H323" s="24">
        <f t="shared" ref="H323" si="181">F323*G323</f>
        <v>82720</v>
      </c>
      <c r="I323" s="23">
        <v>0</v>
      </c>
      <c r="J323" s="23">
        <f t="shared" ref="J323" si="182">SUM(H323:I323)</f>
        <v>82720</v>
      </c>
      <c r="K323" s="32"/>
      <c r="L323" s="33"/>
      <c r="M323" s="34"/>
      <c r="N323" s="35">
        <f t="shared" si="178"/>
        <v>155896773.5</v>
      </c>
    </row>
    <row r="324" spans="1:14" s="18" customFormat="1" ht="24" hidden="1" customHeight="1" x14ac:dyDescent="0.3">
      <c r="A324" s="19"/>
      <c r="B324" s="19">
        <v>11</v>
      </c>
      <c r="C324" s="39" t="s">
        <v>185</v>
      </c>
      <c r="D324" s="21"/>
      <c r="E324" s="19"/>
      <c r="F324" s="22"/>
      <c r="G324" s="23"/>
      <c r="H324" s="24"/>
      <c r="I324" s="23"/>
      <c r="J324" s="23"/>
      <c r="K324" s="32"/>
      <c r="L324" s="33"/>
      <c r="M324" s="34"/>
      <c r="N324" s="35">
        <f t="shared" si="178"/>
        <v>155896773.5</v>
      </c>
    </row>
    <row r="325" spans="1:14" s="18" customFormat="1" ht="24" hidden="1" customHeight="1" x14ac:dyDescent="0.3">
      <c r="A325" s="19"/>
      <c r="B325" s="19"/>
      <c r="C325" s="36" t="s">
        <v>48</v>
      </c>
      <c r="D325" s="21"/>
      <c r="E325" s="19">
        <v>16</v>
      </c>
      <c r="F325" s="22">
        <v>107.2</v>
      </c>
      <c r="G325" s="23">
        <f>2200+550+1070+250</f>
        <v>4070</v>
      </c>
      <c r="H325" s="24">
        <f t="shared" ref="H325" si="183">F325*G325</f>
        <v>436304</v>
      </c>
      <c r="I325" s="23">
        <v>0</v>
      </c>
      <c r="J325" s="23">
        <f t="shared" ref="J325" si="184">SUM(H325:I325)</f>
        <v>436304</v>
      </c>
      <c r="K325" s="32"/>
      <c r="L325" s="33"/>
      <c r="M325" s="34"/>
      <c r="N325" s="35">
        <f t="shared" si="178"/>
        <v>156333077.5</v>
      </c>
    </row>
    <row r="326" spans="1:14" s="18" customFormat="1" ht="24" hidden="1" customHeight="1" x14ac:dyDescent="0.3">
      <c r="A326" s="19"/>
      <c r="B326" s="19">
        <v>11</v>
      </c>
      <c r="C326" s="39" t="s">
        <v>186</v>
      </c>
      <c r="D326" s="37"/>
      <c r="E326" s="19"/>
      <c r="F326" s="22"/>
      <c r="G326" s="23"/>
      <c r="H326" s="24"/>
      <c r="I326" s="23"/>
      <c r="J326" s="23"/>
      <c r="K326" s="32"/>
      <c r="L326" s="33"/>
      <c r="M326" s="34"/>
      <c r="N326" s="35">
        <f t="shared" si="178"/>
        <v>156333077.5</v>
      </c>
    </row>
    <row r="327" spans="1:14" s="18" customFormat="1" ht="24" hidden="1" customHeight="1" x14ac:dyDescent="0.3">
      <c r="A327" s="19"/>
      <c r="B327" s="19"/>
      <c r="C327" s="36" t="s">
        <v>86</v>
      </c>
      <c r="D327" s="21"/>
      <c r="E327" s="19">
        <v>54</v>
      </c>
      <c r="F327" s="22">
        <v>445.2</v>
      </c>
      <c r="G327" s="23">
        <f>550+1000+1070+250</f>
        <v>2870</v>
      </c>
      <c r="H327" s="24">
        <f t="shared" ref="H327" si="185">F327*G327</f>
        <v>1277724</v>
      </c>
      <c r="I327" s="23">
        <v>0</v>
      </c>
      <c r="J327" s="23">
        <f t="shared" ref="J327" si="186">SUM(H327:I327)</f>
        <v>1277724</v>
      </c>
      <c r="K327" s="32"/>
      <c r="L327" s="33"/>
      <c r="M327" s="34"/>
      <c r="N327" s="35">
        <f t="shared" si="178"/>
        <v>157610801.5</v>
      </c>
    </row>
    <row r="328" spans="1:14" s="18" customFormat="1" ht="24" hidden="1" customHeight="1" x14ac:dyDescent="0.3">
      <c r="A328" s="19"/>
      <c r="B328" s="19">
        <v>11</v>
      </c>
      <c r="C328" s="29" t="s">
        <v>22</v>
      </c>
      <c r="D328" s="21"/>
      <c r="E328" s="19"/>
      <c r="F328" s="22"/>
      <c r="G328" s="23"/>
      <c r="H328" s="24"/>
      <c r="I328" s="23"/>
      <c r="J328" s="23"/>
      <c r="K328" s="32"/>
      <c r="L328" s="33"/>
      <c r="M328" s="34"/>
      <c r="N328" s="35">
        <f t="shared" si="178"/>
        <v>157610801.5</v>
      </c>
    </row>
    <row r="329" spans="1:14" s="18" customFormat="1" ht="24" hidden="1" customHeight="1" x14ac:dyDescent="0.3">
      <c r="A329" s="19"/>
      <c r="B329" s="19"/>
      <c r="C329" s="36" t="s">
        <v>136</v>
      </c>
      <c r="D329" s="21"/>
      <c r="E329" s="19">
        <v>1</v>
      </c>
      <c r="F329" s="22">
        <v>18.3</v>
      </c>
      <c r="G329" s="23">
        <f>900+1250+1200+300</f>
        <v>3650</v>
      </c>
      <c r="H329" s="24">
        <f t="shared" ref="H329:H330" si="187">F329*G329</f>
        <v>66795</v>
      </c>
      <c r="I329" s="23">
        <v>0</v>
      </c>
      <c r="J329" s="23">
        <f t="shared" ref="J329:J330" si="188">SUM(H329:I329)</f>
        <v>66795</v>
      </c>
      <c r="K329" s="32"/>
      <c r="L329" s="33"/>
      <c r="M329" s="34"/>
      <c r="N329" s="35">
        <f t="shared" si="178"/>
        <v>157677596.5</v>
      </c>
    </row>
    <row r="330" spans="1:14" s="18" customFormat="1" ht="24" hidden="1" customHeight="1" x14ac:dyDescent="0.3">
      <c r="A330" s="19"/>
      <c r="B330" s="19"/>
      <c r="C330" s="36" t="s">
        <v>187</v>
      </c>
      <c r="D330" s="21"/>
      <c r="E330" s="19">
        <v>1</v>
      </c>
      <c r="F330" s="22">
        <v>3</v>
      </c>
      <c r="G330" s="23">
        <f>2200+550+1070+250+330</f>
        <v>4400</v>
      </c>
      <c r="H330" s="24">
        <f t="shared" si="187"/>
        <v>13200</v>
      </c>
      <c r="I330" s="23">
        <v>0</v>
      </c>
      <c r="J330" s="23">
        <f t="shared" si="188"/>
        <v>13200</v>
      </c>
      <c r="K330" s="32"/>
      <c r="L330" s="33"/>
      <c r="M330" s="34"/>
      <c r="N330" s="35">
        <f t="shared" si="178"/>
        <v>157690796.5</v>
      </c>
    </row>
    <row r="331" spans="1:14" s="18" customFormat="1" ht="24" hidden="1" customHeight="1" x14ac:dyDescent="0.3">
      <c r="A331" s="19"/>
      <c r="B331" s="19">
        <v>11</v>
      </c>
      <c r="C331" s="29" t="s">
        <v>188</v>
      </c>
      <c r="D331" s="21"/>
      <c r="E331" s="19"/>
      <c r="F331" s="22"/>
      <c r="G331" s="23"/>
      <c r="H331" s="24"/>
      <c r="I331" s="23"/>
      <c r="J331" s="23"/>
      <c r="K331" s="32"/>
      <c r="L331" s="33"/>
      <c r="M331" s="34"/>
      <c r="N331" s="35">
        <f t="shared" si="178"/>
        <v>157690796.5</v>
      </c>
    </row>
    <row r="332" spans="1:14" s="18" customFormat="1" ht="24" hidden="1" customHeight="1" x14ac:dyDescent="0.3">
      <c r="A332" s="19"/>
      <c r="B332" s="19"/>
      <c r="C332" s="36" t="s">
        <v>61</v>
      </c>
      <c r="D332" s="21"/>
      <c r="E332" s="19">
        <v>16</v>
      </c>
      <c r="F332" s="22">
        <v>54.3</v>
      </c>
      <c r="G332" s="23">
        <f>2200+2200+550+1070+1070+250+250+330+330</f>
        <v>8250</v>
      </c>
      <c r="H332" s="24">
        <f t="shared" ref="H332" si="189">F332*G332</f>
        <v>447975</v>
      </c>
      <c r="I332" s="23">
        <v>0</v>
      </c>
      <c r="J332" s="23">
        <f t="shared" ref="J332" si="190">SUM(H332:I332)</f>
        <v>447975</v>
      </c>
      <c r="K332" s="32"/>
      <c r="L332" s="33"/>
      <c r="M332" s="34"/>
      <c r="N332" s="35">
        <f t="shared" si="178"/>
        <v>158138771.5</v>
      </c>
    </row>
    <row r="333" spans="1:14" s="18" customFormat="1" ht="24" hidden="1" customHeight="1" x14ac:dyDescent="0.3">
      <c r="A333" s="19"/>
      <c r="B333" s="19">
        <v>12</v>
      </c>
      <c r="C333" s="29" t="s">
        <v>189</v>
      </c>
      <c r="D333" s="21"/>
      <c r="E333" s="19"/>
      <c r="F333" s="22"/>
      <c r="G333" s="23"/>
      <c r="H333" s="24"/>
      <c r="I333" s="23"/>
      <c r="J333" s="23"/>
      <c r="K333" s="32"/>
      <c r="L333" s="33"/>
      <c r="M333" s="34"/>
      <c r="N333" s="35">
        <f t="shared" si="178"/>
        <v>158138771.5</v>
      </c>
    </row>
    <row r="334" spans="1:14" s="18" customFormat="1" ht="24" hidden="1" customHeight="1" x14ac:dyDescent="0.3">
      <c r="A334" s="19"/>
      <c r="B334" s="19"/>
      <c r="C334" s="29" t="s">
        <v>46</v>
      </c>
      <c r="D334" s="37"/>
      <c r="E334" s="19">
        <v>70</v>
      </c>
      <c r="F334" s="22">
        <v>592.29999999999995</v>
      </c>
      <c r="G334" s="23">
        <v>2100</v>
      </c>
      <c r="H334" s="24">
        <f t="shared" ref="H334:H335" si="191">F334*G334</f>
        <v>1243830</v>
      </c>
      <c r="I334" s="23">
        <v>0</v>
      </c>
      <c r="J334" s="23">
        <f t="shared" ref="J334:J335" si="192">SUM(H334:I334)</f>
        <v>1243830</v>
      </c>
      <c r="K334" s="32"/>
      <c r="L334" s="33"/>
      <c r="M334" s="34"/>
      <c r="N334" s="35">
        <f t="shared" si="178"/>
        <v>159382601.5</v>
      </c>
    </row>
    <row r="335" spans="1:14" s="18" customFormat="1" ht="24" hidden="1" customHeight="1" x14ac:dyDescent="0.3">
      <c r="A335" s="19"/>
      <c r="B335" s="19"/>
      <c r="C335" s="39" t="s">
        <v>75</v>
      </c>
      <c r="D335" s="21"/>
      <c r="E335" s="19">
        <v>91</v>
      </c>
      <c r="F335" s="22">
        <v>875.3</v>
      </c>
      <c r="G335" s="23">
        <v>2750</v>
      </c>
      <c r="H335" s="24">
        <f t="shared" si="191"/>
        <v>2407075</v>
      </c>
      <c r="I335" s="23">
        <v>0</v>
      </c>
      <c r="J335" s="23">
        <f t="shared" si="192"/>
        <v>2407075</v>
      </c>
      <c r="K335" s="32"/>
      <c r="L335" s="33"/>
      <c r="M335" s="34"/>
      <c r="N335" s="35">
        <f t="shared" si="178"/>
        <v>161789676.5</v>
      </c>
    </row>
    <row r="336" spans="1:14" s="18" customFormat="1" ht="24" hidden="1" customHeight="1" x14ac:dyDescent="0.3">
      <c r="A336" s="19"/>
      <c r="B336" s="19">
        <v>13</v>
      </c>
      <c r="C336" s="29" t="s">
        <v>190</v>
      </c>
      <c r="D336" s="21"/>
      <c r="E336" s="19"/>
      <c r="F336" s="22"/>
      <c r="G336" s="23"/>
      <c r="H336" s="24"/>
      <c r="I336" s="23"/>
      <c r="J336" s="23"/>
      <c r="K336" s="32"/>
      <c r="L336" s="33"/>
      <c r="M336" s="34"/>
      <c r="N336" s="35">
        <f t="shared" si="178"/>
        <v>161789676.5</v>
      </c>
    </row>
    <row r="337" spans="1:14" s="18" customFormat="1" ht="24" hidden="1" customHeight="1" x14ac:dyDescent="0.3">
      <c r="A337" s="19"/>
      <c r="B337" s="19"/>
      <c r="C337" s="36" t="s">
        <v>23</v>
      </c>
      <c r="D337" s="21"/>
      <c r="E337" s="19">
        <v>16</v>
      </c>
      <c r="F337" s="22">
        <v>72.2</v>
      </c>
      <c r="G337" s="23">
        <f>2200+550+1070+250+330</f>
        <v>4400</v>
      </c>
      <c r="H337" s="24">
        <f t="shared" ref="H337" si="193">F337*G337</f>
        <v>317680</v>
      </c>
      <c r="I337" s="23">
        <v>0</v>
      </c>
      <c r="J337" s="23">
        <f t="shared" ref="J337" si="194">SUM(H337:I337)</f>
        <v>317680</v>
      </c>
      <c r="K337" s="32"/>
      <c r="L337" s="33"/>
      <c r="M337" s="34"/>
      <c r="N337" s="35">
        <f t="shared" si="178"/>
        <v>162107356.5</v>
      </c>
    </row>
    <row r="338" spans="1:14" s="18" customFormat="1" ht="24" hidden="1" customHeight="1" x14ac:dyDescent="0.3">
      <c r="A338" s="19"/>
      <c r="B338" s="19">
        <v>13</v>
      </c>
      <c r="C338" s="29" t="s">
        <v>191</v>
      </c>
      <c r="D338" s="37"/>
      <c r="E338" s="19"/>
      <c r="F338" s="22"/>
      <c r="G338" s="23"/>
      <c r="H338" s="24"/>
      <c r="I338" s="23"/>
      <c r="J338" s="23"/>
      <c r="K338" s="32"/>
      <c r="L338" s="33"/>
      <c r="M338" s="34"/>
      <c r="N338" s="35">
        <f t="shared" si="178"/>
        <v>162107356.5</v>
      </c>
    </row>
    <row r="339" spans="1:14" s="18" customFormat="1" ht="24" hidden="1" customHeight="1" x14ac:dyDescent="0.3">
      <c r="A339" s="19"/>
      <c r="B339" s="19"/>
      <c r="C339" s="36" t="s">
        <v>61</v>
      </c>
      <c r="D339" s="21"/>
      <c r="E339" s="19">
        <v>43</v>
      </c>
      <c r="F339" s="22">
        <v>744.3</v>
      </c>
      <c r="G339" s="23">
        <f>2200+2200+550+1070+1070+250+250+330+330</f>
        <v>8250</v>
      </c>
      <c r="H339" s="24">
        <f t="shared" ref="H339:H342" si="195">F339*G339</f>
        <v>6140475</v>
      </c>
      <c r="I339" s="23">
        <v>0</v>
      </c>
      <c r="J339" s="23">
        <f t="shared" ref="J339:J342" si="196">SUM(H339:I339)</f>
        <v>6140475</v>
      </c>
      <c r="K339" s="32"/>
      <c r="L339" s="33"/>
      <c r="M339" s="34"/>
      <c r="N339" s="35">
        <f t="shared" si="178"/>
        <v>168247831.5</v>
      </c>
    </row>
    <row r="340" spans="1:14" s="18" customFormat="1" ht="24" hidden="1" customHeight="1" x14ac:dyDescent="0.3">
      <c r="A340" s="19"/>
      <c r="B340" s="19"/>
      <c r="C340" s="36" t="s">
        <v>192</v>
      </c>
      <c r="D340" s="21"/>
      <c r="E340" s="19">
        <v>1</v>
      </c>
      <c r="F340" s="22">
        <v>26.8</v>
      </c>
      <c r="G340" s="23">
        <f>2200+1200+1070+250+330</f>
        <v>5050</v>
      </c>
      <c r="H340" s="24">
        <f t="shared" si="195"/>
        <v>135340</v>
      </c>
      <c r="I340" s="23">
        <v>0</v>
      </c>
      <c r="J340" s="23">
        <f t="shared" si="196"/>
        <v>135340</v>
      </c>
      <c r="K340" s="32"/>
      <c r="L340" s="33"/>
      <c r="M340" s="34"/>
      <c r="N340" s="35">
        <f t="shared" si="178"/>
        <v>168383171.5</v>
      </c>
    </row>
    <row r="341" spans="1:14" s="18" customFormat="1" ht="24" hidden="1" customHeight="1" x14ac:dyDescent="0.3">
      <c r="A341" s="19"/>
      <c r="B341" s="19"/>
      <c r="C341" s="36" t="s">
        <v>98</v>
      </c>
      <c r="D341" s="21"/>
      <c r="E341" s="19">
        <v>2</v>
      </c>
      <c r="F341" s="22">
        <v>9</v>
      </c>
      <c r="G341" s="23">
        <f>2500+900+1200+300+390</f>
        <v>5290</v>
      </c>
      <c r="H341" s="24">
        <f t="shared" si="195"/>
        <v>47610</v>
      </c>
      <c r="I341" s="23">
        <v>0</v>
      </c>
      <c r="J341" s="23">
        <f t="shared" si="196"/>
        <v>47610</v>
      </c>
      <c r="K341" s="32"/>
      <c r="L341" s="33"/>
      <c r="M341" s="34"/>
      <c r="N341" s="35">
        <f t="shared" si="178"/>
        <v>168430781.5</v>
      </c>
    </row>
    <row r="342" spans="1:14" s="18" customFormat="1" ht="24" hidden="1" customHeight="1" x14ac:dyDescent="0.3">
      <c r="A342" s="19"/>
      <c r="B342" s="19"/>
      <c r="C342" s="29" t="s">
        <v>46</v>
      </c>
      <c r="D342" s="21"/>
      <c r="E342" s="19">
        <v>2</v>
      </c>
      <c r="F342" s="22">
        <v>6</v>
      </c>
      <c r="G342" s="23">
        <v>2100</v>
      </c>
      <c r="H342" s="24">
        <f t="shared" si="195"/>
        <v>12600</v>
      </c>
      <c r="I342" s="23">
        <v>0</v>
      </c>
      <c r="J342" s="23">
        <f t="shared" si="196"/>
        <v>12600</v>
      </c>
      <c r="K342" s="32"/>
      <c r="L342" s="33"/>
      <c r="M342" s="34"/>
      <c r="N342" s="38">
        <f t="shared" si="178"/>
        <v>168443381.5</v>
      </c>
    </row>
    <row r="343" spans="1:14" s="18" customFormat="1" ht="24" hidden="1" customHeight="1" x14ac:dyDescent="0.3">
      <c r="A343" s="19"/>
      <c r="B343" s="19">
        <v>14</v>
      </c>
      <c r="C343" s="39" t="s">
        <v>171</v>
      </c>
      <c r="D343" s="37"/>
      <c r="E343" s="19"/>
      <c r="F343" s="22"/>
      <c r="G343" s="23"/>
      <c r="H343" s="24"/>
      <c r="I343" s="23"/>
      <c r="J343" s="23"/>
      <c r="K343" s="32"/>
      <c r="L343" s="33"/>
      <c r="M343" s="34"/>
      <c r="N343" s="38">
        <f t="shared" si="178"/>
        <v>168443381.5</v>
      </c>
    </row>
    <row r="344" spans="1:14" s="18" customFormat="1" ht="24" hidden="1" customHeight="1" x14ac:dyDescent="0.3">
      <c r="A344" s="19"/>
      <c r="B344" s="19"/>
      <c r="C344" s="36" t="s">
        <v>61</v>
      </c>
      <c r="D344" s="21"/>
      <c r="E344" s="19">
        <v>120</v>
      </c>
      <c r="F344" s="22">
        <v>742.8</v>
      </c>
      <c r="G344" s="23">
        <f>2200+2200+550+1070+1070+250+250+330+330</f>
        <v>8250</v>
      </c>
      <c r="H344" s="24">
        <f t="shared" ref="H344" si="197">F344*G344</f>
        <v>6128100</v>
      </c>
      <c r="I344" s="23">
        <v>0</v>
      </c>
      <c r="J344" s="23">
        <f t="shared" ref="J344" si="198">SUM(H344:I344)</f>
        <v>6128100</v>
      </c>
      <c r="K344" s="32"/>
      <c r="L344" s="33"/>
      <c r="M344" s="34"/>
      <c r="N344" s="38">
        <f t="shared" si="178"/>
        <v>174571481.5</v>
      </c>
    </row>
    <row r="345" spans="1:14" s="18" customFormat="1" ht="24" hidden="1" customHeight="1" x14ac:dyDescent="0.3">
      <c r="A345" s="19"/>
      <c r="B345" s="19">
        <v>14</v>
      </c>
      <c r="C345" s="39" t="s">
        <v>150</v>
      </c>
      <c r="D345" s="21"/>
      <c r="E345" s="19"/>
      <c r="F345" s="22"/>
      <c r="G345" s="23"/>
      <c r="H345" s="24"/>
      <c r="I345" s="23"/>
      <c r="J345" s="23"/>
      <c r="K345" s="32"/>
      <c r="L345" s="33"/>
      <c r="M345" s="34"/>
      <c r="N345" s="38">
        <f t="shared" si="178"/>
        <v>174571481.5</v>
      </c>
    </row>
    <row r="346" spans="1:14" s="18" customFormat="1" ht="24" hidden="1" customHeight="1" x14ac:dyDescent="0.3">
      <c r="A346" s="19"/>
      <c r="B346" s="19"/>
      <c r="C346" s="36" t="s">
        <v>23</v>
      </c>
      <c r="D346" s="21"/>
      <c r="E346" s="19">
        <v>28</v>
      </c>
      <c r="F346" s="22">
        <v>116.2</v>
      </c>
      <c r="G346" s="23">
        <f>2200+550+1070+250+330</f>
        <v>4400</v>
      </c>
      <c r="H346" s="24">
        <f t="shared" ref="H346" si="199">F346*G346</f>
        <v>511280</v>
      </c>
      <c r="I346" s="23">
        <v>0</v>
      </c>
      <c r="J346" s="23">
        <f t="shared" ref="J346" si="200">SUM(H346:I346)</f>
        <v>511280</v>
      </c>
      <c r="K346" s="32"/>
      <c r="L346" s="33"/>
      <c r="M346" s="34"/>
      <c r="N346" s="38">
        <f t="shared" si="178"/>
        <v>175082761.5</v>
      </c>
    </row>
    <row r="347" spans="1:14" s="18" customFormat="1" ht="24" hidden="1" customHeight="1" x14ac:dyDescent="0.3">
      <c r="A347" s="19"/>
      <c r="B347" s="19">
        <v>14</v>
      </c>
      <c r="C347" s="29" t="s">
        <v>193</v>
      </c>
      <c r="D347" s="21"/>
      <c r="E347" s="19"/>
      <c r="F347" s="22"/>
      <c r="G347" s="23"/>
      <c r="H347" s="24"/>
      <c r="I347" s="23"/>
      <c r="J347" s="23"/>
      <c r="K347" s="32"/>
      <c r="L347" s="33"/>
      <c r="M347" s="34"/>
      <c r="N347" s="38">
        <f t="shared" si="178"/>
        <v>175082761.5</v>
      </c>
    </row>
    <row r="348" spans="1:14" s="18" customFormat="1" ht="24" hidden="1" customHeight="1" x14ac:dyDescent="0.3">
      <c r="A348" s="19"/>
      <c r="B348" s="19"/>
      <c r="C348" s="36" t="s">
        <v>98</v>
      </c>
      <c r="D348" s="37"/>
      <c r="E348" s="19">
        <v>40</v>
      </c>
      <c r="F348" s="22">
        <v>163.6</v>
      </c>
      <c r="G348" s="23">
        <f>2500+900+1200+300+390</f>
        <v>5290</v>
      </c>
      <c r="H348" s="24">
        <f t="shared" ref="H348:H350" si="201">F348*G348</f>
        <v>865444</v>
      </c>
      <c r="I348" s="23">
        <v>0</v>
      </c>
      <c r="J348" s="23">
        <f t="shared" ref="J348:J350" si="202">SUM(H348:I348)</f>
        <v>865444</v>
      </c>
      <c r="K348" s="32"/>
      <c r="L348" s="33"/>
      <c r="M348" s="34"/>
      <c r="N348" s="38">
        <f t="shared" si="178"/>
        <v>175948205.5</v>
      </c>
    </row>
    <row r="349" spans="1:14" s="18" customFormat="1" ht="24" hidden="1" customHeight="1" x14ac:dyDescent="0.3">
      <c r="A349" s="19"/>
      <c r="B349" s="19"/>
      <c r="C349" s="36" t="s">
        <v>21</v>
      </c>
      <c r="D349" s="21"/>
      <c r="E349" s="19">
        <v>10</v>
      </c>
      <c r="F349" s="22">
        <v>118.3</v>
      </c>
      <c r="G349" s="23">
        <f>2200+550+1070+250+330</f>
        <v>4400</v>
      </c>
      <c r="H349" s="24">
        <f t="shared" si="201"/>
        <v>520520</v>
      </c>
      <c r="I349" s="23">
        <v>0</v>
      </c>
      <c r="J349" s="23">
        <f t="shared" si="202"/>
        <v>520520</v>
      </c>
      <c r="K349" s="32"/>
      <c r="L349" s="33"/>
      <c r="M349" s="34"/>
      <c r="N349" s="38">
        <f t="shared" si="178"/>
        <v>176468725.5</v>
      </c>
    </row>
    <row r="350" spans="1:14" s="18" customFormat="1" ht="24" hidden="1" customHeight="1" x14ac:dyDescent="0.3">
      <c r="A350" s="19"/>
      <c r="B350" s="19"/>
      <c r="C350" s="29" t="s">
        <v>36</v>
      </c>
      <c r="D350" s="21"/>
      <c r="E350" s="19">
        <v>12</v>
      </c>
      <c r="F350" s="22">
        <v>138.1</v>
      </c>
      <c r="G350" s="23">
        <v>3300</v>
      </c>
      <c r="H350" s="24">
        <f t="shared" si="201"/>
        <v>455730</v>
      </c>
      <c r="I350" s="23">
        <v>0</v>
      </c>
      <c r="J350" s="23">
        <f t="shared" si="202"/>
        <v>455730</v>
      </c>
      <c r="K350" s="32"/>
      <c r="L350" s="33"/>
      <c r="M350" s="34"/>
      <c r="N350" s="38">
        <f t="shared" si="178"/>
        <v>176924455.5</v>
      </c>
    </row>
    <row r="351" spans="1:14" s="18" customFormat="1" ht="24" hidden="1" customHeight="1" x14ac:dyDescent="0.3">
      <c r="A351" s="19"/>
      <c r="B351" s="19"/>
      <c r="C351" s="29"/>
      <c r="D351" s="21"/>
      <c r="E351" s="19"/>
      <c r="F351" s="22"/>
      <c r="G351" s="23"/>
      <c r="H351" s="24"/>
      <c r="I351" s="23"/>
      <c r="J351" s="23"/>
      <c r="K351" s="32"/>
      <c r="L351" s="33"/>
      <c r="M351" s="34"/>
      <c r="N351" s="38">
        <f t="shared" si="178"/>
        <v>176924455.5</v>
      </c>
    </row>
    <row r="352" spans="1:14" s="2" customFormat="1" ht="27" hidden="1" customHeight="1" thickBot="1" x14ac:dyDescent="0.35">
      <c r="A352" s="1"/>
      <c r="B352" s="1"/>
      <c r="C352" s="1"/>
      <c r="E352" s="86" t="s">
        <v>0</v>
      </c>
      <c r="F352" s="86"/>
      <c r="G352" s="86"/>
      <c r="H352" s="86"/>
      <c r="I352" s="86"/>
      <c r="J352" s="86"/>
      <c r="K352" s="1"/>
      <c r="L352" s="3"/>
      <c r="M352" s="3"/>
      <c r="N352" s="1"/>
    </row>
    <row r="353" spans="1:14" s="2" customFormat="1" ht="24" hidden="1" customHeight="1" thickTop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3"/>
      <c r="M353" s="3"/>
      <c r="N353" s="1"/>
    </row>
    <row r="354" spans="1:14" s="2" customFormat="1" ht="24" hidden="1" customHeight="1" thickBot="1" x14ac:dyDescent="0.35">
      <c r="A354" s="2" t="s">
        <v>1</v>
      </c>
      <c r="C354" s="4"/>
      <c r="D354" s="4"/>
      <c r="E354" s="5"/>
      <c r="F354" s="6"/>
      <c r="G354" s="7"/>
      <c r="H354" s="7"/>
      <c r="I354" s="7"/>
      <c r="J354" s="8"/>
      <c r="K354" s="9"/>
      <c r="L354" s="10"/>
      <c r="M354" s="11"/>
      <c r="N354" s="12" t="s">
        <v>2</v>
      </c>
    </row>
    <row r="355" spans="1:14" s="18" customFormat="1" ht="24" hidden="1" customHeight="1" thickTop="1" thickBot="1" x14ac:dyDescent="0.35">
      <c r="A355" s="13" t="s">
        <v>3</v>
      </c>
      <c r="B355" s="13" t="s">
        <v>4</v>
      </c>
      <c r="C355" s="87" t="s">
        <v>5</v>
      </c>
      <c r="D355" s="88"/>
      <c r="E355" s="13" t="s">
        <v>6</v>
      </c>
      <c r="F355" s="14" t="s">
        <v>7</v>
      </c>
      <c r="G355" s="15" t="s">
        <v>8</v>
      </c>
      <c r="H355" s="15" t="s">
        <v>9</v>
      </c>
      <c r="I355" s="15" t="s">
        <v>10</v>
      </c>
      <c r="J355" s="15" t="s">
        <v>11</v>
      </c>
      <c r="K355" s="16" t="s">
        <v>12</v>
      </c>
      <c r="L355" s="89" t="s">
        <v>13</v>
      </c>
      <c r="M355" s="90"/>
      <c r="N355" s="17" t="s">
        <v>14</v>
      </c>
    </row>
    <row r="356" spans="1:14" s="18" customFormat="1" ht="24" hidden="1" customHeight="1" thickTop="1" x14ac:dyDescent="0.3">
      <c r="A356" s="41"/>
      <c r="B356" s="41"/>
      <c r="C356" s="70" t="s">
        <v>41</v>
      </c>
      <c r="D356" s="40"/>
      <c r="E356" s="41"/>
      <c r="F356" s="42"/>
      <c r="G356" s="43"/>
      <c r="H356" s="44"/>
      <c r="I356" s="43"/>
      <c r="J356" s="43"/>
      <c r="K356" s="25"/>
      <c r="L356" s="26"/>
      <c r="M356" s="27"/>
      <c r="N356" s="28">
        <f>N351</f>
        <v>176924455.5</v>
      </c>
    </row>
    <row r="357" spans="1:14" s="18" customFormat="1" ht="24" hidden="1" customHeight="1" x14ac:dyDescent="0.3">
      <c r="A357" s="19">
        <v>2</v>
      </c>
      <c r="B357" s="19">
        <v>14</v>
      </c>
      <c r="C357" s="29" t="s">
        <v>22</v>
      </c>
      <c r="D357" s="21"/>
      <c r="E357" s="19"/>
      <c r="F357" s="22"/>
      <c r="G357" s="23"/>
      <c r="H357" s="24"/>
      <c r="I357" s="23"/>
      <c r="J357" s="47"/>
      <c r="K357" s="32"/>
      <c r="L357" s="33"/>
      <c r="M357" s="34"/>
      <c r="N357" s="35">
        <f>N356+J357+K357</f>
        <v>176924455.5</v>
      </c>
    </row>
    <row r="358" spans="1:14" s="18" customFormat="1" ht="24" hidden="1" customHeight="1" x14ac:dyDescent="0.3">
      <c r="A358" s="19"/>
      <c r="B358" s="19"/>
      <c r="C358" s="39" t="s">
        <v>194</v>
      </c>
      <c r="D358" s="21"/>
      <c r="E358" s="19">
        <v>1</v>
      </c>
      <c r="F358" s="22">
        <v>3</v>
      </c>
      <c r="G358" s="23">
        <v>2000</v>
      </c>
      <c r="H358" s="24">
        <f t="shared" ref="H358" si="203">F358*G358</f>
        <v>6000</v>
      </c>
      <c r="I358" s="23">
        <v>0</v>
      </c>
      <c r="J358" s="23">
        <f t="shared" ref="J358" si="204">SUM(H358:I358)</f>
        <v>6000</v>
      </c>
      <c r="K358" s="32"/>
      <c r="L358" s="33"/>
      <c r="M358" s="34"/>
      <c r="N358" s="35">
        <f>N357+J358+K358</f>
        <v>176930455.5</v>
      </c>
    </row>
    <row r="359" spans="1:14" s="18" customFormat="1" ht="24" hidden="1" customHeight="1" x14ac:dyDescent="0.3">
      <c r="A359" s="19"/>
      <c r="B359" s="19">
        <v>15</v>
      </c>
      <c r="C359" s="29" t="s">
        <v>195</v>
      </c>
      <c r="D359" s="21"/>
      <c r="E359" s="19"/>
      <c r="F359" s="22"/>
      <c r="G359" s="23"/>
      <c r="H359" s="24"/>
      <c r="I359" s="23"/>
      <c r="J359" s="23"/>
      <c r="K359" s="32"/>
      <c r="L359" s="33"/>
      <c r="M359" s="34"/>
      <c r="N359" s="35">
        <f t="shared" ref="N359:N390" si="205">N358+J359+K359</f>
        <v>176930455.5</v>
      </c>
    </row>
    <row r="360" spans="1:14" s="18" customFormat="1" ht="24" hidden="1" customHeight="1" x14ac:dyDescent="0.3">
      <c r="A360" s="19"/>
      <c r="B360" s="19"/>
      <c r="C360" s="29" t="s">
        <v>196</v>
      </c>
      <c r="D360" s="21"/>
      <c r="E360" s="19"/>
      <c r="F360" s="22"/>
      <c r="G360" s="23"/>
      <c r="H360" s="24">
        <v>280000</v>
      </c>
      <c r="I360" s="23">
        <f>H360*0.1</f>
        <v>28000</v>
      </c>
      <c r="J360" s="23">
        <f>SUM(H360:I360)</f>
        <v>308000</v>
      </c>
      <c r="K360" s="32"/>
      <c r="L360" s="33"/>
      <c r="M360" s="34"/>
      <c r="N360" s="35">
        <f t="shared" si="205"/>
        <v>177238455.5</v>
      </c>
    </row>
    <row r="361" spans="1:14" s="18" customFormat="1" ht="24" hidden="1" customHeight="1" x14ac:dyDescent="0.3">
      <c r="A361" s="19"/>
      <c r="B361" s="19">
        <v>17</v>
      </c>
      <c r="C361" s="39" t="s">
        <v>165</v>
      </c>
      <c r="D361" s="21"/>
      <c r="E361" s="19"/>
      <c r="F361" s="22"/>
      <c r="G361" s="23"/>
      <c r="H361" s="24"/>
      <c r="I361" s="23"/>
      <c r="J361" s="23"/>
      <c r="K361" s="32"/>
      <c r="L361" s="33"/>
      <c r="M361" s="34"/>
      <c r="N361" s="35">
        <f t="shared" si="205"/>
        <v>177238455.5</v>
      </c>
    </row>
    <row r="362" spans="1:14" s="18" customFormat="1" ht="24" hidden="1" customHeight="1" x14ac:dyDescent="0.3">
      <c r="A362" s="19"/>
      <c r="B362" s="19"/>
      <c r="C362" s="36" t="s">
        <v>166</v>
      </c>
      <c r="D362" s="21"/>
      <c r="E362" s="19">
        <v>13</v>
      </c>
      <c r="F362" s="22">
        <v>206.5</v>
      </c>
      <c r="G362" s="23">
        <f>2200+2200+550+1070+1070+250+250</f>
        <v>7590</v>
      </c>
      <c r="H362" s="24">
        <f t="shared" ref="H362" si="206">F362*G362</f>
        <v>1567335</v>
      </c>
      <c r="I362" s="23">
        <v>0</v>
      </c>
      <c r="J362" s="23">
        <f t="shared" ref="J362" si="207">SUM(H362:I362)</f>
        <v>1567335</v>
      </c>
      <c r="K362" s="32"/>
      <c r="L362" s="33"/>
      <c r="M362" s="34"/>
      <c r="N362" s="35">
        <f t="shared" si="205"/>
        <v>178805790.5</v>
      </c>
    </row>
    <row r="363" spans="1:14" s="18" customFormat="1" ht="24" hidden="1" customHeight="1" x14ac:dyDescent="0.3">
      <c r="A363" s="19"/>
      <c r="B363" s="19">
        <v>17</v>
      </c>
      <c r="C363" s="39" t="s">
        <v>197</v>
      </c>
      <c r="D363" s="21"/>
      <c r="E363" s="19"/>
      <c r="F363" s="22"/>
      <c r="G363" s="23"/>
      <c r="H363" s="24"/>
      <c r="I363" s="23"/>
      <c r="J363" s="23"/>
      <c r="K363" s="32"/>
      <c r="L363" s="33"/>
      <c r="M363" s="34"/>
      <c r="N363" s="35">
        <f t="shared" si="205"/>
        <v>178805790.5</v>
      </c>
    </row>
    <row r="364" spans="1:14" s="18" customFormat="1" ht="24" hidden="1" customHeight="1" x14ac:dyDescent="0.3">
      <c r="A364" s="19"/>
      <c r="B364" s="19"/>
      <c r="C364" s="39" t="s">
        <v>100</v>
      </c>
      <c r="D364" s="21"/>
      <c r="E364" s="19">
        <v>1</v>
      </c>
      <c r="F364" s="22">
        <v>3</v>
      </c>
      <c r="G364" s="23">
        <v>1400</v>
      </c>
      <c r="H364" s="24">
        <f t="shared" ref="H364" si="208">F364*G364</f>
        <v>4200</v>
      </c>
      <c r="I364" s="23">
        <v>0</v>
      </c>
      <c r="J364" s="23">
        <f t="shared" ref="J364" si="209">SUM(H364:I364)</f>
        <v>4200</v>
      </c>
      <c r="K364" s="32"/>
      <c r="L364" s="33"/>
      <c r="M364" s="34"/>
      <c r="N364" s="35">
        <f t="shared" si="205"/>
        <v>178809990.5</v>
      </c>
    </row>
    <row r="365" spans="1:14" s="18" customFormat="1" ht="24" hidden="1" customHeight="1" x14ac:dyDescent="0.3">
      <c r="A365" s="19"/>
      <c r="B365" s="19">
        <v>17</v>
      </c>
      <c r="C365" s="39" t="s">
        <v>198</v>
      </c>
      <c r="D365" s="37"/>
      <c r="E365" s="19"/>
      <c r="F365" s="22"/>
      <c r="G365" s="23"/>
      <c r="H365" s="24"/>
      <c r="I365" s="23"/>
      <c r="J365" s="23"/>
      <c r="K365" s="32"/>
      <c r="L365" s="33"/>
      <c r="M365" s="34"/>
      <c r="N365" s="35">
        <f t="shared" si="205"/>
        <v>178809990.5</v>
      </c>
    </row>
    <row r="366" spans="1:14" s="18" customFormat="1" ht="24" hidden="1" customHeight="1" x14ac:dyDescent="0.3">
      <c r="A366" s="19"/>
      <c r="B366" s="19"/>
      <c r="C366" s="39" t="s">
        <v>52</v>
      </c>
      <c r="D366" s="21"/>
      <c r="E366" s="19">
        <v>1</v>
      </c>
      <c r="F366" s="22">
        <v>6.6</v>
      </c>
      <c r="G366" s="23">
        <f>800+1000+980</f>
        <v>2780</v>
      </c>
      <c r="H366" s="24">
        <f t="shared" ref="H366:H367" si="210">F366*G366</f>
        <v>18348</v>
      </c>
      <c r="I366" s="23">
        <v>0</v>
      </c>
      <c r="J366" s="23">
        <f t="shared" ref="J366:J367" si="211">SUM(H366:I366)</f>
        <v>18348</v>
      </c>
      <c r="K366" s="32"/>
      <c r="L366" s="33"/>
      <c r="M366" s="34"/>
      <c r="N366" s="35">
        <f t="shared" si="205"/>
        <v>178828338.5</v>
      </c>
    </row>
    <row r="367" spans="1:14" s="18" customFormat="1" ht="24" hidden="1" customHeight="1" x14ac:dyDescent="0.3">
      <c r="A367" s="19"/>
      <c r="B367" s="19"/>
      <c r="C367" s="36" t="s">
        <v>199</v>
      </c>
      <c r="D367" s="21"/>
      <c r="E367" s="19">
        <v>1</v>
      </c>
      <c r="F367" s="22">
        <v>7</v>
      </c>
      <c r="G367" s="23">
        <f>3100+310+1000+980</f>
        <v>5390</v>
      </c>
      <c r="H367" s="24">
        <f t="shared" si="210"/>
        <v>37730</v>
      </c>
      <c r="I367" s="23">
        <v>0</v>
      </c>
      <c r="J367" s="23">
        <f t="shared" si="211"/>
        <v>37730</v>
      </c>
      <c r="K367" s="32"/>
      <c r="L367" s="33"/>
      <c r="M367" s="34"/>
      <c r="N367" s="35">
        <f t="shared" si="205"/>
        <v>178866068.5</v>
      </c>
    </row>
    <row r="368" spans="1:14" s="18" customFormat="1" ht="24" hidden="1" customHeight="1" x14ac:dyDescent="0.3">
      <c r="A368" s="19"/>
      <c r="B368" s="19">
        <v>17</v>
      </c>
      <c r="C368" s="39" t="s">
        <v>161</v>
      </c>
      <c r="D368" s="21"/>
      <c r="E368" s="19"/>
      <c r="F368" s="22"/>
      <c r="G368" s="23"/>
      <c r="H368" s="24"/>
      <c r="I368" s="23"/>
      <c r="J368" s="23"/>
      <c r="K368" s="32"/>
      <c r="L368" s="33"/>
      <c r="M368" s="34"/>
      <c r="N368" s="35">
        <f t="shared" si="205"/>
        <v>178866068.5</v>
      </c>
    </row>
    <row r="369" spans="1:14" s="18" customFormat="1" ht="24" hidden="1" customHeight="1" x14ac:dyDescent="0.3">
      <c r="A369" s="19"/>
      <c r="B369" s="19"/>
      <c r="C369" s="36" t="s">
        <v>21</v>
      </c>
      <c r="D369" s="21"/>
      <c r="E369" s="19">
        <v>10</v>
      </c>
      <c r="F369" s="22">
        <v>127.9</v>
      </c>
      <c r="G369" s="23">
        <f>2200+550+1070+250+330</f>
        <v>4400</v>
      </c>
      <c r="H369" s="24">
        <f t="shared" ref="H369" si="212">F369*G369</f>
        <v>562760</v>
      </c>
      <c r="I369" s="23">
        <v>0</v>
      </c>
      <c r="J369" s="23">
        <f t="shared" ref="J369" si="213">SUM(H369:I369)</f>
        <v>562760</v>
      </c>
      <c r="K369" s="32"/>
      <c r="L369" s="33"/>
      <c r="M369" s="34"/>
      <c r="N369" s="35">
        <f t="shared" si="205"/>
        <v>179428828.5</v>
      </c>
    </row>
    <row r="370" spans="1:14" s="18" customFormat="1" ht="24" hidden="1" customHeight="1" x14ac:dyDescent="0.3">
      <c r="A370" s="19"/>
      <c r="B370" s="19">
        <v>17</v>
      </c>
      <c r="C370" s="29" t="s">
        <v>200</v>
      </c>
      <c r="D370" s="21"/>
      <c r="E370" s="19"/>
      <c r="F370" s="22"/>
      <c r="G370" s="23"/>
      <c r="H370" s="24"/>
      <c r="I370" s="23"/>
      <c r="J370" s="23"/>
      <c r="K370" s="32"/>
      <c r="L370" s="33"/>
      <c r="M370" s="34"/>
      <c r="N370" s="35">
        <f t="shared" si="205"/>
        <v>179428828.5</v>
      </c>
    </row>
    <row r="371" spans="1:14" s="18" customFormat="1" ht="24" hidden="1" customHeight="1" x14ac:dyDescent="0.3">
      <c r="A371" s="19"/>
      <c r="B371" s="19"/>
      <c r="C371" s="36" t="s">
        <v>135</v>
      </c>
      <c r="D371" s="21"/>
      <c r="E371" s="19">
        <v>38</v>
      </c>
      <c r="F371" s="22">
        <v>298.60000000000002</v>
      </c>
      <c r="G371" s="23">
        <f>900+1250+980+250</f>
        <v>3380</v>
      </c>
      <c r="H371" s="24">
        <f t="shared" ref="H371:H372" si="214">F371*G371</f>
        <v>1009268.0000000001</v>
      </c>
      <c r="I371" s="23">
        <v>0</v>
      </c>
      <c r="J371" s="23">
        <f t="shared" ref="J371:J372" si="215">SUM(H371:I371)</f>
        <v>1009268.0000000001</v>
      </c>
      <c r="K371" s="32"/>
      <c r="L371" s="33"/>
      <c r="M371" s="34"/>
      <c r="N371" s="35">
        <f t="shared" si="205"/>
        <v>180438096.5</v>
      </c>
    </row>
    <row r="372" spans="1:14" s="18" customFormat="1" ht="24" hidden="1" customHeight="1" x14ac:dyDescent="0.3">
      <c r="A372" s="19"/>
      <c r="B372" s="19"/>
      <c r="C372" s="36" t="s">
        <v>26</v>
      </c>
      <c r="D372" s="21"/>
      <c r="E372" s="19">
        <v>1</v>
      </c>
      <c r="F372" s="22">
        <v>18.600000000000001</v>
      </c>
      <c r="G372" s="23">
        <f>1200+1800+1070+250</f>
        <v>4320</v>
      </c>
      <c r="H372" s="24">
        <f t="shared" si="214"/>
        <v>80352</v>
      </c>
      <c r="I372" s="23">
        <v>0</v>
      </c>
      <c r="J372" s="23">
        <f t="shared" si="215"/>
        <v>80352</v>
      </c>
      <c r="K372" s="32"/>
      <c r="L372" s="33"/>
      <c r="M372" s="34"/>
      <c r="N372" s="35">
        <f t="shared" si="205"/>
        <v>180518448.5</v>
      </c>
    </row>
    <row r="373" spans="1:14" s="18" customFormat="1" ht="24" hidden="1" customHeight="1" x14ac:dyDescent="0.3">
      <c r="A373" s="19"/>
      <c r="B373" s="19">
        <v>17</v>
      </c>
      <c r="C373" s="29" t="s">
        <v>201</v>
      </c>
      <c r="D373" s="37"/>
      <c r="E373" s="19"/>
      <c r="F373" s="22"/>
      <c r="G373" s="23"/>
      <c r="H373" s="24"/>
      <c r="I373" s="23"/>
      <c r="J373" s="23"/>
      <c r="K373" s="32"/>
      <c r="L373" s="33"/>
      <c r="M373" s="34"/>
      <c r="N373" s="35">
        <f t="shared" si="205"/>
        <v>180518448.5</v>
      </c>
    </row>
    <row r="374" spans="1:14" s="18" customFormat="1" ht="24" hidden="1" customHeight="1" x14ac:dyDescent="0.3">
      <c r="A374" s="19"/>
      <c r="B374" s="19"/>
      <c r="C374" s="36" t="s">
        <v>23</v>
      </c>
      <c r="D374" s="21"/>
      <c r="E374" s="19">
        <v>127</v>
      </c>
      <c r="F374" s="22">
        <v>2046.4</v>
      </c>
      <c r="G374" s="23">
        <f>2200+550+1070+250+330</f>
        <v>4400</v>
      </c>
      <c r="H374" s="24">
        <f t="shared" ref="H374:H375" si="216">F374*G374</f>
        <v>9004160</v>
      </c>
      <c r="I374" s="23">
        <v>0</v>
      </c>
      <c r="J374" s="23">
        <f t="shared" ref="J374:J375" si="217">SUM(H374:I374)</f>
        <v>9004160</v>
      </c>
      <c r="K374" s="32"/>
      <c r="L374" s="33"/>
      <c r="M374" s="34"/>
      <c r="N374" s="35">
        <f t="shared" si="205"/>
        <v>189522608.5</v>
      </c>
    </row>
    <row r="375" spans="1:14" s="18" customFormat="1" ht="24" hidden="1" customHeight="1" x14ac:dyDescent="0.3">
      <c r="A375" s="19"/>
      <c r="B375" s="19"/>
      <c r="C375" s="29" t="s">
        <v>46</v>
      </c>
      <c r="D375" s="21"/>
      <c r="E375" s="19">
        <v>6</v>
      </c>
      <c r="F375" s="22">
        <v>198.3</v>
      </c>
      <c r="G375" s="23">
        <v>2100</v>
      </c>
      <c r="H375" s="24">
        <f t="shared" si="216"/>
        <v>416430</v>
      </c>
      <c r="I375" s="23">
        <v>0</v>
      </c>
      <c r="J375" s="23">
        <f t="shared" si="217"/>
        <v>416430</v>
      </c>
      <c r="K375" s="32"/>
      <c r="L375" s="33"/>
      <c r="M375" s="34"/>
      <c r="N375" s="35">
        <f t="shared" si="205"/>
        <v>189939038.5</v>
      </c>
    </row>
    <row r="376" spans="1:14" s="18" customFormat="1" ht="24" hidden="1" customHeight="1" x14ac:dyDescent="0.3">
      <c r="A376" s="19"/>
      <c r="B376" s="19">
        <v>17</v>
      </c>
      <c r="C376" s="29" t="s">
        <v>202</v>
      </c>
      <c r="D376" s="21"/>
      <c r="E376" s="19"/>
      <c r="F376" s="22"/>
      <c r="G376" s="23"/>
      <c r="H376" s="24"/>
      <c r="I376" s="23"/>
      <c r="J376" s="23"/>
      <c r="K376" s="32"/>
      <c r="L376" s="33"/>
      <c r="M376" s="34"/>
      <c r="N376" s="35">
        <f t="shared" si="205"/>
        <v>189939038.5</v>
      </c>
    </row>
    <row r="377" spans="1:14" s="18" customFormat="1" ht="24" hidden="1" customHeight="1" x14ac:dyDescent="0.3">
      <c r="A377" s="19"/>
      <c r="B377" s="19"/>
      <c r="C377" s="36" t="s">
        <v>23</v>
      </c>
      <c r="D377" s="37"/>
      <c r="E377" s="19">
        <v>84</v>
      </c>
      <c r="F377" s="22">
        <v>1015.8</v>
      </c>
      <c r="G377" s="23">
        <f>2200+550+1070+250+330</f>
        <v>4400</v>
      </c>
      <c r="H377" s="24">
        <f t="shared" ref="H377:H378" si="218">F377*G377</f>
        <v>4469520</v>
      </c>
      <c r="I377" s="23">
        <v>0</v>
      </c>
      <c r="J377" s="23">
        <f t="shared" ref="J377:J378" si="219">SUM(H377:I377)</f>
        <v>4469520</v>
      </c>
      <c r="K377" s="32"/>
      <c r="L377" s="33"/>
      <c r="M377" s="34"/>
      <c r="N377" s="35">
        <f t="shared" si="205"/>
        <v>194408558.5</v>
      </c>
    </row>
    <row r="378" spans="1:14" s="18" customFormat="1" ht="24" hidden="1" customHeight="1" x14ac:dyDescent="0.3">
      <c r="A378" s="19"/>
      <c r="B378" s="19"/>
      <c r="C378" s="36" t="s">
        <v>178</v>
      </c>
      <c r="D378" s="21"/>
      <c r="E378" s="19">
        <v>1</v>
      </c>
      <c r="F378" s="22">
        <v>34.700000000000003</v>
      </c>
      <c r="G378" s="23">
        <f>2200+1200+1070+250+330</f>
        <v>5050</v>
      </c>
      <c r="H378" s="24">
        <f t="shared" si="218"/>
        <v>175235</v>
      </c>
      <c r="I378" s="23">
        <v>0</v>
      </c>
      <c r="J378" s="23">
        <f t="shared" si="219"/>
        <v>175235</v>
      </c>
      <c r="K378" s="32"/>
      <c r="L378" s="33"/>
      <c r="M378" s="34"/>
      <c r="N378" s="35">
        <f t="shared" si="205"/>
        <v>194583793.5</v>
      </c>
    </row>
    <row r="379" spans="1:14" s="18" customFormat="1" ht="24" hidden="1" customHeight="1" x14ac:dyDescent="0.3">
      <c r="A379" s="19"/>
      <c r="B379" s="19">
        <v>17</v>
      </c>
      <c r="C379" s="29" t="s">
        <v>195</v>
      </c>
      <c r="D379" s="21"/>
      <c r="E379" s="19"/>
      <c r="F379" s="22"/>
      <c r="G379" s="23"/>
      <c r="H379" s="24"/>
      <c r="I379" s="23"/>
      <c r="J379" s="23"/>
      <c r="K379" s="32"/>
      <c r="L379" s="33"/>
      <c r="M379" s="34"/>
      <c r="N379" s="35">
        <f t="shared" si="205"/>
        <v>194583793.5</v>
      </c>
    </row>
    <row r="380" spans="1:14" s="18" customFormat="1" ht="24" hidden="1" customHeight="1" x14ac:dyDescent="0.3">
      <c r="A380" s="19"/>
      <c r="B380" s="19"/>
      <c r="C380" s="29" t="s">
        <v>203</v>
      </c>
      <c r="D380" s="21"/>
      <c r="E380" s="19"/>
      <c r="F380" s="22"/>
      <c r="G380" s="23"/>
      <c r="H380" s="24">
        <f>880000/2</f>
        <v>440000</v>
      </c>
      <c r="I380" s="23">
        <f>H380*0.1</f>
        <v>44000</v>
      </c>
      <c r="J380" s="23">
        <f>SUM(H380:I380)</f>
        <v>484000</v>
      </c>
      <c r="K380" s="32"/>
      <c r="L380" s="33"/>
      <c r="M380" s="34"/>
      <c r="N380" s="35">
        <f t="shared" si="205"/>
        <v>195067793.5</v>
      </c>
    </row>
    <row r="381" spans="1:14" s="18" customFormat="1" ht="24" hidden="1" customHeight="1" x14ac:dyDescent="0.3">
      <c r="A381" s="19"/>
      <c r="B381" s="19">
        <v>17</v>
      </c>
      <c r="C381" s="29" t="s">
        <v>204</v>
      </c>
      <c r="D381" s="21"/>
      <c r="E381" s="19"/>
      <c r="F381" s="22"/>
      <c r="G381" s="23"/>
      <c r="H381" s="24"/>
      <c r="I381" s="23"/>
      <c r="J381" s="23"/>
      <c r="K381" s="32"/>
      <c r="L381" s="33"/>
      <c r="M381" s="34"/>
      <c r="N381" s="38">
        <f t="shared" si="205"/>
        <v>195067793.5</v>
      </c>
    </row>
    <row r="382" spans="1:14" s="18" customFormat="1" ht="24" hidden="1" customHeight="1" x14ac:dyDescent="0.3">
      <c r="A382" s="19"/>
      <c r="B382" s="19"/>
      <c r="C382" s="29" t="s">
        <v>179</v>
      </c>
      <c r="D382" s="37"/>
      <c r="E382" s="19"/>
      <c r="F382" s="22"/>
      <c r="G382" s="23"/>
      <c r="H382" s="24">
        <v>140000</v>
      </c>
      <c r="I382" s="23">
        <f>H382*0.1</f>
        <v>14000</v>
      </c>
      <c r="J382" s="23">
        <f>SUM(H382:I382)</f>
        <v>154000</v>
      </c>
      <c r="K382" s="32"/>
      <c r="L382" s="33"/>
      <c r="M382" s="34"/>
      <c r="N382" s="38">
        <f t="shared" si="205"/>
        <v>195221793.5</v>
      </c>
    </row>
    <row r="383" spans="1:14" s="18" customFormat="1" ht="24" hidden="1" customHeight="1" x14ac:dyDescent="0.3">
      <c r="A383" s="19"/>
      <c r="B383" s="19">
        <v>18</v>
      </c>
      <c r="C383" s="39" t="s">
        <v>24</v>
      </c>
      <c r="D383" s="21"/>
      <c r="E383" s="19"/>
      <c r="F383" s="22"/>
      <c r="G383" s="23"/>
      <c r="H383" s="24"/>
      <c r="I383" s="23"/>
      <c r="J383" s="23"/>
      <c r="K383" s="32"/>
      <c r="L383" s="33"/>
      <c r="M383" s="34"/>
      <c r="N383" s="38">
        <f t="shared" si="205"/>
        <v>195221793.5</v>
      </c>
    </row>
    <row r="384" spans="1:14" s="18" customFormat="1" ht="24" hidden="1" customHeight="1" x14ac:dyDescent="0.3">
      <c r="A384" s="19"/>
      <c r="B384" s="19"/>
      <c r="C384" s="39" t="s">
        <v>205</v>
      </c>
      <c r="D384" s="21"/>
      <c r="E384" s="19">
        <v>2</v>
      </c>
      <c r="F384" s="22">
        <v>6.5</v>
      </c>
      <c r="G384" s="23">
        <v>2000</v>
      </c>
      <c r="H384" s="24">
        <f t="shared" ref="H384" si="220">F384*G384</f>
        <v>13000</v>
      </c>
      <c r="I384" s="23">
        <v>0</v>
      </c>
      <c r="J384" s="23">
        <f t="shared" ref="J384" si="221">SUM(H384:I384)</f>
        <v>13000</v>
      </c>
      <c r="K384" s="32"/>
      <c r="L384" s="33"/>
      <c r="M384" s="34"/>
      <c r="N384" s="38">
        <f t="shared" si="205"/>
        <v>195234793.5</v>
      </c>
    </row>
    <row r="385" spans="1:14" s="18" customFormat="1" ht="24" hidden="1" customHeight="1" x14ac:dyDescent="0.3">
      <c r="A385" s="19"/>
      <c r="B385" s="19">
        <v>18</v>
      </c>
      <c r="C385" s="39" t="s">
        <v>161</v>
      </c>
      <c r="D385" s="21"/>
      <c r="E385" s="19"/>
      <c r="F385" s="22"/>
      <c r="G385" s="23"/>
      <c r="H385" s="24"/>
      <c r="I385" s="23"/>
      <c r="J385" s="23"/>
      <c r="K385" s="32"/>
      <c r="L385" s="33"/>
      <c r="M385" s="34"/>
      <c r="N385" s="38">
        <f t="shared" si="205"/>
        <v>195234793.5</v>
      </c>
    </row>
    <row r="386" spans="1:14" s="18" customFormat="1" ht="24" hidden="1" customHeight="1" x14ac:dyDescent="0.3">
      <c r="A386" s="19"/>
      <c r="B386" s="19"/>
      <c r="C386" s="36" t="s">
        <v>21</v>
      </c>
      <c r="D386" s="21"/>
      <c r="E386" s="19">
        <v>6</v>
      </c>
      <c r="F386" s="22">
        <v>165.5</v>
      </c>
      <c r="G386" s="23">
        <f>2200+550+1070+250+330</f>
        <v>4400</v>
      </c>
      <c r="H386" s="24">
        <f t="shared" ref="H386" si="222">F386*G386</f>
        <v>728200</v>
      </c>
      <c r="I386" s="23">
        <v>0</v>
      </c>
      <c r="J386" s="23">
        <f t="shared" ref="J386" si="223">SUM(H386:I386)</f>
        <v>728200</v>
      </c>
      <c r="K386" s="32"/>
      <c r="L386" s="33"/>
      <c r="M386" s="34"/>
      <c r="N386" s="38">
        <f t="shared" si="205"/>
        <v>195962993.5</v>
      </c>
    </row>
    <row r="387" spans="1:14" s="18" customFormat="1" ht="24" hidden="1" customHeight="1" x14ac:dyDescent="0.3">
      <c r="A387" s="19"/>
      <c r="B387" s="19">
        <v>18</v>
      </c>
      <c r="C387" s="29" t="s">
        <v>150</v>
      </c>
      <c r="D387" s="37"/>
      <c r="E387" s="19"/>
      <c r="F387" s="22"/>
      <c r="G387" s="23"/>
      <c r="H387" s="24"/>
      <c r="I387" s="23"/>
      <c r="J387" s="23"/>
      <c r="K387" s="32"/>
      <c r="L387" s="33"/>
      <c r="M387" s="34"/>
      <c r="N387" s="38">
        <f t="shared" si="205"/>
        <v>195962993.5</v>
      </c>
    </row>
    <row r="388" spans="1:14" s="18" customFormat="1" ht="24" hidden="1" customHeight="1" x14ac:dyDescent="0.3">
      <c r="A388" s="19"/>
      <c r="B388" s="19"/>
      <c r="C388" s="36" t="s">
        <v>23</v>
      </c>
      <c r="D388" s="21"/>
      <c r="E388" s="19">
        <v>191</v>
      </c>
      <c r="F388" s="22">
        <v>1621.7</v>
      </c>
      <c r="G388" s="23">
        <f>2200+550+1070+250+330</f>
        <v>4400</v>
      </c>
      <c r="H388" s="24">
        <f t="shared" ref="H388" si="224">F388*G388</f>
        <v>7135480</v>
      </c>
      <c r="I388" s="23">
        <v>0</v>
      </c>
      <c r="J388" s="23">
        <f t="shared" ref="J388" si="225">SUM(H388:I388)</f>
        <v>7135480</v>
      </c>
      <c r="K388" s="32"/>
      <c r="L388" s="33"/>
      <c r="M388" s="34"/>
      <c r="N388" s="38">
        <f t="shared" si="205"/>
        <v>203098473.5</v>
      </c>
    </row>
    <row r="389" spans="1:14" s="18" customFormat="1" ht="24" hidden="1" customHeight="1" x14ac:dyDescent="0.3">
      <c r="A389" s="19"/>
      <c r="B389" s="19"/>
      <c r="C389" s="29"/>
      <c r="D389" s="21"/>
      <c r="E389" s="19"/>
      <c r="F389" s="22"/>
      <c r="G389" s="23"/>
      <c r="H389" s="24"/>
      <c r="I389" s="23"/>
      <c r="J389" s="23"/>
      <c r="K389" s="32"/>
      <c r="L389" s="33"/>
      <c r="M389" s="34"/>
      <c r="N389" s="38">
        <f t="shared" si="205"/>
        <v>203098473.5</v>
      </c>
    </row>
    <row r="390" spans="1:14" s="18" customFormat="1" ht="24" hidden="1" customHeight="1" x14ac:dyDescent="0.3">
      <c r="A390" s="19"/>
      <c r="B390" s="19"/>
      <c r="C390" s="29"/>
      <c r="D390" s="21"/>
      <c r="E390" s="19"/>
      <c r="F390" s="22"/>
      <c r="G390" s="23"/>
      <c r="H390" s="24"/>
      <c r="I390" s="23"/>
      <c r="J390" s="23"/>
      <c r="K390" s="32"/>
      <c r="L390" s="33"/>
      <c r="M390" s="34"/>
      <c r="N390" s="38">
        <f t="shared" si="205"/>
        <v>203098473.5</v>
      </c>
    </row>
    <row r="391" spans="1:14" s="2" customFormat="1" ht="27" hidden="1" customHeight="1" thickBot="1" x14ac:dyDescent="0.35">
      <c r="A391" s="1"/>
      <c r="B391" s="1"/>
      <c r="C391" s="1"/>
      <c r="E391" s="86" t="s">
        <v>0</v>
      </c>
      <c r="F391" s="86"/>
      <c r="G391" s="86"/>
      <c r="H391" s="86"/>
      <c r="I391" s="86"/>
      <c r="J391" s="86"/>
      <c r="K391" s="1"/>
      <c r="L391" s="3"/>
      <c r="M391" s="3"/>
      <c r="N391" s="1"/>
    </row>
    <row r="392" spans="1:14" s="2" customFormat="1" ht="24" hidden="1" customHeight="1" thickTop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3"/>
      <c r="M392" s="3"/>
      <c r="N392" s="1"/>
    </row>
    <row r="393" spans="1:14" s="2" customFormat="1" ht="24" hidden="1" customHeight="1" thickBot="1" x14ac:dyDescent="0.35">
      <c r="A393" s="2" t="s">
        <v>1</v>
      </c>
      <c r="C393" s="4"/>
      <c r="D393" s="4"/>
      <c r="E393" s="5"/>
      <c r="F393" s="6"/>
      <c r="G393" s="7"/>
      <c r="H393" s="7"/>
      <c r="I393" s="7"/>
      <c r="J393" s="8"/>
      <c r="K393" s="9"/>
      <c r="L393" s="10"/>
      <c r="M393" s="11"/>
      <c r="N393" s="12" t="s">
        <v>2</v>
      </c>
    </row>
    <row r="394" spans="1:14" s="18" customFormat="1" ht="24" hidden="1" customHeight="1" thickTop="1" thickBot="1" x14ac:dyDescent="0.35">
      <c r="A394" s="13" t="s">
        <v>3</v>
      </c>
      <c r="B394" s="13" t="s">
        <v>4</v>
      </c>
      <c r="C394" s="87" t="s">
        <v>5</v>
      </c>
      <c r="D394" s="88"/>
      <c r="E394" s="13" t="s">
        <v>6</v>
      </c>
      <c r="F394" s="14" t="s">
        <v>7</v>
      </c>
      <c r="G394" s="15" t="s">
        <v>8</v>
      </c>
      <c r="H394" s="15" t="s">
        <v>9</v>
      </c>
      <c r="I394" s="15" t="s">
        <v>10</v>
      </c>
      <c r="J394" s="15" t="s">
        <v>11</v>
      </c>
      <c r="K394" s="16" t="s">
        <v>12</v>
      </c>
      <c r="L394" s="89" t="s">
        <v>13</v>
      </c>
      <c r="M394" s="90"/>
      <c r="N394" s="17" t="s">
        <v>14</v>
      </c>
    </row>
    <row r="395" spans="1:14" s="18" customFormat="1" ht="24" hidden="1" customHeight="1" thickTop="1" x14ac:dyDescent="0.3">
      <c r="A395" s="41"/>
      <c r="B395" s="41"/>
      <c r="C395" s="70" t="s">
        <v>41</v>
      </c>
      <c r="D395" s="40"/>
      <c r="E395" s="41"/>
      <c r="F395" s="42"/>
      <c r="G395" s="43"/>
      <c r="H395" s="44"/>
      <c r="I395" s="43"/>
      <c r="J395" s="43"/>
      <c r="K395" s="25"/>
      <c r="L395" s="26"/>
      <c r="M395" s="27"/>
      <c r="N395" s="28">
        <f>N390</f>
        <v>203098473.5</v>
      </c>
    </row>
    <row r="396" spans="1:14" s="18" customFormat="1" ht="24" hidden="1" customHeight="1" x14ac:dyDescent="0.3">
      <c r="A396" s="19">
        <v>2</v>
      </c>
      <c r="B396" s="19">
        <v>18</v>
      </c>
      <c r="C396" s="29" t="s">
        <v>206</v>
      </c>
      <c r="D396" s="21"/>
      <c r="E396" s="19"/>
      <c r="F396" s="22"/>
      <c r="G396" s="23"/>
      <c r="H396" s="24"/>
      <c r="I396" s="23"/>
      <c r="J396" s="47"/>
      <c r="K396" s="32"/>
      <c r="L396" s="33"/>
      <c r="M396" s="34"/>
      <c r="N396" s="35">
        <f>N395+J396+K396</f>
        <v>203098473.5</v>
      </c>
    </row>
    <row r="397" spans="1:14" s="18" customFormat="1" ht="24" hidden="1" customHeight="1" x14ac:dyDescent="0.3">
      <c r="A397" s="19"/>
      <c r="B397" s="19"/>
      <c r="C397" s="36" t="s">
        <v>61</v>
      </c>
      <c r="D397" s="21"/>
      <c r="E397" s="19">
        <v>147</v>
      </c>
      <c r="F397" s="22">
        <v>1146.4000000000001</v>
      </c>
      <c r="G397" s="23">
        <f>2200+2200+550+1070+1070+250+250+330+330</f>
        <v>8250</v>
      </c>
      <c r="H397" s="24">
        <f t="shared" ref="H397:H398" si="226">F397*G397</f>
        <v>9457800</v>
      </c>
      <c r="I397" s="23">
        <v>0</v>
      </c>
      <c r="J397" s="23">
        <f t="shared" ref="J397" si="227">SUM(H397:I397)</f>
        <v>9457800</v>
      </c>
      <c r="K397" s="32"/>
      <c r="L397" s="33"/>
      <c r="M397" s="34"/>
      <c r="N397" s="35">
        <f>N396+J397+K397</f>
        <v>212556273.5</v>
      </c>
    </row>
    <row r="398" spans="1:14" s="18" customFormat="1" ht="24" hidden="1" customHeight="1" x14ac:dyDescent="0.3">
      <c r="A398" s="19"/>
      <c r="B398" s="19"/>
      <c r="C398" s="36" t="s">
        <v>61</v>
      </c>
      <c r="D398" s="37" t="s">
        <v>59</v>
      </c>
      <c r="E398" s="19">
        <v>4</v>
      </c>
      <c r="F398" s="22">
        <v>13.8</v>
      </c>
      <c r="G398" s="23">
        <v>12375</v>
      </c>
      <c r="H398" s="24">
        <f t="shared" si="226"/>
        <v>170775</v>
      </c>
      <c r="I398" s="23">
        <v>0</v>
      </c>
      <c r="J398" s="23">
        <f t="shared" ref="J398" si="228">SUM(H398:I398)</f>
        <v>170775</v>
      </c>
      <c r="K398" s="32"/>
      <c r="L398" s="33"/>
      <c r="M398" s="34"/>
      <c r="N398" s="35">
        <f t="shared" ref="N398:N429" si="229">N397+J398+K398</f>
        <v>212727048.5</v>
      </c>
    </row>
    <row r="399" spans="1:14" s="18" customFormat="1" ht="24" hidden="1" customHeight="1" x14ac:dyDescent="0.3">
      <c r="A399" s="19"/>
      <c r="B399" s="19">
        <v>18</v>
      </c>
      <c r="C399" s="39" t="s">
        <v>207</v>
      </c>
      <c r="D399" s="37"/>
      <c r="E399" s="19"/>
      <c r="F399" s="22"/>
      <c r="G399" s="23"/>
      <c r="H399" s="24"/>
      <c r="I399" s="23"/>
      <c r="J399" s="23"/>
      <c r="K399" s="32"/>
      <c r="L399" s="33"/>
      <c r="M399" s="34"/>
      <c r="N399" s="35">
        <f t="shared" si="229"/>
        <v>212727048.5</v>
      </c>
    </row>
    <row r="400" spans="1:14" s="18" customFormat="1" ht="24" hidden="1" customHeight="1" x14ac:dyDescent="0.3">
      <c r="A400" s="19"/>
      <c r="B400" s="19"/>
      <c r="C400" s="39" t="s">
        <v>208</v>
      </c>
      <c r="D400" s="21"/>
      <c r="E400" s="19"/>
      <c r="F400" s="22"/>
      <c r="G400" s="23"/>
      <c r="H400" s="24">
        <v>360000</v>
      </c>
      <c r="I400" s="23">
        <f>H400*0.1</f>
        <v>36000</v>
      </c>
      <c r="J400" s="23">
        <f>SUM(H400:I400)</f>
        <v>396000</v>
      </c>
      <c r="K400" s="32"/>
      <c r="L400" s="33"/>
      <c r="M400" s="34"/>
      <c r="N400" s="35">
        <f t="shared" si="229"/>
        <v>213123048.5</v>
      </c>
    </row>
    <row r="401" spans="1:14" s="18" customFormat="1" ht="24" hidden="1" customHeight="1" x14ac:dyDescent="0.3">
      <c r="A401" s="19"/>
      <c r="B401" s="19">
        <v>19</v>
      </c>
      <c r="C401" s="39" t="s">
        <v>161</v>
      </c>
      <c r="D401" s="21"/>
      <c r="E401" s="19"/>
      <c r="F401" s="22"/>
      <c r="G401" s="23"/>
      <c r="H401" s="24"/>
      <c r="I401" s="23"/>
      <c r="J401" s="23"/>
      <c r="K401" s="32"/>
      <c r="L401" s="33"/>
      <c r="M401" s="34"/>
      <c r="N401" s="35">
        <f t="shared" si="229"/>
        <v>213123048.5</v>
      </c>
    </row>
    <row r="402" spans="1:14" s="18" customFormat="1" ht="24" hidden="1" customHeight="1" x14ac:dyDescent="0.3">
      <c r="A402" s="19"/>
      <c r="B402" s="19"/>
      <c r="C402" s="36" t="s">
        <v>21</v>
      </c>
      <c r="D402" s="21"/>
      <c r="E402" s="19">
        <v>36</v>
      </c>
      <c r="F402" s="22">
        <v>553.70000000000005</v>
      </c>
      <c r="G402" s="23">
        <f>2200+550+1070+250+330</f>
        <v>4400</v>
      </c>
      <c r="H402" s="24">
        <f t="shared" ref="H402" si="230">F402*G402</f>
        <v>2436280</v>
      </c>
      <c r="I402" s="23">
        <v>0</v>
      </c>
      <c r="J402" s="23">
        <f t="shared" ref="J402" si="231">SUM(H402:I402)</f>
        <v>2436280</v>
      </c>
      <c r="K402" s="32"/>
      <c r="L402" s="33"/>
      <c r="M402" s="34"/>
      <c r="N402" s="35">
        <f t="shared" si="229"/>
        <v>215559328.5</v>
      </c>
    </row>
    <row r="403" spans="1:14" s="18" customFormat="1" ht="24" hidden="1" customHeight="1" x14ac:dyDescent="0.3">
      <c r="A403" s="19"/>
      <c r="B403" s="19">
        <v>19</v>
      </c>
      <c r="C403" s="39" t="s">
        <v>184</v>
      </c>
      <c r="D403" s="21"/>
      <c r="E403" s="19"/>
      <c r="F403" s="22"/>
      <c r="G403" s="23"/>
      <c r="H403" s="24"/>
      <c r="I403" s="23"/>
      <c r="J403" s="23"/>
      <c r="K403" s="32"/>
      <c r="L403" s="33"/>
      <c r="M403" s="34"/>
      <c r="N403" s="35">
        <f t="shared" si="229"/>
        <v>215559328.5</v>
      </c>
    </row>
    <row r="404" spans="1:14" s="18" customFormat="1" ht="24" hidden="1" customHeight="1" x14ac:dyDescent="0.3">
      <c r="A404" s="19"/>
      <c r="B404" s="19"/>
      <c r="C404" s="29" t="s">
        <v>126</v>
      </c>
      <c r="D404" s="37"/>
      <c r="E404" s="19">
        <v>664</v>
      </c>
      <c r="F404" s="22">
        <v>3321.9</v>
      </c>
      <c r="G404" s="23">
        <f>550+1000+980+250</f>
        <v>2780</v>
      </c>
      <c r="H404" s="24">
        <f t="shared" ref="H404" si="232">F404*G404</f>
        <v>9234882</v>
      </c>
      <c r="I404" s="23">
        <v>0</v>
      </c>
      <c r="J404" s="23">
        <f t="shared" ref="J404" si="233">SUM(H404:I404)</f>
        <v>9234882</v>
      </c>
      <c r="K404" s="32"/>
      <c r="L404" s="33"/>
      <c r="M404" s="34"/>
      <c r="N404" s="35">
        <f t="shared" si="229"/>
        <v>224794210.5</v>
      </c>
    </row>
    <row r="405" spans="1:14" s="18" customFormat="1" ht="24" hidden="1" customHeight="1" x14ac:dyDescent="0.3">
      <c r="A405" s="19"/>
      <c r="B405" s="19">
        <v>19</v>
      </c>
      <c r="C405" s="39" t="s">
        <v>209</v>
      </c>
      <c r="D405" s="21"/>
      <c r="E405" s="19"/>
      <c r="F405" s="22"/>
      <c r="G405" s="23"/>
      <c r="H405" s="24"/>
      <c r="I405" s="23"/>
      <c r="J405" s="23"/>
      <c r="K405" s="32"/>
      <c r="L405" s="33"/>
      <c r="M405" s="34"/>
      <c r="N405" s="35">
        <f t="shared" si="229"/>
        <v>224794210.5</v>
      </c>
    </row>
    <row r="406" spans="1:14" s="18" customFormat="1" ht="24" hidden="1" customHeight="1" x14ac:dyDescent="0.3">
      <c r="A406" s="19"/>
      <c r="B406" s="19"/>
      <c r="C406" s="36" t="s">
        <v>61</v>
      </c>
      <c r="D406" s="21"/>
      <c r="E406" s="19">
        <v>1</v>
      </c>
      <c r="F406" s="22">
        <v>9.5</v>
      </c>
      <c r="G406" s="23">
        <f>2200+2200+550+1070+1070+250+250+330+330</f>
        <v>8250</v>
      </c>
      <c r="H406" s="24">
        <f t="shared" ref="H406" si="234">F406*G406</f>
        <v>78375</v>
      </c>
      <c r="I406" s="23">
        <v>0</v>
      </c>
      <c r="J406" s="23">
        <f t="shared" ref="J406" si="235">SUM(H406:I406)</f>
        <v>78375</v>
      </c>
      <c r="K406" s="32"/>
      <c r="L406" s="33"/>
      <c r="M406" s="34"/>
      <c r="N406" s="35">
        <f t="shared" si="229"/>
        <v>224872585.5</v>
      </c>
    </row>
    <row r="407" spans="1:14" s="18" customFormat="1" ht="24" hidden="1" customHeight="1" x14ac:dyDescent="0.3">
      <c r="A407" s="19"/>
      <c r="B407" s="19">
        <v>19</v>
      </c>
      <c r="C407" s="39" t="s">
        <v>146</v>
      </c>
      <c r="D407" s="21"/>
      <c r="E407" s="19"/>
      <c r="F407" s="22"/>
      <c r="G407" s="23"/>
      <c r="H407" s="24"/>
      <c r="I407" s="23"/>
      <c r="J407" s="23"/>
      <c r="K407" s="32"/>
      <c r="L407" s="33"/>
      <c r="M407" s="34"/>
      <c r="N407" s="35">
        <f t="shared" si="229"/>
        <v>224872585.5</v>
      </c>
    </row>
    <row r="408" spans="1:14" s="18" customFormat="1" ht="24" hidden="1" customHeight="1" x14ac:dyDescent="0.3">
      <c r="A408" s="19"/>
      <c r="B408" s="19"/>
      <c r="C408" s="36" t="s">
        <v>210</v>
      </c>
      <c r="D408" s="21"/>
      <c r="E408" s="19">
        <v>3</v>
      </c>
      <c r="F408" s="22">
        <v>70.3</v>
      </c>
      <c r="G408" s="23">
        <f>2200+550+1300+350+450</f>
        <v>4850</v>
      </c>
      <c r="H408" s="24">
        <f t="shared" ref="H408" si="236">F408*G408</f>
        <v>340955</v>
      </c>
      <c r="I408" s="23">
        <v>0</v>
      </c>
      <c r="J408" s="23">
        <f t="shared" ref="J408" si="237">SUM(H408:I408)</f>
        <v>340955</v>
      </c>
      <c r="K408" s="32"/>
      <c r="L408" s="33"/>
      <c r="M408" s="34"/>
      <c r="N408" s="35">
        <f t="shared" si="229"/>
        <v>225213540.5</v>
      </c>
    </row>
    <row r="409" spans="1:14" s="18" customFormat="1" ht="24" hidden="1" customHeight="1" x14ac:dyDescent="0.3">
      <c r="A409" s="19"/>
      <c r="B409" s="19">
        <v>19</v>
      </c>
      <c r="C409" s="39" t="s">
        <v>211</v>
      </c>
      <c r="D409" s="21"/>
      <c r="E409" s="19"/>
      <c r="F409" s="22"/>
      <c r="G409" s="23"/>
      <c r="H409" s="24"/>
      <c r="I409" s="23"/>
      <c r="J409" s="23"/>
      <c r="K409" s="32"/>
      <c r="L409" s="33"/>
      <c r="M409" s="34"/>
      <c r="N409" s="35">
        <f t="shared" si="229"/>
        <v>225213540.5</v>
      </c>
    </row>
    <row r="410" spans="1:14" s="18" customFormat="1" ht="24" hidden="1" customHeight="1" x14ac:dyDescent="0.3">
      <c r="A410" s="19"/>
      <c r="B410" s="19"/>
      <c r="C410" s="29" t="s">
        <v>212</v>
      </c>
      <c r="D410" s="21"/>
      <c r="E410" s="19">
        <v>3</v>
      </c>
      <c r="F410" s="22">
        <v>18.5</v>
      </c>
      <c r="G410" s="23">
        <f>800+1000+1070+250</f>
        <v>3120</v>
      </c>
      <c r="H410" s="24">
        <f t="shared" ref="H410:H411" si="238">F410*G410</f>
        <v>57720</v>
      </c>
      <c r="I410" s="23">
        <v>0</v>
      </c>
      <c r="J410" s="23">
        <f t="shared" ref="J410:J411" si="239">SUM(H410:I410)</f>
        <v>57720</v>
      </c>
      <c r="K410" s="32"/>
      <c r="L410" s="33"/>
      <c r="M410" s="34"/>
      <c r="N410" s="35">
        <f t="shared" si="229"/>
        <v>225271260.5</v>
      </c>
    </row>
    <row r="411" spans="1:14" s="18" customFormat="1" ht="24" hidden="1" customHeight="1" x14ac:dyDescent="0.3">
      <c r="A411" s="19"/>
      <c r="B411" s="19"/>
      <c r="C411" s="39" t="s">
        <v>213</v>
      </c>
      <c r="D411" s="21"/>
      <c r="E411" s="19">
        <v>3</v>
      </c>
      <c r="F411" s="22">
        <v>18.5</v>
      </c>
      <c r="G411" s="23">
        <v>2700</v>
      </c>
      <c r="H411" s="24">
        <f t="shared" si="238"/>
        <v>49950</v>
      </c>
      <c r="I411" s="23">
        <v>0</v>
      </c>
      <c r="J411" s="23">
        <f t="shared" si="239"/>
        <v>49950</v>
      </c>
      <c r="K411" s="32"/>
      <c r="L411" s="33"/>
      <c r="M411" s="34"/>
      <c r="N411" s="35">
        <f t="shared" si="229"/>
        <v>225321210.5</v>
      </c>
    </row>
    <row r="412" spans="1:14" s="18" customFormat="1" ht="24" hidden="1" customHeight="1" x14ac:dyDescent="0.3">
      <c r="A412" s="19"/>
      <c r="B412" s="19"/>
      <c r="C412" s="39" t="s">
        <v>171</v>
      </c>
      <c r="D412" s="21"/>
      <c r="E412" s="19"/>
      <c r="F412" s="22"/>
      <c r="G412" s="23"/>
      <c r="H412" s="24"/>
      <c r="I412" s="23"/>
      <c r="J412" s="23"/>
      <c r="K412" s="32"/>
      <c r="L412" s="33"/>
      <c r="M412" s="34"/>
      <c r="N412" s="35">
        <f t="shared" si="229"/>
        <v>225321210.5</v>
      </c>
    </row>
    <row r="413" spans="1:14" s="18" customFormat="1" ht="24" hidden="1" customHeight="1" x14ac:dyDescent="0.3">
      <c r="A413" s="19"/>
      <c r="B413" s="19">
        <v>19</v>
      </c>
      <c r="C413" s="29" t="s">
        <v>45</v>
      </c>
      <c r="D413" s="21"/>
      <c r="E413" s="19"/>
      <c r="F413" s="22"/>
      <c r="G413" s="23"/>
      <c r="H413" s="24">
        <v>140000</v>
      </c>
      <c r="I413" s="23">
        <f t="shared" ref="I413:I414" si="240">H413*0.1</f>
        <v>14000</v>
      </c>
      <c r="J413" s="23">
        <f t="shared" ref="J413:J414" si="241">SUM(H413:I413)</f>
        <v>154000</v>
      </c>
      <c r="K413" s="32"/>
      <c r="L413" s="33"/>
      <c r="M413" s="34"/>
      <c r="N413" s="35">
        <f t="shared" si="229"/>
        <v>225475210.5</v>
      </c>
    </row>
    <row r="414" spans="1:14" s="18" customFormat="1" ht="24" hidden="1" customHeight="1" x14ac:dyDescent="0.3">
      <c r="A414" s="19"/>
      <c r="B414" s="19">
        <v>20</v>
      </c>
      <c r="C414" s="29" t="s">
        <v>214</v>
      </c>
      <c r="D414" s="37"/>
      <c r="E414" s="19"/>
      <c r="F414" s="22"/>
      <c r="G414" s="23"/>
      <c r="H414" s="24">
        <v>70000</v>
      </c>
      <c r="I414" s="23">
        <f t="shared" si="240"/>
        <v>7000</v>
      </c>
      <c r="J414" s="23">
        <f t="shared" si="241"/>
        <v>77000</v>
      </c>
      <c r="K414" s="32"/>
      <c r="L414" s="33"/>
      <c r="M414" s="34"/>
      <c r="N414" s="35">
        <f t="shared" si="229"/>
        <v>225552210.5</v>
      </c>
    </row>
    <row r="415" spans="1:14" s="18" customFormat="1" ht="24" hidden="1" customHeight="1" x14ac:dyDescent="0.3">
      <c r="A415" s="19"/>
      <c r="B415" s="19"/>
      <c r="C415" s="29" t="s">
        <v>81</v>
      </c>
      <c r="D415" s="21"/>
      <c r="E415" s="19"/>
      <c r="F415" s="22"/>
      <c r="G415" s="23"/>
      <c r="H415" s="24">
        <v>70000</v>
      </c>
      <c r="I415" s="23">
        <f>H415*0.1</f>
        <v>7000</v>
      </c>
      <c r="J415" s="23">
        <f>SUM(H415:I415)</f>
        <v>77000</v>
      </c>
      <c r="K415" s="32"/>
      <c r="L415" s="33"/>
      <c r="M415" s="34"/>
      <c r="N415" s="35">
        <f t="shared" si="229"/>
        <v>225629210.5</v>
      </c>
    </row>
    <row r="416" spans="1:14" s="18" customFormat="1" ht="24" hidden="1" customHeight="1" x14ac:dyDescent="0.3">
      <c r="A416" s="19"/>
      <c r="B416" s="19">
        <v>20</v>
      </c>
      <c r="C416" s="39" t="s">
        <v>137</v>
      </c>
      <c r="D416" s="37"/>
      <c r="E416" s="19"/>
      <c r="F416" s="22"/>
      <c r="G416" s="23"/>
      <c r="H416" s="24"/>
      <c r="I416" s="23"/>
      <c r="J416" s="23"/>
      <c r="K416" s="32"/>
      <c r="L416" s="33"/>
      <c r="M416" s="34"/>
      <c r="N416" s="35">
        <f t="shared" si="229"/>
        <v>225629210.5</v>
      </c>
    </row>
    <row r="417" spans="1:14" s="18" customFormat="1" ht="24" hidden="1" customHeight="1" x14ac:dyDescent="0.3">
      <c r="A417" s="19"/>
      <c r="B417" s="19"/>
      <c r="C417" s="36" t="s">
        <v>23</v>
      </c>
      <c r="D417" s="21"/>
      <c r="E417" s="19">
        <v>3</v>
      </c>
      <c r="F417" s="22">
        <v>21.3</v>
      </c>
      <c r="G417" s="23">
        <f>2200+550+1070+250+330</f>
        <v>4400</v>
      </c>
      <c r="H417" s="24">
        <f t="shared" ref="H417:H418" si="242">F417*G417</f>
        <v>93720</v>
      </c>
      <c r="I417" s="23">
        <v>0</v>
      </c>
      <c r="J417" s="23">
        <f t="shared" ref="J417" si="243">SUM(H417:I417)</f>
        <v>93720</v>
      </c>
      <c r="K417" s="32"/>
      <c r="L417" s="33"/>
      <c r="M417" s="34"/>
      <c r="N417" s="35">
        <f t="shared" si="229"/>
        <v>225722930.5</v>
      </c>
    </row>
    <row r="418" spans="1:14" s="18" customFormat="1" ht="24" hidden="1" customHeight="1" x14ac:dyDescent="0.3">
      <c r="A418" s="19"/>
      <c r="B418" s="19"/>
      <c r="C418" s="29" t="s">
        <v>36</v>
      </c>
      <c r="D418" s="21"/>
      <c r="E418" s="19">
        <v>12</v>
      </c>
      <c r="F418" s="22">
        <v>174.1</v>
      </c>
      <c r="G418" s="23">
        <v>3300</v>
      </c>
      <c r="H418" s="24">
        <f t="shared" si="242"/>
        <v>574530</v>
      </c>
      <c r="I418" s="23">
        <v>0</v>
      </c>
      <c r="J418" s="23">
        <f t="shared" ref="J418" si="244">SUM(H418:I418)</f>
        <v>574530</v>
      </c>
      <c r="K418" s="32"/>
      <c r="L418" s="33"/>
      <c r="M418" s="34"/>
      <c r="N418" s="35">
        <f t="shared" si="229"/>
        <v>226297460.5</v>
      </c>
    </row>
    <row r="419" spans="1:14" s="18" customFormat="1" ht="24" hidden="1" customHeight="1" x14ac:dyDescent="0.3">
      <c r="A419" s="19"/>
      <c r="B419" s="19">
        <v>20</v>
      </c>
      <c r="C419" s="29" t="s">
        <v>201</v>
      </c>
      <c r="D419" s="37"/>
      <c r="E419" s="19"/>
      <c r="F419" s="22"/>
      <c r="G419" s="23"/>
      <c r="H419" s="24"/>
      <c r="I419" s="23"/>
      <c r="J419" s="23"/>
      <c r="K419" s="32"/>
      <c r="L419" s="33"/>
      <c r="M419" s="34"/>
      <c r="N419" s="35">
        <f t="shared" si="229"/>
        <v>226297460.5</v>
      </c>
    </row>
    <row r="420" spans="1:14" s="18" customFormat="1" ht="24" hidden="1" customHeight="1" x14ac:dyDescent="0.3">
      <c r="A420" s="19"/>
      <c r="B420" s="19"/>
      <c r="C420" s="36" t="s">
        <v>23</v>
      </c>
      <c r="D420" s="21"/>
      <c r="E420" s="19">
        <v>4</v>
      </c>
      <c r="F420" s="22">
        <v>52.7</v>
      </c>
      <c r="G420" s="23">
        <f>2200+550+1070+250+330</f>
        <v>4400</v>
      </c>
      <c r="H420" s="24">
        <f t="shared" ref="H420" si="245">F420*G420</f>
        <v>231880</v>
      </c>
      <c r="I420" s="23">
        <v>0</v>
      </c>
      <c r="J420" s="23">
        <f t="shared" ref="J420" si="246">SUM(H420:I420)</f>
        <v>231880</v>
      </c>
      <c r="K420" s="32"/>
      <c r="L420" s="33"/>
      <c r="M420" s="34"/>
      <c r="N420" s="38">
        <f t="shared" si="229"/>
        <v>226529340.5</v>
      </c>
    </row>
    <row r="421" spans="1:14" s="18" customFormat="1" ht="24" hidden="1" customHeight="1" x14ac:dyDescent="0.3">
      <c r="A421" s="19"/>
      <c r="B421" s="19">
        <v>20</v>
      </c>
      <c r="C421" s="29" t="s">
        <v>158</v>
      </c>
      <c r="D421" s="37"/>
      <c r="E421" s="19"/>
      <c r="F421" s="22"/>
      <c r="G421" s="23"/>
      <c r="H421" s="24"/>
      <c r="I421" s="23"/>
      <c r="J421" s="23"/>
      <c r="K421" s="32"/>
      <c r="L421" s="33"/>
      <c r="M421" s="34"/>
      <c r="N421" s="38">
        <f t="shared" si="229"/>
        <v>226529340.5</v>
      </c>
    </row>
    <row r="422" spans="1:14" s="18" customFormat="1" ht="24" hidden="1" customHeight="1" x14ac:dyDescent="0.3">
      <c r="A422" s="19"/>
      <c r="B422" s="19"/>
      <c r="C422" s="29" t="s">
        <v>126</v>
      </c>
      <c r="D422" s="21"/>
      <c r="E422" s="19">
        <v>2</v>
      </c>
      <c r="F422" s="22">
        <v>12.8</v>
      </c>
      <c r="G422" s="23">
        <f>550+1000+980+250</f>
        <v>2780</v>
      </c>
      <c r="H422" s="24">
        <f t="shared" ref="H422" si="247">F422*G422</f>
        <v>35584</v>
      </c>
      <c r="I422" s="23">
        <v>0</v>
      </c>
      <c r="J422" s="23">
        <f t="shared" ref="J422" si="248">SUM(H422:I422)</f>
        <v>35584</v>
      </c>
      <c r="K422" s="32"/>
      <c r="L422" s="33"/>
      <c r="M422" s="34"/>
      <c r="N422" s="38">
        <f t="shared" si="229"/>
        <v>226564924.5</v>
      </c>
    </row>
    <row r="423" spans="1:14" s="18" customFormat="1" ht="24" hidden="1" customHeight="1" x14ac:dyDescent="0.3">
      <c r="A423" s="19"/>
      <c r="B423" s="19">
        <v>20</v>
      </c>
      <c r="C423" s="29" t="s">
        <v>202</v>
      </c>
      <c r="D423" s="21"/>
      <c r="E423" s="19"/>
      <c r="F423" s="22"/>
      <c r="G423" s="23"/>
      <c r="H423" s="24"/>
      <c r="I423" s="23"/>
      <c r="J423" s="23"/>
      <c r="K423" s="32"/>
      <c r="L423" s="33"/>
      <c r="M423" s="34"/>
      <c r="N423" s="38">
        <f t="shared" si="229"/>
        <v>226564924.5</v>
      </c>
    </row>
    <row r="424" spans="1:14" s="18" customFormat="1" ht="24" hidden="1" customHeight="1" x14ac:dyDescent="0.3">
      <c r="A424" s="19"/>
      <c r="B424" s="19"/>
      <c r="C424" s="69" t="s">
        <v>215</v>
      </c>
      <c r="D424" s="21"/>
      <c r="E424" s="19">
        <v>1</v>
      </c>
      <c r="F424" s="22">
        <v>13.4</v>
      </c>
      <c r="G424" s="23">
        <f>1200+1200+980</f>
        <v>3380</v>
      </c>
      <c r="H424" s="24">
        <f t="shared" ref="H424:H425" si="249">F424*G424</f>
        <v>45292</v>
      </c>
      <c r="I424" s="23">
        <v>0</v>
      </c>
      <c r="J424" s="23">
        <f t="shared" ref="J424:J425" si="250">SUM(H424:I424)</f>
        <v>45292</v>
      </c>
      <c r="K424" s="32"/>
      <c r="L424" s="33"/>
      <c r="M424" s="34"/>
      <c r="N424" s="38">
        <f t="shared" si="229"/>
        <v>226610216.5</v>
      </c>
    </row>
    <row r="425" spans="1:14" s="18" customFormat="1" ht="24" hidden="1" customHeight="1" x14ac:dyDescent="0.3">
      <c r="A425" s="19"/>
      <c r="B425" s="19"/>
      <c r="C425" s="29" t="s">
        <v>46</v>
      </c>
      <c r="D425" s="21"/>
      <c r="E425" s="19">
        <v>16</v>
      </c>
      <c r="F425" s="22">
        <v>122.8</v>
      </c>
      <c r="G425" s="23">
        <v>2100</v>
      </c>
      <c r="H425" s="24">
        <f t="shared" si="249"/>
        <v>257880</v>
      </c>
      <c r="I425" s="23">
        <v>0</v>
      </c>
      <c r="J425" s="23">
        <f t="shared" si="250"/>
        <v>257880</v>
      </c>
      <c r="K425" s="32"/>
      <c r="L425" s="33"/>
      <c r="M425" s="34"/>
      <c r="N425" s="38">
        <f t="shared" si="229"/>
        <v>226868096.5</v>
      </c>
    </row>
    <row r="426" spans="1:14" s="18" customFormat="1" ht="24" hidden="1" customHeight="1" x14ac:dyDescent="0.3">
      <c r="A426" s="19"/>
      <c r="B426" s="19">
        <v>21</v>
      </c>
      <c r="C426" s="29" t="s">
        <v>216</v>
      </c>
      <c r="D426" s="37"/>
      <c r="E426" s="19"/>
      <c r="F426" s="22"/>
      <c r="G426" s="23"/>
      <c r="H426" s="24"/>
      <c r="I426" s="23"/>
      <c r="J426" s="23"/>
      <c r="K426" s="32"/>
      <c r="L426" s="33"/>
      <c r="M426" s="34"/>
      <c r="N426" s="38">
        <f t="shared" si="229"/>
        <v>226868096.5</v>
      </c>
    </row>
    <row r="427" spans="1:14" s="18" customFormat="1" ht="24" hidden="1" customHeight="1" x14ac:dyDescent="0.3">
      <c r="A427" s="19"/>
      <c r="B427" s="19"/>
      <c r="C427" s="39" t="s">
        <v>155</v>
      </c>
      <c r="D427" s="21"/>
      <c r="E427" s="19">
        <v>46</v>
      </c>
      <c r="F427" s="22">
        <v>257.39999999999998</v>
      </c>
      <c r="G427" s="23">
        <f>550+2200-700+980</f>
        <v>3030</v>
      </c>
      <c r="H427" s="24">
        <f t="shared" ref="H427" si="251">F427*G427</f>
        <v>779921.99999999988</v>
      </c>
      <c r="I427" s="23">
        <v>0</v>
      </c>
      <c r="J427" s="23">
        <f t="shared" ref="J427" si="252">SUM(H427:I427)</f>
        <v>779921.99999999988</v>
      </c>
      <c r="K427" s="32"/>
      <c r="L427" s="33"/>
      <c r="M427" s="34"/>
      <c r="N427" s="38">
        <f t="shared" si="229"/>
        <v>227648018.5</v>
      </c>
    </row>
    <row r="428" spans="1:14" s="18" customFormat="1" ht="24" hidden="1" customHeight="1" x14ac:dyDescent="0.3">
      <c r="A428" s="19"/>
      <c r="B428" s="19">
        <v>22</v>
      </c>
      <c r="C428" s="39" t="s">
        <v>217</v>
      </c>
      <c r="D428" s="21"/>
      <c r="E428" s="19"/>
      <c r="F428" s="22"/>
      <c r="G428" s="23"/>
      <c r="H428" s="24"/>
      <c r="I428" s="23"/>
      <c r="J428" s="23"/>
      <c r="K428" s="32"/>
      <c r="L428" s="33"/>
      <c r="M428" s="34"/>
      <c r="N428" s="38">
        <f t="shared" si="229"/>
        <v>227648018.5</v>
      </c>
    </row>
    <row r="429" spans="1:14" s="18" customFormat="1" ht="24" hidden="1" customHeight="1" x14ac:dyDescent="0.3">
      <c r="A429" s="19"/>
      <c r="B429" s="19"/>
      <c r="C429" s="39" t="s">
        <v>92</v>
      </c>
      <c r="D429" s="21"/>
      <c r="E429" s="19"/>
      <c r="F429" s="22"/>
      <c r="G429" s="23"/>
      <c r="H429" s="24">
        <v>280000</v>
      </c>
      <c r="I429" s="23">
        <f>H429*0.1</f>
        <v>28000</v>
      </c>
      <c r="J429" s="23">
        <f>SUM(H429:I429)</f>
        <v>308000</v>
      </c>
      <c r="K429" s="32"/>
      <c r="L429" s="33"/>
      <c r="M429" s="34"/>
      <c r="N429" s="38">
        <f t="shared" si="229"/>
        <v>227956018.5</v>
      </c>
    </row>
    <row r="430" spans="1:14" s="2" customFormat="1" ht="27" hidden="1" customHeight="1" thickBot="1" x14ac:dyDescent="0.35">
      <c r="A430" s="1"/>
      <c r="B430" s="1"/>
      <c r="C430" s="1"/>
      <c r="E430" s="86" t="s">
        <v>0</v>
      </c>
      <c r="F430" s="86"/>
      <c r="G430" s="86"/>
      <c r="H430" s="86"/>
      <c r="I430" s="86"/>
      <c r="J430" s="86"/>
      <c r="K430" s="1"/>
      <c r="L430" s="3"/>
      <c r="M430" s="3"/>
      <c r="N430" s="1"/>
    </row>
    <row r="431" spans="1:14" s="2" customFormat="1" ht="24" hidden="1" customHeight="1" thickTop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3"/>
      <c r="M431" s="3"/>
      <c r="N431" s="1"/>
    </row>
    <row r="432" spans="1:14" s="2" customFormat="1" ht="24" hidden="1" customHeight="1" thickBot="1" x14ac:dyDescent="0.35">
      <c r="A432" s="2" t="s">
        <v>1</v>
      </c>
      <c r="C432" s="4"/>
      <c r="D432" s="4"/>
      <c r="E432" s="5"/>
      <c r="F432" s="6"/>
      <c r="G432" s="7"/>
      <c r="H432" s="7"/>
      <c r="I432" s="7"/>
      <c r="J432" s="8"/>
      <c r="K432" s="9"/>
      <c r="L432" s="10"/>
      <c r="M432" s="11"/>
      <c r="N432" s="12" t="s">
        <v>2</v>
      </c>
    </row>
    <row r="433" spans="1:14" s="18" customFormat="1" ht="24" hidden="1" customHeight="1" thickTop="1" thickBot="1" x14ac:dyDescent="0.35">
      <c r="A433" s="13" t="s">
        <v>3</v>
      </c>
      <c r="B433" s="13" t="s">
        <v>4</v>
      </c>
      <c r="C433" s="87" t="s">
        <v>5</v>
      </c>
      <c r="D433" s="88"/>
      <c r="E433" s="13" t="s">
        <v>6</v>
      </c>
      <c r="F433" s="14" t="s">
        <v>7</v>
      </c>
      <c r="G433" s="15" t="s">
        <v>8</v>
      </c>
      <c r="H433" s="15" t="s">
        <v>9</v>
      </c>
      <c r="I433" s="15" t="s">
        <v>10</v>
      </c>
      <c r="J433" s="15" t="s">
        <v>11</v>
      </c>
      <c r="K433" s="16" t="s">
        <v>12</v>
      </c>
      <c r="L433" s="89" t="s">
        <v>13</v>
      </c>
      <c r="M433" s="90"/>
      <c r="N433" s="17" t="s">
        <v>14</v>
      </c>
    </row>
    <row r="434" spans="1:14" s="18" customFormat="1" ht="24" hidden="1" customHeight="1" thickTop="1" x14ac:dyDescent="0.3">
      <c r="A434" s="41"/>
      <c r="B434" s="41"/>
      <c r="C434" s="70" t="s">
        <v>41</v>
      </c>
      <c r="D434" s="40"/>
      <c r="E434" s="41"/>
      <c r="F434" s="42"/>
      <c r="G434" s="43"/>
      <c r="H434" s="44"/>
      <c r="I434" s="43"/>
      <c r="J434" s="43"/>
      <c r="K434" s="25"/>
      <c r="L434" s="26"/>
      <c r="M434" s="27"/>
      <c r="N434" s="28">
        <f>N429</f>
        <v>227956018.5</v>
      </c>
    </row>
    <row r="435" spans="1:14" s="18" customFormat="1" ht="24" hidden="1" customHeight="1" x14ac:dyDescent="0.3">
      <c r="A435" s="19">
        <v>2</v>
      </c>
      <c r="B435" s="19">
        <v>24</v>
      </c>
      <c r="C435" s="29" t="s">
        <v>218</v>
      </c>
      <c r="D435" s="21"/>
      <c r="E435" s="19"/>
      <c r="F435" s="22"/>
      <c r="G435" s="23"/>
      <c r="H435" s="24"/>
      <c r="I435" s="23"/>
      <c r="J435" s="47"/>
      <c r="K435" s="32"/>
      <c r="L435" s="33"/>
      <c r="M435" s="34"/>
      <c r="N435" s="35">
        <f>N434+J435+K435</f>
        <v>227956018.5</v>
      </c>
    </row>
    <row r="436" spans="1:14" s="18" customFormat="1" ht="24" hidden="1" customHeight="1" x14ac:dyDescent="0.3">
      <c r="A436" s="19"/>
      <c r="B436" s="19"/>
      <c r="C436" s="36" t="s">
        <v>61</v>
      </c>
      <c r="D436" s="21"/>
      <c r="E436" s="19">
        <v>5</v>
      </c>
      <c r="F436" s="22">
        <v>38.700000000000003</v>
      </c>
      <c r="G436" s="23">
        <f>2200+2200+550+1070+1070+250+250+330+330</f>
        <v>8250</v>
      </c>
      <c r="H436" s="24">
        <f t="shared" ref="H436:H437" si="253">F436*G436</f>
        <v>319275</v>
      </c>
      <c r="I436" s="23">
        <v>0</v>
      </c>
      <c r="J436" s="23">
        <f t="shared" ref="J436:J437" si="254">SUM(H436:I436)</f>
        <v>319275</v>
      </c>
      <c r="K436" s="32"/>
      <c r="L436" s="33"/>
      <c r="M436" s="34"/>
      <c r="N436" s="35">
        <f>N435+J436+K436</f>
        <v>228275293.5</v>
      </c>
    </row>
    <row r="437" spans="1:14" s="18" customFormat="1" ht="24" hidden="1" customHeight="1" x14ac:dyDescent="0.3">
      <c r="A437" s="19"/>
      <c r="B437" s="19"/>
      <c r="C437" s="39" t="s">
        <v>155</v>
      </c>
      <c r="D437" s="37"/>
      <c r="E437" s="19">
        <v>10</v>
      </c>
      <c r="F437" s="22">
        <v>38.299999999999997</v>
      </c>
      <c r="G437" s="23">
        <f>550+2200-700+980</f>
        <v>3030</v>
      </c>
      <c r="H437" s="24">
        <f t="shared" si="253"/>
        <v>116048.99999999999</v>
      </c>
      <c r="I437" s="23">
        <v>0</v>
      </c>
      <c r="J437" s="23">
        <f t="shared" si="254"/>
        <v>116048.99999999999</v>
      </c>
      <c r="K437" s="32"/>
      <c r="L437" s="33"/>
      <c r="M437" s="34"/>
      <c r="N437" s="35">
        <f t="shared" ref="N437:N468" si="255">N436+J437+K437</f>
        <v>228391342.5</v>
      </c>
    </row>
    <row r="438" spans="1:14" s="18" customFormat="1" ht="24" hidden="1" customHeight="1" x14ac:dyDescent="0.3">
      <c r="A438" s="19"/>
      <c r="B438" s="19">
        <v>24</v>
      </c>
      <c r="C438" s="39" t="s">
        <v>190</v>
      </c>
      <c r="D438" s="37"/>
      <c r="E438" s="19"/>
      <c r="F438" s="22"/>
      <c r="G438" s="23"/>
      <c r="H438" s="24"/>
      <c r="I438" s="23"/>
      <c r="J438" s="23"/>
      <c r="K438" s="32"/>
      <c r="L438" s="33"/>
      <c r="M438" s="34"/>
      <c r="N438" s="35">
        <f t="shared" si="255"/>
        <v>228391342.5</v>
      </c>
    </row>
    <row r="439" spans="1:14" s="18" customFormat="1" ht="24" hidden="1" customHeight="1" x14ac:dyDescent="0.3">
      <c r="A439" s="19"/>
      <c r="B439" s="19"/>
      <c r="C439" s="39" t="s">
        <v>107</v>
      </c>
      <c r="D439" s="21"/>
      <c r="E439" s="19">
        <v>2</v>
      </c>
      <c r="F439" s="22">
        <v>17.600000000000001</v>
      </c>
      <c r="G439" s="23">
        <f>550+550+740</f>
        <v>1840</v>
      </c>
      <c r="H439" s="24">
        <f t="shared" ref="H439" si="256">F439*G439</f>
        <v>32384.000000000004</v>
      </c>
      <c r="I439" s="23">
        <v>0</v>
      </c>
      <c r="J439" s="23">
        <f t="shared" ref="J439" si="257">SUM(H439:I439)</f>
        <v>32384.000000000004</v>
      </c>
      <c r="K439" s="32"/>
      <c r="L439" s="33"/>
      <c r="M439" s="34"/>
      <c r="N439" s="35">
        <f t="shared" si="255"/>
        <v>228423726.5</v>
      </c>
    </row>
    <row r="440" spans="1:14" s="18" customFormat="1" ht="24" hidden="1" customHeight="1" x14ac:dyDescent="0.3">
      <c r="A440" s="19"/>
      <c r="B440" s="19">
        <v>24</v>
      </c>
      <c r="C440" s="39" t="s">
        <v>219</v>
      </c>
      <c r="D440" s="21"/>
      <c r="E440" s="19"/>
      <c r="F440" s="22"/>
      <c r="G440" s="23"/>
      <c r="H440" s="24"/>
      <c r="I440" s="23"/>
      <c r="J440" s="23"/>
      <c r="K440" s="32"/>
      <c r="L440" s="33"/>
      <c r="M440" s="34"/>
      <c r="N440" s="35">
        <f t="shared" si="255"/>
        <v>228423726.5</v>
      </c>
    </row>
    <row r="441" spans="1:14" s="18" customFormat="1" ht="24" hidden="1" customHeight="1" x14ac:dyDescent="0.3">
      <c r="A441" s="19"/>
      <c r="B441" s="19"/>
      <c r="C441" s="39" t="s">
        <v>220</v>
      </c>
      <c r="D441" s="21"/>
      <c r="E441" s="19">
        <v>2</v>
      </c>
      <c r="F441" s="22">
        <v>10.9</v>
      </c>
      <c r="G441" s="23">
        <f>550+1000+980</f>
        <v>2530</v>
      </c>
      <c r="H441" s="24">
        <f t="shared" ref="H441:H442" si="258">F441*G441</f>
        <v>27577</v>
      </c>
      <c r="I441" s="23">
        <v>0</v>
      </c>
      <c r="J441" s="23">
        <f t="shared" ref="J441:J442" si="259">SUM(H441:I441)</f>
        <v>27577</v>
      </c>
      <c r="K441" s="32"/>
      <c r="L441" s="33"/>
      <c r="M441" s="34"/>
      <c r="N441" s="35">
        <f t="shared" si="255"/>
        <v>228451303.5</v>
      </c>
    </row>
    <row r="442" spans="1:14" s="18" customFormat="1" ht="24" hidden="1" customHeight="1" x14ac:dyDescent="0.3">
      <c r="A442" s="19"/>
      <c r="B442" s="19"/>
      <c r="C442" s="39" t="s">
        <v>115</v>
      </c>
      <c r="D442" s="21"/>
      <c r="E442" s="19">
        <v>2</v>
      </c>
      <c r="F442" s="22">
        <v>10.9</v>
      </c>
      <c r="G442" s="23">
        <f>550+550+980</f>
        <v>2080</v>
      </c>
      <c r="H442" s="24">
        <f t="shared" si="258"/>
        <v>22672</v>
      </c>
      <c r="I442" s="23">
        <v>0</v>
      </c>
      <c r="J442" s="23">
        <f t="shared" si="259"/>
        <v>22672</v>
      </c>
      <c r="K442" s="32"/>
      <c r="L442" s="33"/>
      <c r="M442" s="34"/>
      <c r="N442" s="35">
        <f t="shared" si="255"/>
        <v>228473975.5</v>
      </c>
    </row>
    <row r="443" spans="1:14" s="18" customFormat="1" ht="24" hidden="1" customHeight="1" x14ac:dyDescent="0.3">
      <c r="A443" s="19"/>
      <c r="B443" s="19">
        <v>24</v>
      </c>
      <c r="C443" s="29" t="s">
        <v>221</v>
      </c>
      <c r="D443" s="21"/>
      <c r="E443" s="19"/>
      <c r="F443" s="22"/>
      <c r="G443" s="23"/>
      <c r="H443" s="24"/>
      <c r="I443" s="23"/>
      <c r="J443" s="23"/>
      <c r="K443" s="32"/>
      <c r="L443" s="33"/>
      <c r="M443" s="34"/>
      <c r="N443" s="35">
        <f t="shared" si="255"/>
        <v>228473975.5</v>
      </c>
    </row>
    <row r="444" spans="1:14" s="18" customFormat="1" ht="24" hidden="1" customHeight="1" x14ac:dyDescent="0.3">
      <c r="A444" s="19"/>
      <c r="B444" s="19"/>
      <c r="C444" s="29" t="s">
        <v>222</v>
      </c>
      <c r="D444" s="37"/>
      <c r="E444" s="19"/>
      <c r="F444" s="22"/>
      <c r="G444" s="23"/>
      <c r="H444" s="24">
        <v>240000</v>
      </c>
      <c r="I444" s="23">
        <f>H444*0.1</f>
        <v>24000</v>
      </c>
      <c r="J444" s="23">
        <f>SUM(H444:I444)</f>
        <v>264000</v>
      </c>
      <c r="K444" s="32"/>
      <c r="L444" s="33"/>
      <c r="M444" s="34"/>
      <c r="N444" s="35">
        <f t="shared" si="255"/>
        <v>228737975.5</v>
      </c>
    </row>
    <row r="445" spans="1:14" s="18" customFormat="1" ht="24" hidden="1" customHeight="1" x14ac:dyDescent="0.3">
      <c r="A445" s="19"/>
      <c r="B445" s="19"/>
      <c r="C445" s="39" t="s">
        <v>81</v>
      </c>
      <c r="D445" s="21"/>
      <c r="E445" s="19"/>
      <c r="F445" s="22"/>
      <c r="G445" s="23"/>
      <c r="H445" s="24">
        <v>60000</v>
      </c>
      <c r="I445" s="23">
        <f>H445*0.1</f>
        <v>6000</v>
      </c>
      <c r="J445" s="23">
        <f>SUM(H445:I445)</f>
        <v>66000</v>
      </c>
      <c r="K445" s="32"/>
      <c r="L445" s="33"/>
      <c r="M445" s="34"/>
      <c r="N445" s="35">
        <f t="shared" si="255"/>
        <v>228803975.5</v>
      </c>
    </row>
    <row r="446" spans="1:14" s="18" customFormat="1" ht="24" hidden="1" customHeight="1" x14ac:dyDescent="0.3">
      <c r="A446" s="19"/>
      <c r="B446" s="19">
        <v>25</v>
      </c>
      <c r="C446" s="39" t="s">
        <v>223</v>
      </c>
      <c r="D446" s="21"/>
      <c r="E446" s="19"/>
      <c r="F446" s="22"/>
      <c r="G446" s="23"/>
      <c r="H446" s="24"/>
      <c r="I446" s="23"/>
      <c r="J446" s="23"/>
      <c r="K446" s="32"/>
      <c r="L446" s="33"/>
      <c r="M446" s="34"/>
      <c r="N446" s="35">
        <f t="shared" si="255"/>
        <v>228803975.5</v>
      </c>
    </row>
    <row r="447" spans="1:14" s="18" customFormat="1" ht="24" hidden="1" customHeight="1" x14ac:dyDescent="0.3">
      <c r="A447" s="19"/>
      <c r="B447" s="19"/>
      <c r="C447" s="36" t="s">
        <v>224</v>
      </c>
      <c r="D447" s="21"/>
      <c r="E447" s="19">
        <v>1</v>
      </c>
      <c r="F447" s="22">
        <v>14.3</v>
      </c>
      <c r="G447" s="23">
        <f>2200+550+1070+250+330</f>
        <v>4400</v>
      </c>
      <c r="H447" s="24">
        <f t="shared" ref="H447" si="260">F447*G447</f>
        <v>62920</v>
      </c>
      <c r="I447" s="23">
        <v>0</v>
      </c>
      <c r="J447" s="23">
        <f t="shared" ref="J447" si="261">SUM(H447:I447)</f>
        <v>62920</v>
      </c>
      <c r="K447" s="32"/>
      <c r="L447" s="33"/>
      <c r="M447" s="34"/>
      <c r="N447" s="35">
        <f t="shared" si="255"/>
        <v>228866895.5</v>
      </c>
    </row>
    <row r="448" spans="1:14" s="18" customFormat="1" ht="24" hidden="1" customHeight="1" x14ac:dyDescent="0.3">
      <c r="A448" s="19">
        <v>3</v>
      </c>
      <c r="B448" s="19">
        <v>4</v>
      </c>
      <c r="C448" s="69" t="s">
        <v>225</v>
      </c>
      <c r="D448" s="21"/>
      <c r="E448" s="19"/>
      <c r="F448" s="22"/>
      <c r="G448" s="23"/>
      <c r="H448" s="24">
        <v>200000</v>
      </c>
      <c r="I448" s="23">
        <f>H448*0.1</f>
        <v>20000</v>
      </c>
      <c r="J448" s="23">
        <f>SUM(H448:I448)</f>
        <v>220000</v>
      </c>
      <c r="K448" s="32"/>
      <c r="L448" s="33"/>
      <c r="M448" s="34"/>
      <c r="N448" s="35">
        <f t="shared" si="255"/>
        <v>229086895.5</v>
      </c>
    </row>
    <row r="449" spans="1:14" s="18" customFormat="1" ht="24" hidden="1" customHeight="1" x14ac:dyDescent="0.3">
      <c r="A449" s="19"/>
      <c r="B449" s="19">
        <v>25</v>
      </c>
      <c r="C449" s="39" t="s">
        <v>184</v>
      </c>
      <c r="D449" s="21"/>
      <c r="E449" s="19"/>
      <c r="F449" s="22"/>
      <c r="G449" s="23"/>
      <c r="H449" s="24"/>
      <c r="I449" s="23"/>
      <c r="J449" s="23"/>
      <c r="K449" s="32"/>
      <c r="L449" s="33"/>
      <c r="M449" s="34"/>
      <c r="N449" s="35">
        <f t="shared" si="255"/>
        <v>229086895.5</v>
      </c>
    </row>
    <row r="450" spans="1:14" s="18" customFormat="1" ht="24" hidden="1" customHeight="1" x14ac:dyDescent="0.3">
      <c r="A450" s="19"/>
      <c r="B450" s="19"/>
      <c r="C450" s="36" t="s">
        <v>226</v>
      </c>
      <c r="D450" s="21"/>
      <c r="E450" s="19">
        <v>328</v>
      </c>
      <c r="F450" s="22">
        <v>2710.1</v>
      </c>
      <c r="G450" s="23">
        <f>2200+2200+1200+1070+1070+250+250+330+330</f>
        <v>8900</v>
      </c>
      <c r="H450" s="24">
        <f t="shared" ref="H450" si="262">F450*G450</f>
        <v>24119890</v>
      </c>
      <c r="I450" s="23">
        <v>0</v>
      </c>
      <c r="J450" s="23">
        <f t="shared" ref="J450" si="263">SUM(H450:I450)</f>
        <v>24119890</v>
      </c>
      <c r="K450" s="32"/>
      <c r="L450" s="33"/>
      <c r="M450" s="34"/>
      <c r="N450" s="35">
        <f t="shared" si="255"/>
        <v>253206785.5</v>
      </c>
    </row>
    <row r="451" spans="1:14" s="18" customFormat="1" ht="24" hidden="1" customHeight="1" x14ac:dyDescent="0.3">
      <c r="A451" s="19"/>
      <c r="B451" s="19">
        <v>25</v>
      </c>
      <c r="C451" s="39" t="s">
        <v>158</v>
      </c>
      <c r="D451" s="21"/>
      <c r="E451" s="19"/>
      <c r="F451" s="22"/>
      <c r="G451" s="23"/>
      <c r="H451" s="24"/>
      <c r="I451" s="23"/>
      <c r="J451" s="23"/>
      <c r="K451" s="32"/>
      <c r="L451" s="33"/>
      <c r="M451" s="34"/>
      <c r="N451" s="35">
        <f t="shared" si="255"/>
        <v>253206785.5</v>
      </c>
    </row>
    <row r="452" spans="1:14" s="18" customFormat="1" ht="24" hidden="1" customHeight="1" x14ac:dyDescent="0.3">
      <c r="A452" s="19"/>
      <c r="B452" s="19"/>
      <c r="C452" s="29" t="s">
        <v>126</v>
      </c>
      <c r="D452" s="21"/>
      <c r="E452" s="19">
        <v>3</v>
      </c>
      <c r="F452" s="22">
        <v>24.8</v>
      </c>
      <c r="G452" s="23">
        <f>550+1000+980+250</f>
        <v>2780</v>
      </c>
      <c r="H452" s="24">
        <f t="shared" ref="H452" si="264">F452*G452</f>
        <v>68944</v>
      </c>
      <c r="I452" s="23">
        <v>0</v>
      </c>
      <c r="J452" s="23">
        <f t="shared" ref="J452" si="265">SUM(H452:I452)</f>
        <v>68944</v>
      </c>
      <c r="K452" s="32"/>
      <c r="L452" s="33"/>
      <c r="M452" s="34"/>
      <c r="N452" s="35">
        <f t="shared" si="255"/>
        <v>253275729.5</v>
      </c>
    </row>
    <row r="453" spans="1:14" s="18" customFormat="1" ht="24" hidden="1" customHeight="1" x14ac:dyDescent="0.3">
      <c r="A453" s="19"/>
      <c r="B453" s="19">
        <v>25</v>
      </c>
      <c r="C453" s="29" t="s">
        <v>218</v>
      </c>
      <c r="D453" s="21"/>
      <c r="E453" s="19"/>
      <c r="F453" s="22"/>
      <c r="G453" s="23"/>
      <c r="H453" s="24"/>
      <c r="I453" s="23"/>
      <c r="J453" s="23"/>
      <c r="K453" s="32"/>
      <c r="L453" s="33"/>
      <c r="M453" s="34"/>
      <c r="N453" s="35">
        <f t="shared" si="255"/>
        <v>253275729.5</v>
      </c>
    </row>
    <row r="454" spans="1:14" s="18" customFormat="1" ht="24" hidden="1" customHeight="1" x14ac:dyDescent="0.3">
      <c r="A454" s="19"/>
      <c r="B454" s="19"/>
      <c r="C454" s="29" t="s">
        <v>155</v>
      </c>
      <c r="D454" s="37"/>
      <c r="E454" s="19">
        <v>40</v>
      </c>
      <c r="F454" s="22">
        <v>160.5</v>
      </c>
      <c r="G454" s="23">
        <f>550+2200-700+980</f>
        <v>3030</v>
      </c>
      <c r="H454" s="24">
        <f t="shared" ref="H454" si="266">F454*G454</f>
        <v>486315</v>
      </c>
      <c r="I454" s="23">
        <v>0</v>
      </c>
      <c r="J454" s="23">
        <f t="shared" ref="J454" si="267">SUM(H454:I454)</f>
        <v>486315</v>
      </c>
      <c r="K454" s="32"/>
      <c r="L454" s="33"/>
      <c r="M454" s="34"/>
      <c r="N454" s="35">
        <f t="shared" si="255"/>
        <v>253762044.5</v>
      </c>
    </row>
    <row r="455" spans="1:14" s="18" customFormat="1" ht="24" hidden="1" customHeight="1" x14ac:dyDescent="0.3">
      <c r="A455" s="19"/>
      <c r="B455" s="19"/>
      <c r="C455" s="39"/>
      <c r="D455" s="37"/>
      <c r="E455" s="19"/>
      <c r="F455" s="22"/>
      <c r="G455" s="23"/>
      <c r="H455" s="24"/>
      <c r="I455" s="23"/>
      <c r="J455" s="47">
        <v>-13762045</v>
      </c>
      <c r="K455" s="32"/>
      <c r="L455" s="33">
        <v>45716</v>
      </c>
      <c r="M455" s="34">
        <v>240000000</v>
      </c>
      <c r="N455" s="48">
        <f t="shared" si="255"/>
        <v>239999999.5</v>
      </c>
    </row>
    <row r="456" spans="1:14" s="18" customFormat="1" ht="24" hidden="1" customHeight="1" thickBot="1" x14ac:dyDescent="0.35">
      <c r="A456" s="49">
        <v>2</v>
      </c>
      <c r="B456" s="49">
        <v>28</v>
      </c>
      <c r="C456" s="50"/>
      <c r="D456" s="51"/>
      <c r="E456" s="49"/>
      <c r="F456" s="52"/>
      <c r="G456" s="53"/>
      <c r="H456" s="54"/>
      <c r="I456" s="53"/>
      <c r="J456" s="53"/>
      <c r="K456" s="55">
        <v>-240000000</v>
      </c>
      <c r="L456" s="56"/>
      <c r="M456" s="57"/>
      <c r="N456" s="58">
        <v>0</v>
      </c>
    </row>
    <row r="457" spans="1:14" s="18" customFormat="1" ht="24" hidden="1" customHeight="1" thickTop="1" x14ac:dyDescent="0.3">
      <c r="A457" s="59"/>
      <c r="B457" s="59"/>
      <c r="C457" s="60"/>
      <c r="D457" s="61"/>
      <c r="E457" s="59"/>
      <c r="F457" s="62"/>
      <c r="G457" s="63"/>
      <c r="H457" s="64"/>
      <c r="I457" s="63"/>
      <c r="J457" s="63"/>
      <c r="K457" s="65"/>
      <c r="L457" s="66"/>
      <c r="M457" s="67"/>
      <c r="N457" s="68">
        <f t="shared" si="255"/>
        <v>0</v>
      </c>
    </row>
    <row r="458" spans="1:14" s="18" customFormat="1" ht="24" hidden="1" customHeight="1" x14ac:dyDescent="0.3">
      <c r="A458" s="19"/>
      <c r="B458" s="19"/>
      <c r="C458" s="29"/>
      <c r="D458" s="21"/>
      <c r="E458" s="19"/>
      <c r="F458" s="22"/>
      <c r="G458" s="23"/>
      <c r="H458" s="24"/>
      <c r="I458" s="23"/>
      <c r="J458" s="23"/>
      <c r="K458" s="32"/>
      <c r="L458" s="33"/>
      <c r="M458" s="34"/>
      <c r="N458" s="35">
        <f t="shared" si="255"/>
        <v>0</v>
      </c>
    </row>
    <row r="459" spans="1:14" s="18" customFormat="1" ht="24" hidden="1" customHeight="1" x14ac:dyDescent="0.3">
      <c r="A459" s="19"/>
      <c r="B459" s="19"/>
      <c r="C459" s="39"/>
      <c r="D459" s="21"/>
      <c r="E459" s="19"/>
      <c r="F459" s="22"/>
      <c r="G459" s="23"/>
      <c r="H459" s="24"/>
      <c r="I459" s="23"/>
      <c r="J459" s="23"/>
      <c r="K459" s="32"/>
      <c r="L459" s="33"/>
      <c r="M459" s="34"/>
      <c r="N459" s="38">
        <f t="shared" si="255"/>
        <v>0</v>
      </c>
    </row>
    <row r="460" spans="1:14" s="18" customFormat="1" ht="24" hidden="1" customHeight="1" x14ac:dyDescent="0.3">
      <c r="A460" s="19"/>
      <c r="B460" s="19"/>
      <c r="C460" s="29"/>
      <c r="D460" s="21"/>
      <c r="E460" s="19"/>
      <c r="F460" s="22"/>
      <c r="G460" s="23"/>
      <c r="H460" s="24"/>
      <c r="I460" s="23"/>
      <c r="J460" s="23"/>
      <c r="K460" s="32"/>
      <c r="L460" s="33"/>
      <c r="M460" s="34"/>
      <c r="N460" s="38">
        <f t="shared" si="255"/>
        <v>0</v>
      </c>
    </row>
    <row r="461" spans="1:14" s="18" customFormat="1" ht="24" hidden="1" customHeight="1" x14ac:dyDescent="0.3">
      <c r="A461" s="19"/>
      <c r="B461" s="19"/>
      <c r="C461" s="29"/>
      <c r="D461" s="21"/>
      <c r="E461" s="19"/>
      <c r="F461" s="22"/>
      <c r="G461" s="23"/>
      <c r="H461" s="24"/>
      <c r="I461" s="23"/>
      <c r="J461" s="23"/>
      <c r="K461" s="32"/>
      <c r="L461" s="33"/>
      <c r="M461" s="34"/>
      <c r="N461" s="38">
        <f t="shared" si="255"/>
        <v>0</v>
      </c>
    </row>
    <row r="462" spans="1:14" s="18" customFormat="1" ht="24" hidden="1" customHeight="1" x14ac:dyDescent="0.3">
      <c r="A462" s="19"/>
      <c r="B462" s="19"/>
      <c r="C462" s="29"/>
      <c r="D462" s="37"/>
      <c r="E462" s="19"/>
      <c r="F462" s="22"/>
      <c r="G462" s="23"/>
      <c r="H462" s="24"/>
      <c r="I462" s="23"/>
      <c r="J462" s="23"/>
      <c r="K462" s="32"/>
      <c r="L462" s="33"/>
      <c r="M462" s="34"/>
      <c r="N462" s="38">
        <f t="shared" si="255"/>
        <v>0</v>
      </c>
    </row>
    <row r="463" spans="1:14" s="18" customFormat="1" ht="24" hidden="1" customHeight="1" x14ac:dyDescent="0.3">
      <c r="A463" s="19"/>
      <c r="B463" s="19"/>
      <c r="C463" s="39"/>
      <c r="D463" s="21"/>
      <c r="E463" s="19"/>
      <c r="F463" s="22"/>
      <c r="G463" s="23"/>
      <c r="H463" s="24"/>
      <c r="I463" s="23"/>
      <c r="J463" s="23"/>
      <c r="K463" s="32"/>
      <c r="L463" s="33"/>
      <c r="M463" s="34"/>
      <c r="N463" s="38">
        <f t="shared" si="255"/>
        <v>0</v>
      </c>
    </row>
    <row r="464" spans="1:14" s="18" customFormat="1" ht="24" hidden="1" customHeight="1" x14ac:dyDescent="0.3">
      <c r="A464" s="19"/>
      <c r="B464" s="19"/>
      <c r="C464" s="29"/>
      <c r="D464" s="37"/>
      <c r="E464" s="19"/>
      <c r="F464" s="22"/>
      <c r="G464" s="23"/>
      <c r="H464" s="24"/>
      <c r="I464" s="23"/>
      <c r="J464" s="23"/>
      <c r="K464" s="32"/>
      <c r="L464" s="33"/>
      <c r="M464" s="34"/>
      <c r="N464" s="38">
        <f t="shared" si="255"/>
        <v>0</v>
      </c>
    </row>
    <row r="465" spans="1:14" s="18" customFormat="1" ht="24" hidden="1" customHeight="1" x14ac:dyDescent="0.3">
      <c r="A465" s="19"/>
      <c r="B465" s="19"/>
      <c r="C465" s="39"/>
      <c r="D465" s="21"/>
      <c r="E465" s="19"/>
      <c r="F465" s="22"/>
      <c r="G465" s="23"/>
      <c r="H465" s="24"/>
      <c r="I465" s="23"/>
      <c r="J465" s="23"/>
      <c r="K465" s="32"/>
      <c r="L465" s="33"/>
      <c r="M465" s="34"/>
      <c r="N465" s="38">
        <f t="shared" si="255"/>
        <v>0</v>
      </c>
    </row>
    <row r="466" spans="1:14" s="18" customFormat="1" ht="24" hidden="1" customHeight="1" x14ac:dyDescent="0.3">
      <c r="A466" s="19"/>
      <c r="B466" s="19"/>
      <c r="C466" s="29"/>
      <c r="D466" s="21"/>
      <c r="E466" s="19"/>
      <c r="F466" s="22"/>
      <c r="G466" s="23"/>
      <c r="H466" s="24"/>
      <c r="I466" s="23"/>
      <c r="J466" s="23"/>
      <c r="K466" s="32"/>
      <c r="L466" s="33"/>
      <c r="M466" s="34"/>
      <c r="N466" s="38">
        <f t="shared" si="255"/>
        <v>0</v>
      </c>
    </row>
    <row r="467" spans="1:14" s="18" customFormat="1" ht="24" hidden="1" customHeight="1" x14ac:dyDescent="0.3">
      <c r="A467" s="19"/>
      <c r="B467" s="19"/>
      <c r="C467" s="39"/>
      <c r="D467" s="21"/>
      <c r="E467" s="19"/>
      <c r="F467" s="22"/>
      <c r="G467" s="23"/>
      <c r="H467" s="24"/>
      <c r="I467" s="23"/>
      <c r="J467" s="23"/>
      <c r="K467" s="32"/>
      <c r="L467" s="33"/>
      <c r="M467" s="34"/>
      <c r="N467" s="38">
        <f t="shared" si="255"/>
        <v>0</v>
      </c>
    </row>
    <row r="468" spans="1:14" s="18" customFormat="1" ht="24" hidden="1" customHeight="1" x14ac:dyDescent="0.3">
      <c r="A468" s="19"/>
      <c r="B468" s="19"/>
      <c r="C468" s="39"/>
      <c r="D468" s="21"/>
      <c r="E468" s="19"/>
      <c r="F468" s="22"/>
      <c r="G468" s="23"/>
      <c r="H468" s="24"/>
      <c r="I468" s="23"/>
      <c r="J468" s="23"/>
      <c r="K468" s="32"/>
      <c r="L468" s="33"/>
      <c r="M468" s="34"/>
      <c r="N468" s="38">
        <f t="shared" si="255"/>
        <v>0</v>
      </c>
    </row>
    <row r="469" spans="1:14" s="2" customFormat="1" ht="27" hidden="1" customHeight="1" thickBot="1" x14ac:dyDescent="0.35">
      <c r="A469" s="1"/>
      <c r="B469" s="1"/>
      <c r="C469" s="1"/>
      <c r="E469" s="86" t="s">
        <v>0</v>
      </c>
      <c r="F469" s="86"/>
      <c r="G469" s="86"/>
      <c r="H469" s="86"/>
      <c r="I469" s="86"/>
      <c r="J469" s="86"/>
      <c r="K469" s="1"/>
      <c r="L469" s="3"/>
      <c r="M469" s="3"/>
      <c r="N469" s="1"/>
    </row>
    <row r="470" spans="1:14" s="2" customFormat="1" ht="24" hidden="1" customHeight="1" thickTop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3"/>
      <c r="M470" s="3"/>
      <c r="N470" s="1"/>
    </row>
    <row r="471" spans="1:14" s="2" customFormat="1" ht="24" hidden="1" customHeight="1" thickBot="1" x14ac:dyDescent="0.35">
      <c r="A471" s="2" t="s">
        <v>1</v>
      </c>
      <c r="C471" s="4"/>
      <c r="D471" s="4"/>
      <c r="E471" s="5"/>
      <c r="F471" s="6"/>
      <c r="G471" s="7"/>
      <c r="H471" s="7"/>
      <c r="I471" s="7"/>
      <c r="J471" s="8"/>
      <c r="K471" s="9"/>
      <c r="L471" s="10"/>
      <c r="M471" s="11"/>
      <c r="N471" s="12" t="s">
        <v>2</v>
      </c>
    </row>
    <row r="472" spans="1:14" s="18" customFormat="1" ht="24" hidden="1" customHeight="1" thickTop="1" thickBot="1" x14ac:dyDescent="0.35">
      <c r="A472" s="13" t="s">
        <v>3</v>
      </c>
      <c r="B472" s="13" t="s">
        <v>4</v>
      </c>
      <c r="C472" s="87" t="s">
        <v>5</v>
      </c>
      <c r="D472" s="88"/>
      <c r="E472" s="13" t="s">
        <v>6</v>
      </c>
      <c r="F472" s="14" t="s">
        <v>7</v>
      </c>
      <c r="G472" s="15" t="s">
        <v>8</v>
      </c>
      <c r="H472" s="15" t="s">
        <v>9</v>
      </c>
      <c r="I472" s="15" t="s">
        <v>10</v>
      </c>
      <c r="J472" s="15" t="s">
        <v>11</v>
      </c>
      <c r="K472" s="16" t="s">
        <v>12</v>
      </c>
      <c r="L472" s="89" t="s">
        <v>13</v>
      </c>
      <c r="M472" s="90"/>
      <c r="N472" s="17" t="s">
        <v>14</v>
      </c>
    </row>
    <row r="473" spans="1:14" s="18" customFormat="1" ht="24" hidden="1" customHeight="1" thickTop="1" x14ac:dyDescent="0.3">
      <c r="A473" s="41">
        <v>2</v>
      </c>
      <c r="B473" s="41">
        <v>26</v>
      </c>
      <c r="C473" s="70" t="s">
        <v>150</v>
      </c>
      <c r="D473" s="40"/>
      <c r="E473" s="41"/>
      <c r="F473" s="42"/>
      <c r="G473" s="43"/>
      <c r="H473" s="44"/>
      <c r="I473" s="43"/>
      <c r="J473" s="43"/>
      <c r="K473" s="25"/>
      <c r="L473" s="26"/>
      <c r="M473" s="27"/>
      <c r="N473" s="28">
        <f>N468</f>
        <v>0</v>
      </c>
    </row>
    <row r="474" spans="1:14" s="18" customFormat="1" ht="24" hidden="1" customHeight="1" x14ac:dyDescent="0.3">
      <c r="A474" s="19"/>
      <c r="B474" s="19"/>
      <c r="C474" s="36" t="s">
        <v>23</v>
      </c>
      <c r="D474" s="21"/>
      <c r="E474" s="19">
        <v>1</v>
      </c>
      <c r="F474" s="22">
        <v>4.4000000000000004</v>
      </c>
      <c r="G474" s="23">
        <f>2200+550+1070+250+330</f>
        <v>4400</v>
      </c>
      <c r="H474" s="24">
        <f>F474*G474</f>
        <v>19360</v>
      </c>
      <c r="I474" s="23">
        <v>0</v>
      </c>
      <c r="J474" s="23">
        <f>SUM(H474:I474)</f>
        <v>19360</v>
      </c>
      <c r="K474" s="32"/>
      <c r="L474" s="33"/>
      <c r="M474" s="34"/>
      <c r="N474" s="35">
        <f>N473+J474+K474</f>
        <v>19360</v>
      </c>
    </row>
    <row r="475" spans="1:14" s="18" customFormat="1" ht="24" hidden="1" customHeight="1" x14ac:dyDescent="0.3">
      <c r="A475" s="19"/>
      <c r="B475" s="19">
        <v>26</v>
      </c>
      <c r="C475" s="39" t="s">
        <v>218</v>
      </c>
      <c r="D475" s="21"/>
      <c r="E475" s="19"/>
      <c r="F475" s="22"/>
      <c r="G475" s="23"/>
      <c r="H475" s="24"/>
      <c r="I475" s="23"/>
      <c r="J475" s="23"/>
      <c r="K475" s="32"/>
      <c r="L475" s="33"/>
      <c r="M475" s="34"/>
      <c r="N475" s="35">
        <f>N474+J475+K475</f>
        <v>19360</v>
      </c>
    </row>
    <row r="476" spans="1:14" s="18" customFormat="1" ht="24" hidden="1" customHeight="1" x14ac:dyDescent="0.3">
      <c r="A476" s="19"/>
      <c r="B476" s="19"/>
      <c r="C476" s="39" t="s">
        <v>155</v>
      </c>
      <c r="D476" s="37"/>
      <c r="E476" s="19">
        <v>2</v>
      </c>
      <c r="F476" s="22">
        <v>10.1</v>
      </c>
      <c r="G476" s="23">
        <f>550+2200-700+980</f>
        <v>3030</v>
      </c>
      <c r="H476" s="24">
        <f>F476*G476</f>
        <v>30603</v>
      </c>
      <c r="I476" s="23">
        <v>0</v>
      </c>
      <c r="J476" s="23">
        <f>SUM(H476:I476)</f>
        <v>30603</v>
      </c>
      <c r="K476" s="32"/>
      <c r="L476" s="33"/>
      <c r="M476" s="34"/>
      <c r="N476" s="35">
        <f t="shared" ref="N476:N507" si="268">N475+J476+K476</f>
        <v>49963</v>
      </c>
    </row>
    <row r="477" spans="1:14" s="18" customFormat="1" ht="24" hidden="1" customHeight="1" x14ac:dyDescent="0.3">
      <c r="A477" s="19"/>
      <c r="B477" s="19">
        <v>27</v>
      </c>
      <c r="C477" s="29" t="s">
        <v>172</v>
      </c>
      <c r="D477" s="37"/>
      <c r="E477" s="19"/>
      <c r="F477" s="22"/>
      <c r="G477" s="23"/>
      <c r="H477" s="24"/>
      <c r="I477" s="23"/>
      <c r="J477" s="23"/>
      <c r="K477" s="32"/>
      <c r="L477" s="33"/>
      <c r="M477" s="34"/>
      <c r="N477" s="35">
        <f t="shared" si="268"/>
        <v>49963</v>
      </c>
    </row>
    <row r="478" spans="1:14" s="18" customFormat="1" ht="24" hidden="1" customHeight="1" x14ac:dyDescent="0.3">
      <c r="A478" s="19"/>
      <c r="B478" s="19"/>
      <c r="C478" s="36" t="s">
        <v>227</v>
      </c>
      <c r="D478" s="21"/>
      <c r="E478" s="19">
        <v>9</v>
      </c>
      <c r="F478" s="22">
        <v>209.9</v>
      </c>
      <c r="G478" s="23">
        <f>2200+550+1200+300+390</f>
        <v>4640</v>
      </c>
      <c r="H478" s="24">
        <f t="shared" ref="H478:H479" si="269">F478*G478</f>
        <v>973936</v>
      </c>
      <c r="I478" s="23">
        <v>0</v>
      </c>
      <c r="J478" s="23">
        <f t="shared" ref="J478:J479" si="270">SUM(H478:I478)</f>
        <v>973936</v>
      </c>
      <c r="K478" s="32"/>
      <c r="L478" s="33"/>
      <c r="M478" s="34"/>
      <c r="N478" s="35">
        <f t="shared" si="268"/>
        <v>1023899</v>
      </c>
    </row>
    <row r="479" spans="1:14" s="18" customFormat="1" ht="24" hidden="1" customHeight="1" x14ac:dyDescent="0.3">
      <c r="A479" s="19"/>
      <c r="B479" s="19"/>
      <c r="C479" s="36" t="s">
        <v>23</v>
      </c>
      <c r="D479" s="21"/>
      <c r="E479" s="19">
        <v>2</v>
      </c>
      <c r="F479" s="22">
        <v>76.099999999999994</v>
      </c>
      <c r="G479" s="23">
        <f>2200+550+1070+250+330</f>
        <v>4400</v>
      </c>
      <c r="H479" s="24">
        <f t="shared" si="269"/>
        <v>334840</v>
      </c>
      <c r="I479" s="23">
        <v>0</v>
      </c>
      <c r="J479" s="23">
        <f t="shared" si="270"/>
        <v>334840</v>
      </c>
      <c r="K479" s="32"/>
      <c r="L479" s="33"/>
      <c r="M479" s="34"/>
      <c r="N479" s="35">
        <f t="shared" si="268"/>
        <v>1358739</v>
      </c>
    </row>
    <row r="480" spans="1:14" s="18" customFormat="1" ht="24" hidden="1" customHeight="1" x14ac:dyDescent="0.3">
      <c r="A480" s="19"/>
      <c r="B480" s="19">
        <v>27</v>
      </c>
      <c r="C480" s="39" t="s">
        <v>228</v>
      </c>
      <c r="D480" s="21"/>
      <c r="E480" s="19"/>
      <c r="F480" s="22"/>
      <c r="G480" s="23"/>
      <c r="H480" s="24"/>
      <c r="I480" s="23"/>
      <c r="J480" s="23"/>
      <c r="K480" s="32"/>
      <c r="L480" s="33"/>
      <c r="M480" s="34"/>
      <c r="N480" s="35">
        <f t="shared" si="268"/>
        <v>1358739</v>
      </c>
    </row>
    <row r="481" spans="1:14" s="18" customFormat="1" ht="24" hidden="1" customHeight="1" x14ac:dyDescent="0.3">
      <c r="A481" s="19"/>
      <c r="B481" s="19"/>
      <c r="C481" s="36" t="s">
        <v>23</v>
      </c>
      <c r="D481" s="21"/>
      <c r="E481" s="19">
        <v>4</v>
      </c>
      <c r="F481" s="22">
        <v>82</v>
      </c>
      <c r="G481" s="23">
        <f>2200+550+1070+250+330</f>
        <v>4400</v>
      </c>
      <c r="H481" s="24">
        <f t="shared" ref="H481" si="271">F481*G481</f>
        <v>360800</v>
      </c>
      <c r="I481" s="23">
        <v>0</v>
      </c>
      <c r="J481" s="23">
        <f t="shared" ref="J481" si="272">SUM(H481:I481)</f>
        <v>360800</v>
      </c>
      <c r="K481" s="32"/>
      <c r="L481" s="33"/>
      <c r="M481" s="34"/>
      <c r="N481" s="35">
        <f t="shared" si="268"/>
        <v>1719539</v>
      </c>
    </row>
    <row r="482" spans="1:14" s="18" customFormat="1" ht="24" hidden="1" customHeight="1" x14ac:dyDescent="0.3">
      <c r="A482" s="19"/>
      <c r="B482" s="19">
        <v>27</v>
      </c>
      <c r="C482" s="29" t="s">
        <v>229</v>
      </c>
      <c r="D482" s="21"/>
      <c r="E482" s="19"/>
      <c r="F482" s="22"/>
      <c r="G482" s="23"/>
      <c r="H482" s="24"/>
      <c r="I482" s="23"/>
      <c r="J482" s="23"/>
      <c r="K482" s="32"/>
      <c r="L482" s="33"/>
      <c r="M482" s="34"/>
      <c r="N482" s="35">
        <f t="shared" si="268"/>
        <v>1719539</v>
      </c>
    </row>
    <row r="483" spans="1:14" s="18" customFormat="1" ht="24" hidden="1" customHeight="1" x14ac:dyDescent="0.3">
      <c r="A483" s="19"/>
      <c r="B483" s="19"/>
      <c r="C483" s="36" t="s">
        <v>230</v>
      </c>
      <c r="D483" s="37"/>
      <c r="E483" s="19">
        <v>2</v>
      </c>
      <c r="F483" s="22">
        <v>7.2</v>
      </c>
      <c r="G483" s="23">
        <f>2200+550+1300+350+450</f>
        <v>4850</v>
      </c>
      <c r="H483" s="24">
        <f t="shared" ref="H483" si="273">F483*G483</f>
        <v>34920</v>
      </c>
      <c r="I483" s="23">
        <v>0</v>
      </c>
      <c r="J483" s="23">
        <f t="shared" ref="J483" si="274">SUM(H483:I483)</f>
        <v>34920</v>
      </c>
      <c r="K483" s="32"/>
      <c r="L483" s="33"/>
      <c r="M483" s="34"/>
      <c r="N483" s="35">
        <f t="shared" si="268"/>
        <v>1754459</v>
      </c>
    </row>
    <row r="484" spans="1:14" s="18" customFormat="1" ht="24" hidden="1" customHeight="1" x14ac:dyDescent="0.3">
      <c r="A484" s="19"/>
      <c r="B484" s="19">
        <v>27</v>
      </c>
      <c r="C484" s="39" t="s">
        <v>231</v>
      </c>
      <c r="D484" s="21"/>
      <c r="E484" s="19"/>
      <c r="F484" s="22"/>
      <c r="G484" s="23"/>
      <c r="H484" s="24"/>
      <c r="I484" s="23"/>
      <c r="J484" s="23"/>
      <c r="K484" s="32"/>
      <c r="L484" s="33"/>
      <c r="M484" s="34"/>
      <c r="N484" s="35">
        <f t="shared" si="268"/>
        <v>1754459</v>
      </c>
    </row>
    <row r="485" spans="1:14" s="18" customFormat="1" ht="24" hidden="1" customHeight="1" x14ac:dyDescent="0.3">
      <c r="A485" s="19"/>
      <c r="B485" s="19"/>
      <c r="C485" s="36" t="s">
        <v>232</v>
      </c>
      <c r="D485" s="21"/>
      <c r="E485" s="19">
        <v>28</v>
      </c>
      <c r="F485" s="22">
        <v>280.5</v>
      </c>
      <c r="G485" s="23">
        <f>900+1250+1200+300</f>
        <v>3650</v>
      </c>
      <c r="H485" s="24">
        <f t="shared" ref="H485" si="275">F485*G485</f>
        <v>1023825</v>
      </c>
      <c r="I485" s="23">
        <v>0</v>
      </c>
      <c r="J485" s="23">
        <f t="shared" ref="J485" si="276">SUM(H485:I485)</f>
        <v>1023825</v>
      </c>
      <c r="K485" s="32"/>
      <c r="L485" s="33"/>
      <c r="M485" s="34"/>
      <c r="N485" s="35">
        <f t="shared" si="268"/>
        <v>2778284</v>
      </c>
    </row>
    <row r="486" spans="1:14" s="18" customFormat="1" ht="24" hidden="1" customHeight="1" x14ac:dyDescent="0.3">
      <c r="A486" s="19"/>
      <c r="B486" s="19">
        <v>27</v>
      </c>
      <c r="C486" s="39" t="s">
        <v>233</v>
      </c>
      <c r="D486" s="21"/>
      <c r="E486" s="19"/>
      <c r="F486" s="22"/>
      <c r="G486" s="23"/>
      <c r="H486" s="24"/>
      <c r="I486" s="23"/>
      <c r="J486" s="23"/>
      <c r="K486" s="32"/>
      <c r="L486" s="33"/>
      <c r="M486" s="34"/>
      <c r="N486" s="35">
        <f t="shared" si="268"/>
        <v>2778284</v>
      </c>
    </row>
    <row r="487" spans="1:14" s="18" customFormat="1" ht="24" hidden="1" customHeight="1" x14ac:dyDescent="0.3">
      <c r="A487" s="19"/>
      <c r="B487" s="19"/>
      <c r="C487" s="69" t="s">
        <v>234</v>
      </c>
      <c r="D487" s="21"/>
      <c r="E487" s="19">
        <v>42</v>
      </c>
      <c r="F487" s="22">
        <v>335.2</v>
      </c>
      <c r="G487" s="23">
        <f>800+550+980</f>
        <v>2330</v>
      </c>
      <c r="H487" s="24">
        <f t="shared" ref="H487:H491" si="277">F487*G487</f>
        <v>781016</v>
      </c>
      <c r="I487" s="23">
        <v>0</v>
      </c>
      <c r="J487" s="23">
        <f t="shared" ref="J487:J491" si="278">SUM(H487:I487)</f>
        <v>781016</v>
      </c>
      <c r="K487" s="32"/>
      <c r="L487" s="33"/>
      <c r="M487" s="34"/>
      <c r="N487" s="35">
        <f t="shared" si="268"/>
        <v>3559300</v>
      </c>
    </row>
    <row r="488" spans="1:14" s="18" customFormat="1" ht="24" hidden="1" customHeight="1" x14ac:dyDescent="0.3">
      <c r="A488" s="19"/>
      <c r="B488" s="19"/>
      <c r="C488" s="39" t="s">
        <v>115</v>
      </c>
      <c r="D488" s="21"/>
      <c r="E488" s="19">
        <v>40</v>
      </c>
      <c r="F488" s="22">
        <v>329.2</v>
      </c>
      <c r="G488" s="23">
        <f>550+550+980</f>
        <v>2080</v>
      </c>
      <c r="H488" s="24">
        <f t="shared" si="277"/>
        <v>684736</v>
      </c>
      <c r="I488" s="23">
        <v>0</v>
      </c>
      <c r="J488" s="23">
        <f t="shared" si="278"/>
        <v>684736</v>
      </c>
      <c r="K488" s="32"/>
      <c r="L488" s="33"/>
      <c r="M488" s="34"/>
      <c r="N488" s="35">
        <f t="shared" si="268"/>
        <v>4244036</v>
      </c>
    </row>
    <row r="489" spans="1:14" s="18" customFormat="1" ht="24" hidden="1" customHeight="1" x14ac:dyDescent="0.3">
      <c r="A489" s="19"/>
      <c r="B489" s="19"/>
      <c r="C489" s="36" t="s">
        <v>235</v>
      </c>
      <c r="D489" s="21"/>
      <c r="E489" s="19">
        <v>37</v>
      </c>
      <c r="F489" s="22">
        <v>175.6</v>
      </c>
      <c r="G489" s="23">
        <f>800+1000+1200+300</f>
        <v>3300</v>
      </c>
      <c r="H489" s="24">
        <f t="shared" si="277"/>
        <v>579480</v>
      </c>
      <c r="I489" s="23">
        <v>0</v>
      </c>
      <c r="J489" s="23">
        <f t="shared" si="278"/>
        <v>579480</v>
      </c>
      <c r="K489" s="32"/>
      <c r="L489" s="33"/>
      <c r="M489" s="34"/>
      <c r="N489" s="35">
        <f t="shared" si="268"/>
        <v>4823516</v>
      </c>
    </row>
    <row r="490" spans="1:14" s="18" customFormat="1" ht="24" hidden="1" customHeight="1" x14ac:dyDescent="0.3">
      <c r="A490" s="19"/>
      <c r="B490" s="19"/>
      <c r="C490" s="36" t="s">
        <v>236</v>
      </c>
      <c r="D490" s="21"/>
      <c r="E490" s="19">
        <v>2</v>
      </c>
      <c r="F490" s="22">
        <v>6</v>
      </c>
      <c r="G490" s="23">
        <f>550+550+500+980+250</f>
        <v>2830</v>
      </c>
      <c r="H490" s="24">
        <f t="shared" si="277"/>
        <v>16980</v>
      </c>
      <c r="I490" s="23">
        <v>0</v>
      </c>
      <c r="J490" s="23">
        <f t="shared" si="278"/>
        <v>16980</v>
      </c>
      <c r="K490" s="32"/>
      <c r="L490" s="33"/>
      <c r="M490" s="34"/>
      <c r="N490" s="35">
        <f t="shared" si="268"/>
        <v>4840496</v>
      </c>
    </row>
    <row r="491" spans="1:14" s="18" customFormat="1" ht="24" hidden="1" customHeight="1" x14ac:dyDescent="0.3">
      <c r="A491" s="19"/>
      <c r="B491" s="19"/>
      <c r="C491" s="36" t="s">
        <v>237</v>
      </c>
      <c r="D491" s="21"/>
      <c r="E491" s="19">
        <v>1</v>
      </c>
      <c r="F491" s="22">
        <v>23.2</v>
      </c>
      <c r="G491" s="23">
        <f>1300+1800+1070+250</f>
        <v>4420</v>
      </c>
      <c r="H491" s="24">
        <f t="shared" si="277"/>
        <v>102544</v>
      </c>
      <c r="I491" s="23">
        <v>0</v>
      </c>
      <c r="J491" s="23">
        <f t="shared" si="278"/>
        <v>102544</v>
      </c>
      <c r="K491" s="32"/>
      <c r="L491" s="33"/>
      <c r="M491" s="34"/>
      <c r="N491" s="35">
        <f t="shared" si="268"/>
        <v>4943040</v>
      </c>
    </row>
    <row r="492" spans="1:14" s="18" customFormat="1" ht="24" hidden="1" customHeight="1" x14ac:dyDescent="0.3">
      <c r="A492" s="19"/>
      <c r="B492" s="19">
        <v>28</v>
      </c>
      <c r="C492" s="29" t="s">
        <v>238</v>
      </c>
      <c r="D492" s="21"/>
      <c r="E492" s="19"/>
      <c r="F492" s="22"/>
      <c r="G492" s="23"/>
      <c r="H492" s="24"/>
      <c r="I492" s="23"/>
      <c r="J492" s="23"/>
      <c r="K492" s="32"/>
      <c r="L492" s="33"/>
      <c r="M492" s="34"/>
      <c r="N492" s="35">
        <f t="shared" si="268"/>
        <v>4943040</v>
      </c>
    </row>
    <row r="493" spans="1:14" s="18" customFormat="1" ht="24" hidden="1" customHeight="1" x14ac:dyDescent="0.3">
      <c r="A493" s="19"/>
      <c r="B493" s="19"/>
      <c r="C493" s="29" t="s">
        <v>155</v>
      </c>
      <c r="D493" s="37"/>
      <c r="E493" s="19">
        <v>14</v>
      </c>
      <c r="F493" s="22">
        <v>42</v>
      </c>
      <c r="G493" s="23">
        <f>550+2200-700+980</f>
        <v>3030</v>
      </c>
      <c r="H493" s="24">
        <f t="shared" ref="H493" si="279">F493*G493</f>
        <v>127260</v>
      </c>
      <c r="I493" s="23">
        <v>0</v>
      </c>
      <c r="J493" s="23">
        <f t="shared" ref="J493" si="280">SUM(H493:I493)</f>
        <v>127260</v>
      </c>
      <c r="K493" s="32"/>
      <c r="L493" s="33"/>
      <c r="M493" s="34"/>
      <c r="N493" s="35">
        <f t="shared" si="268"/>
        <v>5070300</v>
      </c>
    </row>
    <row r="494" spans="1:14" s="18" customFormat="1" ht="24" hidden="1" customHeight="1" x14ac:dyDescent="0.3">
      <c r="A494" s="19"/>
      <c r="B494" s="19">
        <v>28</v>
      </c>
      <c r="C494" s="39" t="s">
        <v>233</v>
      </c>
      <c r="D494" s="37"/>
      <c r="E494" s="19"/>
      <c r="F494" s="22"/>
      <c r="G494" s="23"/>
      <c r="H494" s="24"/>
      <c r="I494" s="23"/>
      <c r="J494" s="47"/>
      <c r="K494" s="32"/>
      <c r="L494" s="33"/>
      <c r="M494" s="34"/>
      <c r="N494" s="35">
        <f t="shared" si="268"/>
        <v>5070300</v>
      </c>
    </row>
    <row r="495" spans="1:14" s="18" customFormat="1" ht="24" hidden="1" customHeight="1" x14ac:dyDescent="0.3">
      <c r="A495" s="19"/>
      <c r="B495" s="19"/>
      <c r="C495" s="39" t="s">
        <v>234</v>
      </c>
      <c r="D495" s="21"/>
      <c r="E495" s="19">
        <v>2</v>
      </c>
      <c r="F495" s="22">
        <v>15.4</v>
      </c>
      <c r="G495" s="23">
        <f>550+800+980</f>
        <v>2330</v>
      </c>
      <c r="H495" s="24">
        <f t="shared" ref="H495:H496" si="281">F495*G495</f>
        <v>35882</v>
      </c>
      <c r="I495" s="23">
        <v>0</v>
      </c>
      <c r="J495" s="23">
        <f t="shared" ref="J495:J496" si="282">SUM(H495:I495)</f>
        <v>35882</v>
      </c>
      <c r="K495" s="32"/>
      <c r="L495" s="33"/>
      <c r="M495" s="34"/>
      <c r="N495" s="35">
        <f t="shared" si="268"/>
        <v>5106182</v>
      </c>
    </row>
    <row r="496" spans="1:14" s="18" customFormat="1" ht="24" hidden="1" customHeight="1" x14ac:dyDescent="0.3">
      <c r="A496" s="19"/>
      <c r="B496" s="19"/>
      <c r="C496" s="29" t="s">
        <v>115</v>
      </c>
      <c r="D496" s="21"/>
      <c r="E496" s="19">
        <v>2</v>
      </c>
      <c r="F496" s="22">
        <v>15.4</v>
      </c>
      <c r="G496" s="23">
        <f>550+550+980</f>
        <v>2080</v>
      </c>
      <c r="H496" s="24">
        <f t="shared" si="281"/>
        <v>32032</v>
      </c>
      <c r="I496" s="23">
        <v>0</v>
      </c>
      <c r="J496" s="23">
        <f t="shared" si="282"/>
        <v>32032</v>
      </c>
      <c r="K496" s="32"/>
      <c r="L496" s="33"/>
      <c r="M496" s="34"/>
      <c r="N496" s="35">
        <f t="shared" si="268"/>
        <v>5138214</v>
      </c>
    </row>
    <row r="497" spans="1:14" s="18" customFormat="1" ht="24" hidden="1" customHeight="1" x14ac:dyDescent="0.3">
      <c r="A497" s="19">
        <v>3</v>
      </c>
      <c r="B497" s="19">
        <v>4</v>
      </c>
      <c r="C497" s="29" t="s">
        <v>239</v>
      </c>
      <c r="D497" s="21"/>
      <c r="E497" s="19"/>
      <c r="F497" s="22"/>
      <c r="G497" s="23"/>
      <c r="H497" s="24"/>
      <c r="I497" s="23"/>
      <c r="J497" s="23"/>
      <c r="K497" s="32"/>
      <c r="L497" s="33"/>
      <c r="M497" s="34"/>
      <c r="N497" s="35">
        <f t="shared" si="268"/>
        <v>5138214</v>
      </c>
    </row>
    <row r="498" spans="1:14" s="18" customFormat="1" ht="24" hidden="1" customHeight="1" x14ac:dyDescent="0.3">
      <c r="A498" s="19"/>
      <c r="B498" s="19"/>
      <c r="C498" s="36" t="s">
        <v>21</v>
      </c>
      <c r="D498" s="21"/>
      <c r="E498" s="19">
        <v>336</v>
      </c>
      <c r="F498" s="22">
        <v>6524.3</v>
      </c>
      <c r="G498" s="23">
        <f>2200+550+1070+250+330</f>
        <v>4400</v>
      </c>
      <c r="H498" s="24">
        <f t="shared" ref="H498" si="283">F498*G498</f>
        <v>28706920</v>
      </c>
      <c r="I498" s="23">
        <v>0</v>
      </c>
      <c r="J498" s="23">
        <f t="shared" ref="J498" si="284">SUM(H498:I498)</f>
        <v>28706920</v>
      </c>
      <c r="K498" s="32"/>
      <c r="L498" s="33"/>
      <c r="M498" s="34"/>
      <c r="N498" s="35">
        <f t="shared" si="268"/>
        <v>33845134</v>
      </c>
    </row>
    <row r="499" spans="1:14" s="18" customFormat="1" ht="24" hidden="1" customHeight="1" x14ac:dyDescent="0.3">
      <c r="A499" s="19"/>
      <c r="B499" s="19">
        <v>4</v>
      </c>
      <c r="C499" s="29" t="s">
        <v>240</v>
      </c>
      <c r="D499" s="21"/>
      <c r="E499" s="19"/>
      <c r="F499" s="22"/>
      <c r="G499" s="23"/>
      <c r="H499" s="24"/>
      <c r="I499" s="23"/>
      <c r="J499" s="23"/>
      <c r="K499" s="32"/>
      <c r="L499" s="33"/>
      <c r="M499" s="34"/>
      <c r="N499" s="35">
        <f t="shared" si="268"/>
        <v>33845134</v>
      </c>
    </row>
    <row r="500" spans="1:14" s="18" customFormat="1" ht="24" hidden="1" customHeight="1" x14ac:dyDescent="0.3">
      <c r="A500" s="19"/>
      <c r="B500" s="19"/>
      <c r="C500" s="36" t="s">
        <v>241</v>
      </c>
      <c r="D500" s="21"/>
      <c r="E500" s="19">
        <v>57</v>
      </c>
      <c r="F500" s="22">
        <v>686.1</v>
      </c>
      <c r="G500" s="23">
        <f>900+1250+980+250</f>
        <v>3380</v>
      </c>
      <c r="H500" s="24">
        <f t="shared" ref="H500:H501" si="285">F500*G500</f>
        <v>2319018</v>
      </c>
      <c r="I500" s="23">
        <v>0</v>
      </c>
      <c r="J500" s="23">
        <f t="shared" ref="J500:J501" si="286">SUM(H500:I500)</f>
        <v>2319018</v>
      </c>
      <c r="K500" s="32"/>
      <c r="L500" s="33"/>
      <c r="M500" s="34"/>
      <c r="N500" s="35">
        <f t="shared" si="268"/>
        <v>36164152</v>
      </c>
    </row>
    <row r="501" spans="1:14" s="18" customFormat="1" ht="24" hidden="1" customHeight="1" x14ac:dyDescent="0.3">
      <c r="A501" s="19"/>
      <c r="B501" s="19"/>
      <c r="C501" s="36" t="s">
        <v>242</v>
      </c>
      <c r="D501" s="37"/>
      <c r="E501" s="19">
        <v>3</v>
      </c>
      <c r="F501" s="22">
        <v>9.9</v>
      </c>
      <c r="G501" s="23">
        <f>900+500+1250+980+250</f>
        <v>3880</v>
      </c>
      <c r="H501" s="24">
        <f t="shared" si="285"/>
        <v>38412</v>
      </c>
      <c r="I501" s="23">
        <v>0</v>
      </c>
      <c r="J501" s="23">
        <f t="shared" si="286"/>
        <v>38412</v>
      </c>
      <c r="K501" s="32"/>
      <c r="L501" s="33"/>
      <c r="M501" s="34"/>
      <c r="N501" s="35">
        <f t="shared" si="268"/>
        <v>36202564</v>
      </c>
    </row>
    <row r="502" spans="1:14" s="18" customFormat="1" ht="24" hidden="1" customHeight="1" x14ac:dyDescent="0.3">
      <c r="A502" s="19"/>
      <c r="B502" s="19">
        <v>4</v>
      </c>
      <c r="C502" s="39" t="s">
        <v>243</v>
      </c>
      <c r="D502" s="21"/>
      <c r="E502" s="19"/>
      <c r="F502" s="22"/>
      <c r="G502" s="23"/>
      <c r="H502" s="24"/>
      <c r="I502" s="23"/>
      <c r="J502" s="23"/>
      <c r="K502" s="32"/>
      <c r="L502" s="33"/>
      <c r="M502" s="34"/>
      <c r="N502" s="35">
        <f t="shared" si="268"/>
        <v>36202564</v>
      </c>
    </row>
    <row r="503" spans="1:14" s="18" customFormat="1" ht="24" hidden="1" customHeight="1" x14ac:dyDescent="0.3">
      <c r="A503" s="19"/>
      <c r="B503" s="19"/>
      <c r="C503" s="36" t="s">
        <v>61</v>
      </c>
      <c r="D503" s="37"/>
      <c r="E503" s="19">
        <v>330</v>
      </c>
      <c r="F503" s="22">
        <v>3881.2</v>
      </c>
      <c r="G503" s="23">
        <f>2200+2200+550+1070+1070+250+250+330+330</f>
        <v>8250</v>
      </c>
      <c r="H503" s="24">
        <f t="shared" ref="H503:H504" si="287">F503*G503</f>
        <v>32019900</v>
      </c>
      <c r="I503" s="23">
        <v>0</v>
      </c>
      <c r="J503" s="23">
        <f t="shared" ref="J503:J504" si="288">SUM(H503:I503)</f>
        <v>32019900</v>
      </c>
      <c r="K503" s="32"/>
      <c r="L503" s="33"/>
      <c r="M503" s="34"/>
      <c r="N503" s="35">
        <f t="shared" si="268"/>
        <v>68222464</v>
      </c>
    </row>
    <row r="504" spans="1:14" s="18" customFormat="1" ht="24" hidden="1" customHeight="1" x14ac:dyDescent="0.3">
      <c r="A504" s="19"/>
      <c r="B504" s="19"/>
      <c r="C504" s="36" t="s">
        <v>112</v>
      </c>
      <c r="D504" s="21"/>
      <c r="E504" s="19">
        <v>54</v>
      </c>
      <c r="F504" s="22">
        <v>406.3</v>
      </c>
      <c r="G504" s="23">
        <f>2500+900+980+250+280</f>
        <v>4910</v>
      </c>
      <c r="H504" s="24">
        <f t="shared" si="287"/>
        <v>1994933</v>
      </c>
      <c r="I504" s="23">
        <v>0</v>
      </c>
      <c r="J504" s="23">
        <f t="shared" si="288"/>
        <v>1994933</v>
      </c>
      <c r="K504" s="32"/>
      <c r="L504" s="33"/>
      <c r="M504" s="34"/>
      <c r="N504" s="35">
        <f t="shared" si="268"/>
        <v>70217397</v>
      </c>
    </row>
    <row r="505" spans="1:14" s="18" customFormat="1" ht="24" hidden="1" customHeight="1" x14ac:dyDescent="0.3">
      <c r="A505" s="19"/>
      <c r="B505" s="19">
        <v>4</v>
      </c>
      <c r="C505" s="29" t="s">
        <v>172</v>
      </c>
      <c r="D505" s="21"/>
      <c r="E505" s="19"/>
      <c r="F505" s="22"/>
      <c r="G505" s="23"/>
      <c r="H505" s="24"/>
      <c r="I505" s="23"/>
      <c r="J505" s="23"/>
      <c r="K505" s="32"/>
      <c r="L505" s="33"/>
      <c r="M505" s="34"/>
      <c r="N505" s="38">
        <f t="shared" si="268"/>
        <v>70217397</v>
      </c>
    </row>
    <row r="506" spans="1:14" s="18" customFormat="1" ht="24" hidden="1" customHeight="1" x14ac:dyDescent="0.3">
      <c r="A506" s="19"/>
      <c r="B506" s="19"/>
      <c r="C506" s="36" t="s">
        <v>244</v>
      </c>
      <c r="D506" s="21"/>
      <c r="E506" s="19">
        <v>6</v>
      </c>
      <c r="F506" s="22">
        <v>126.1</v>
      </c>
      <c r="G506" s="23">
        <f>2200+900+1200+300+390</f>
        <v>4990</v>
      </c>
      <c r="H506" s="24">
        <f t="shared" ref="H506" si="289">F506*G506</f>
        <v>629239</v>
      </c>
      <c r="I506" s="23">
        <v>0</v>
      </c>
      <c r="J506" s="23">
        <f t="shared" ref="J506" si="290">SUM(H506:I506)</f>
        <v>629239</v>
      </c>
      <c r="K506" s="32"/>
      <c r="L506" s="33"/>
      <c r="M506" s="34"/>
      <c r="N506" s="38">
        <f t="shared" si="268"/>
        <v>70846636</v>
      </c>
    </row>
    <row r="507" spans="1:14" s="18" customFormat="1" ht="24" hidden="1" customHeight="1" x14ac:dyDescent="0.3">
      <c r="A507" s="19"/>
      <c r="B507" s="19"/>
      <c r="C507" s="39"/>
      <c r="D507" s="21"/>
      <c r="E507" s="19"/>
      <c r="F507" s="22"/>
      <c r="G507" s="23"/>
      <c r="H507" s="24"/>
      <c r="I507" s="23"/>
      <c r="J507" s="23"/>
      <c r="K507" s="32"/>
      <c r="L507" s="33"/>
      <c r="M507" s="34"/>
      <c r="N507" s="38">
        <f t="shared" si="268"/>
        <v>70846636</v>
      </c>
    </row>
    <row r="508" spans="1:14" s="2" customFormat="1" ht="27" hidden="1" customHeight="1" thickBot="1" x14ac:dyDescent="0.35">
      <c r="A508" s="1"/>
      <c r="B508" s="1"/>
      <c r="C508" s="1"/>
      <c r="E508" s="86" t="s">
        <v>0</v>
      </c>
      <c r="F508" s="86"/>
      <c r="G508" s="86"/>
      <c r="H508" s="86"/>
      <c r="I508" s="86"/>
      <c r="J508" s="86"/>
      <c r="K508" s="1"/>
      <c r="L508" s="3"/>
      <c r="M508" s="3"/>
      <c r="N508" s="1"/>
    </row>
    <row r="509" spans="1:14" s="2" customFormat="1" ht="24" hidden="1" customHeight="1" thickTop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3"/>
      <c r="M509" s="3"/>
      <c r="N509" s="1"/>
    </row>
    <row r="510" spans="1:14" s="2" customFormat="1" ht="24" hidden="1" customHeight="1" thickBot="1" x14ac:dyDescent="0.35">
      <c r="A510" s="2" t="s">
        <v>1</v>
      </c>
      <c r="C510" s="4"/>
      <c r="D510" s="4"/>
      <c r="E510" s="5"/>
      <c r="F510" s="6"/>
      <c r="G510" s="7"/>
      <c r="H510" s="7"/>
      <c r="I510" s="7"/>
      <c r="J510" s="8"/>
      <c r="K510" s="9"/>
      <c r="L510" s="10"/>
      <c r="M510" s="11"/>
      <c r="N510" s="12" t="s">
        <v>2</v>
      </c>
    </row>
    <row r="511" spans="1:14" s="18" customFormat="1" ht="24" hidden="1" customHeight="1" thickTop="1" thickBot="1" x14ac:dyDescent="0.35">
      <c r="A511" s="13" t="s">
        <v>3</v>
      </c>
      <c r="B511" s="13" t="s">
        <v>4</v>
      </c>
      <c r="C511" s="87" t="s">
        <v>5</v>
      </c>
      <c r="D511" s="88"/>
      <c r="E511" s="13" t="s">
        <v>6</v>
      </c>
      <c r="F511" s="14" t="s">
        <v>7</v>
      </c>
      <c r="G511" s="15" t="s">
        <v>8</v>
      </c>
      <c r="H511" s="15" t="s">
        <v>9</v>
      </c>
      <c r="I511" s="15" t="s">
        <v>10</v>
      </c>
      <c r="J511" s="15" t="s">
        <v>11</v>
      </c>
      <c r="K511" s="16" t="s">
        <v>12</v>
      </c>
      <c r="L511" s="89" t="s">
        <v>13</v>
      </c>
      <c r="M511" s="90"/>
      <c r="N511" s="17" t="s">
        <v>14</v>
      </c>
    </row>
    <row r="512" spans="1:14" s="18" customFormat="1" ht="24" hidden="1" customHeight="1" thickTop="1" x14ac:dyDescent="0.3">
      <c r="A512" s="41"/>
      <c r="B512" s="41"/>
      <c r="C512" s="70" t="s">
        <v>41</v>
      </c>
      <c r="D512" s="40"/>
      <c r="E512" s="41"/>
      <c r="F512" s="42"/>
      <c r="G512" s="43"/>
      <c r="H512" s="44"/>
      <c r="I512" s="43"/>
      <c r="J512" s="43"/>
      <c r="K512" s="25"/>
      <c r="L512" s="26"/>
      <c r="M512" s="27"/>
      <c r="N512" s="28">
        <f>N507</f>
        <v>70846636</v>
      </c>
    </row>
    <row r="513" spans="1:14" s="18" customFormat="1" ht="24" hidden="1" customHeight="1" x14ac:dyDescent="0.3">
      <c r="A513" s="19">
        <v>3</v>
      </c>
      <c r="B513" s="19">
        <v>4</v>
      </c>
      <c r="C513" s="29" t="s">
        <v>245</v>
      </c>
      <c r="D513" s="21"/>
      <c r="E513" s="19"/>
      <c r="F513" s="22"/>
      <c r="G513" s="23"/>
      <c r="H513" s="24"/>
      <c r="I513" s="23"/>
      <c r="J513" s="23"/>
      <c r="K513" s="32"/>
      <c r="L513" s="33"/>
      <c r="M513" s="34"/>
      <c r="N513" s="35">
        <f>N512+J513+K513</f>
        <v>70846636</v>
      </c>
    </row>
    <row r="514" spans="1:14" s="18" customFormat="1" ht="24" hidden="1" customHeight="1" x14ac:dyDescent="0.3">
      <c r="A514" s="19"/>
      <c r="B514" s="19"/>
      <c r="C514" s="39" t="s">
        <v>105</v>
      </c>
      <c r="D514" s="21"/>
      <c r="E514" s="19"/>
      <c r="F514" s="22"/>
      <c r="G514" s="23"/>
      <c r="H514" s="24">
        <v>140000</v>
      </c>
      <c r="I514" s="23">
        <f>H514*0.1</f>
        <v>14000</v>
      </c>
      <c r="J514" s="23">
        <f>SUM(H514:I514)</f>
        <v>154000</v>
      </c>
      <c r="K514" s="32"/>
      <c r="L514" s="33"/>
      <c r="M514" s="34"/>
      <c r="N514" s="35">
        <f>N513+J514+K514</f>
        <v>71000636</v>
      </c>
    </row>
    <row r="515" spans="1:14" s="18" customFormat="1" ht="24" hidden="1" customHeight="1" x14ac:dyDescent="0.3">
      <c r="A515" s="19"/>
      <c r="B515" s="19">
        <v>5</v>
      </c>
      <c r="C515" s="29" t="s">
        <v>240</v>
      </c>
      <c r="D515" s="21"/>
      <c r="E515" s="19"/>
      <c r="F515" s="22"/>
      <c r="G515" s="23"/>
      <c r="H515" s="24"/>
      <c r="I515" s="23"/>
      <c r="J515" s="23"/>
      <c r="K515" s="32"/>
      <c r="L515" s="33"/>
      <c r="M515" s="34"/>
      <c r="N515" s="35">
        <f t="shared" ref="N515:N546" si="291">N514+J515+K515</f>
        <v>71000636</v>
      </c>
    </row>
    <row r="516" spans="1:14" s="18" customFormat="1" ht="24" hidden="1" customHeight="1" x14ac:dyDescent="0.3">
      <c r="A516" s="19"/>
      <c r="B516" s="19"/>
      <c r="C516" s="36" t="s">
        <v>241</v>
      </c>
      <c r="D516" s="21"/>
      <c r="E516" s="19">
        <v>2</v>
      </c>
      <c r="F516" s="22">
        <v>9.3000000000000007</v>
      </c>
      <c r="G516" s="23">
        <f>900+1250+980+250</f>
        <v>3380</v>
      </c>
      <c r="H516" s="24">
        <f t="shared" ref="H516:H518" si="292">F516*G516</f>
        <v>31434.000000000004</v>
      </c>
      <c r="I516" s="23">
        <v>0</v>
      </c>
      <c r="J516" s="23">
        <f t="shared" ref="J516:J517" si="293">SUM(H516:I516)</f>
        <v>31434.000000000004</v>
      </c>
      <c r="K516" s="32"/>
      <c r="L516" s="33"/>
      <c r="M516" s="34"/>
      <c r="N516" s="35">
        <f t="shared" si="291"/>
        <v>71032070</v>
      </c>
    </row>
    <row r="517" spans="1:14" s="18" customFormat="1" ht="24" hidden="1" customHeight="1" x14ac:dyDescent="0.3">
      <c r="A517" s="19"/>
      <c r="B517" s="19"/>
      <c r="C517" s="36" t="s">
        <v>242</v>
      </c>
      <c r="D517" s="37"/>
      <c r="E517" s="19">
        <v>2</v>
      </c>
      <c r="F517" s="22">
        <v>6</v>
      </c>
      <c r="G517" s="23">
        <f>900+500+1250+980+250</f>
        <v>3880</v>
      </c>
      <c r="H517" s="24">
        <f t="shared" si="292"/>
        <v>23280</v>
      </c>
      <c r="I517" s="23">
        <v>0</v>
      </c>
      <c r="J517" s="23">
        <f t="shared" si="293"/>
        <v>23280</v>
      </c>
      <c r="K517" s="32"/>
      <c r="L517" s="33"/>
      <c r="M517" s="34"/>
      <c r="N517" s="35">
        <f t="shared" si="291"/>
        <v>71055350</v>
      </c>
    </row>
    <row r="518" spans="1:14" s="18" customFormat="1" ht="24" hidden="1" customHeight="1" x14ac:dyDescent="0.3">
      <c r="A518" s="19"/>
      <c r="B518" s="19">
        <v>6</v>
      </c>
      <c r="C518" s="39" t="s">
        <v>89</v>
      </c>
      <c r="D518" s="21"/>
      <c r="E518" s="19">
        <v>3</v>
      </c>
      <c r="F518" s="22">
        <v>9</v>
      </c>
      <c r="G518" s="23">
        <f>550+55</f>
        <v>605</v>
      </c>
      <c r="H518" s="24">
        <f t="shared" si="292"/>
        <v>5445</v>
      </c>
      <c r="I518" s="23">
        <v>0</v>
      </c>
      <c r="J518" s="23">
        <f t="shared" ref="J518" si="294">SUM(H518:I518)</f>
        <v>5445</v>
      </c>
      <c r="K518" s="32"/>
      <c r="L518" s="33"/>
      <c r="M518" s="34"/>
      <c r="N518" s="35">
        <f t="shared" si="291"/>
        <v>71060795</v>
      </c>
    </row>
    <row r="519" spans="1:14" s="18" customFormat="1" ht="24" hidden="1" customHeight="1" x14ac:dyDescent="0.3">
      <c r="A519" s="19"/>
      <c r="B519" s="19">
        <v>6</v>
      </c>
      <c r="C519" s="29" t="s">
        <v>239</v>
      </c>
      <c r="D519" s="37"/>
      <c r="E519" s="19"/>
      <c r="F519" s="22"/>
      <c r="G519" s="23"/>
      <c r="H519" s="24"/>
      <c r="I519" s="23"/>
      <c r="J519" s="23"/>
      <c r="K519" s="32"/>
      <c r="L519" s="33"/>
      <c r="M519" s="34"/>
      <c r="N519" s="35">
        <f t="shared" si="291"/>
        <v>71060795</v>
      </c>
    </row>
    <row r="520" spans="1:14" s="18" customFormat="1" ht="24" hidden="1" customHeight="1" x14ac:dyDescent="0.3">
      <c r="A520" s="19"/>
      <c r="B520" s="19"/>
      <c r="C520" s="36" t="s">
        <v>48</v>
      </c>
      <c r="D520" s="21"/>
      <c r="E520" s="19">
        <v>4</v>
      </c>
      <c r="F520" s="22">
        <v>35.299999999999997</v>
      </c>
      <c r="G520" s="23">
        <f>2200+550+1070+250</f>
        <v>4070</v>
      </c>
      <c r="H520" s="24">
        <f t="shared" ref="H520" si="295">F520*G520</f>
        <v>143671</v>
      </c>
      <c r="I520" s="23">
        <v>0</v>
      </c>
      <c r="J520" s="23">
        <f t="shared" ref="J520" si="296">SUM(H520:I520)</f>
        <v>143671</v>
      </c>
      <c r="K520" s="32"/>
      <c r="L520" s="33"/>
      <c r="M520" s="34"/>
      <c r="N520" s="35">
        <f t="shared" si="291"/>
        <v>71204466</v>
      </c>
    </row>
    <row r="521" spans="1:14" s="18" customFormat="1" ht="24" hidden="1" customHeight="1" x14ac:dyDescent="0.3">
      <c r="A521" s="19"/>
      <c r="B521" s="19">
        <v>6</v>
      </c>
      <c r="C521" s="29" t="s">
        <v>150</v>
      </c>
      <c r="D521" s="21"/>
      <c r="E521" s="19"/>
      <c r="F521" s="22"/>
      <c r="G521" s="23"/>
      <c r="H521" s="24"/>
      <c r="I521" s="23"/>
      <c r="J521" s="23"/>
      <c r="K521" s="32"/>
      <c r="L521" s="33"/>
      <c r="M521" s="34"/>
      <c r="N521" s="35">
        <f t="shared" si="291"/>
        <v>71204466</v>
      </c>
    </row>
    <row r="522" spans="1:14" s="18" customFormat="1" ht="24" hidden="1" customHeight="1" x14ac:dyDescent="0.3">
      <c r="A522" s="19"/>
      <c r="B522" s="19"/>
      <c r="C522" s="39" t="s">
        <v>115</v>
      </c>
      <c r="D522" s="21"/>
      <c r="E522" s="19">
        <v>10</v>
      </c>
      <c r="F522" s="22">
        <v>30</v>
      </c>
      <c r="G522" s="23">
        <f>550+550+980</f>
        <v>2080</v>
      </c>
      <c r="H522" s="24">
        <f t="shared" ref="H522" si="297">F522*G522</f>
        <v>62400</v>
      </c>
      <c r="I522" s="23">
        <v>0</v>
      </c>
      <c r="J522" s="23">
        <f t="shared" ref="J522" si="298">SUM(H522:I522)</f>
        <v>62400</v>
      </c>
      <c r="K522" s="32"/>
      <c r="L522" s="33"/>
      <c r="M522" s="34"/>
      <c r="N522" s="35">
        <f t="shared" si="291"/>
        <v>71266866</v>
      </c>
    </row>
    <row r="523" spans="1:14" s="18" customFormat="1" ht="24" hidden="1" customHeight="1" x14ac:dyDescent="0.3">
      <c r="A523" s="19"/>
      <c r="B523" s="19">
        <v>6</v>
      </c>
      <c r="C523" s="39" t="s">
        <v>246</v>
      </c>
      <c r="D523" s="21"/>
      <c r="E523" s="19"/>
      <c r="F523" s="22"/>
      <c r="G523" s="23"/>
      <c r="H523" s="24"/>
      <c r="I523" s="23"/>
      <c r="J523" s="23"/>
      <c r="K523" s="32"/>
      <c r="L523" s="33"/>
      <c r="M523" s="34"/>
      <c r="N523" s="35">
        <f t="shared" si="291"/>
        <v>71266866</v>
      </c>
    </row>
    <row r="524" spans="1:14" s="18" customFormat="1" ht="24" hidden="1" customHeight="1" x14ac:dyDescent="0.3">
      <c r="A524" s="19"/>
      <c r="B524" s="19"/>
      <c r="C524" s="36" t="s">
        <v>87</v>
      </c>
      <c r="D524" s="21"/>
      <c r="E524" s="19">
        <v>22</v>
      </c>
      <c r="F524" s="22">
        <v>348.7</v>
      </c>
      <c r="G524" s="23">
        <f>900+1000+1070+250</f>
        <v>3220</v>
      </c>
      <c r="H524" s="24">
        <f t="shared" ref="H524:H525" si="299">F524*G524</f>
        <v>1122814</v>
      </c>
      <c r="I524" s="23">
        <v>0</v>
      </c>
      <c r="J524" s="23">
        <f t="shared" ref="J524:J525" si="300">SUM(H524:I524)</f>
        <v>1122814</v>
      </c>
      <c r="K524" s="32"/>
      <c r="L524" s="33"/>
      <c r="M524" s="34"/>
      <c r="N524" s="35">
        <f t="shared" si="291"/>
        <v>72389680</v>
      </c>
    </row>
    <row r="525" spans="1:14" s="18" customFormat="1" ht="24" hidden="1" customHeight="1" x14ac:dyDescent="0.3">
      <c r="A525" s="19"/>
      <c r="B525" s="19"/>
      <c r="C525" s="36" t="s">
        <v>48</v>
      </c>
      <c r="D525" s="21"/>
      <c r="E525" s="19">
        <v>40</v>
      </c>
      <c r="F525" s="22">
        <v>388.9</v>
      </c>
      <c r="G525" s="23">
        <f>2200+550+1070+250</f>
        <v>4070</v>
      </c>
      <c r="H525" s="24">
        <f t="shared" si="299"/>
        <v>1582823</v>
      </c>
      <c r="I525" s="23">
        <v>0</v>
      </c>
      <c r="J525" s="23">
        <f t="shared" si="300"/>
        <v>1582823</v>
      </c>
      <c r="K525" s="32"/>
      <c r="L525" s="33"/>
      <c r="M525" s="34"/>
      <c r="N525" s="35">
        <f t="shared" si="291"/>
        <v>73972503</v>
      </c>
    </row>
    <row r="526" spans="1:14" s="18" customFormat="1" ht="24" hidden="1" customHeight="1" x14ac:dyDescent="0.3">
      <c r="A526" s="19"/>
      <c r="B526" s="19">
        <v>6</v>
      </c>
      <c r="C526" s="39" t="s">
        <v>243</v>
      </c>
      <c r="D526" s="21"/>
      <c r="E526" s="19"/>
      <c r="F526" s="22"/>
      <c r="G526" s="23"/>
      <c r="H526" s="24"/>
      <c r="I526" s="23"/>
      <c r="J526" s="23"/>
      <c r="K526" s="32"/>
      <c r="L526" s="33"/>
      <c r="M526" s="34"/>
      <c r="N526" s="35">
        <f t="shared" si="291"/>
        <v>73972503</v>
      </c>
    </row>
    <row r="527" spans="1:14" s="18" customFormat="1" ht="24" hidden="1" customHeight="1" x14ac:dyDescent="0.3">
      <c r="A527" s="19"/>
      <c r="B527" s="19"/>
      <c r="C527" s="36" t="s">
        <v>112</v>
      </c>
      <c r="D527" s="21"/>
      <c r="E527" s="19">
        <v>4</v>
      </c>
      <c r="F527" s="22">
        <v>15.8</v>
      </c>
      <c r="G527" s="23">
        <f>2500+900+980+250+280</f>
        <v>4910</v>
      </c>
      <c r="H527" s="24">
        <f t="shared" ref="H527" si="301">F527*G527</f>
        <v>77578</v>
      </c>
      <c r="I527" s="23">
        <v>0</v>
      </c>
      <c r="J527" s="23">
        <f t="shared" ref="J527" si="302">SUM(H527:I527)</f>
        <v>77578</v>
      </c>
      <c r="K527" s="32"/>
      <c r="L527" s="33"/>
      <c r="M527" s="34"/>
      <c r="N527" s="35">
        <f t="shared" si="291"/>
        <v>74050081</v>
      </c>
    </row>
    <row r="528" spans="1:14" s="18" customFormat="1" ht="24" hidden="1" customHeight="1" x14ac:dyDescent="0.3">
      <c r="A528" s="19"/>
      <c r="B528" s="19">
        <v>6</v>
      </c>
      <c r="C528" s="39" t="s">
        <v>184</v>
      </c>
      <c r="D528" s="21"/>
      <c r="E528" s="19"/>
      <c r="F528" s="22"/>
      <c r="G528" s="23"/>
      <c r="H528" s="24"/>
      <c r="I528" s="23"/>
      <c r="J528" s="23"/>
      <c r="K528" s="32"/>
      <c r="L528" s="33"/>
      <c r="M528" s="34"/>
      <c r="N528" s="35">
        <f t="shared" si="291"/>
        <v>74050081</v>
      </c>
    </row>
    <row r="529" spans="1:14" s="18" customFormat="1" ht="24" hidden="1" customHeight="1" x14ac:dyDescent="0.3">
      <c r="A529" s="19"/>
      <c r="B529" s="19"/>
      <c r="C529" s="36" t="s">
        <v>226</v>
      </c>
      <c r="D529" s="21"/>
      <c r="E529" s="19">
        <v>2</v>
      </c>
      <c r="F529" s="22">
        <v>23.3</v>
      </c>
      <c r="G529" s="23">
        <f>2200+2200+1200+1070+1070+250+250+330+330</f>
        <v>8900</v>
      </c>
      <c r="H529" s="24">
        <f t="shared" ref="H529" si="303">F529*G529</f>
        <v>207370</v>
      </c>
      <c r="I529" s="23">
        <v>0</v>
      </c>
      <c r="J529" s="23">
        <f t="shared" ref="J529" si="304">SUM(H529:I529)</f>
        <v>207370</v>
      </c>
      <c r="K529" s="32"/>
      <c r="L529" s="33"/>
      <c r="M529" s="34"/>
      <c r="N529" s="35">
        <f t="shared" si="291"/>
        <v>74257451</v>
      </c>
    </row>
    <row r="530" spans="1:14" s="18" customFormat="1" ht="24" hidden="1" customHeight="1" x14ac:dyDescent="0.3">
      <c r="A530" s="19"/>
      <c r="B530" s="19">
        <v>6</v>
      </c>
      <c r="C530" s="39" t="s">
        <v>247</v>
      </c>
      <c r="D530" s="21"/>
      <c r="E530" s="19"/>
      <c r="F530" s="22"/>
      <c r="G530" s="23"/>
      <c r="H530" s="24"/>
      <c r="I530" s="23"/>
      <c r="J530" s="23"/>
      <c r="K530" s="32"/>
      <c r="L530" s="33"/>
      <c r="M530" s="34"/>
      <c r="N530" s="35">
        <f t="shared" si="291"/>
        <v>74257451</v>
      </c>
    </row>
    <row r="531" spans="1:14" s="18" customFormat="1" ht="24" hidden="1" customHeight="1" x14ac:dyDescent="0.3">
      <c r="A531" s="19"/>
      <c r="B531" s="19"/>
      <c r="C531" s="36" t="s">
        <v>21</v>
      </c>
      <c r="D531" s="37" t="s">
        <v>248</v>
      </c>
      <c r="E531" s="19">
        <v>94</v>
      </c>
      <c r="F531" s="22">
        <v>689.3</v>
      </c>
      <c r="G531" s="23">
        <v>5720</v>
      </c>
      <c r="H531" s="24">
        <f t="shared" ref="H531" si="305">F531*G531</f>
        <v>3942795.9999999995</v>
      </c>
      <c r="I531" s="23">
        <v>0</v>
      </c>
      <c r="J531" s="23">
        <f t="shared" ref="J531" si="306">SUM(H531:I531)</f>
        <v>3942795.9999999995</v>
      </c>
      <c r="K531" s="32"/>
      <c r="L531" s="33"/>
      <c r="M531" s="34"/>
      <c r="N531" s="35">
        <f t="shared" si="291"/>
        <v>78200247</v>
      </c>
    </row>
    <row r="532" spans="1:14" s="18" customFormat="1" ht="24" hidden="1" customHeight="1" x14ac:dyDescent="0.3">
      <c r="A532" s="19"/>
      <c r="B532" s="19">
        <v>6</v>
      </c>
      <c r="C532" s="29" t="s">
        <v>249</v>
      </c>
      <c r="D532" s="37"/>
      <c r="E532" s="19"/>
      <c r="F532" s="22"/>
      <c r="G532" s="23"/>
      <c r="H532" s="24"/>
      <c r="I532" s="23"/>
      <c r="J532" s="23"/>
      <c r="K532" s="32"/>
      <c r="L532" s="33"/>
      <c r="M532" s="34"/>
      <c r="N532" s="35">
        <f t="shared" si="291"/>
        <v>78200247</v>
      </c>
    </row>
    <row r="533" spans="1:14" s="18" customFormat="1" ht="24" hidden="1" customHeight="1" x14ac:dyDescent="0.3">
      <c r="A533" s="19"/>
      <c r="B533" s="19"/>
      <c r="C533" s="36" t="s">
        <v>21</v>
      </c>
      <c r="D533" s="37" t="s">
        <v>248</v>
      </c>
      <c r="E533" s="19">
        <v>53</v>
      </c>
      <c r="F533" s="22">
        <v>283.7</v>
      </c>
      <c r="G533" s="23">
        <v>5720</v>
      </c>
      <c r="H533" s="24">
        <f t="shared" ref="H533" si="307">F533*G533</f>
        <v>1622764</v>
      </c>
      <c r="I533" s="23">
        <v>0</v>
      </c>
      <c r="J533" s="23">
        <f t="shared" ref="J533" si="308">SUM(H533:I533)</f>
        <v>1622764</v>
      </c>
      <c r="K533" s="32"/>
      <c r="L533" s="33"/>
      <c r="M533" s="34"/>
      <c r="N533" s="35">
        <f t="shared" si="291"/>
        <v>79823011</v>
      </c>
    </row>
    <row r="534" spans="1:14" s="18" customFormat="1" ht="24" hidden="1" customHeight="1" x14ac:dyDescent="0.3">
      <c r="A534" s="19"/>
      <c r="B534" s="19">
        <v>6</v>
      </c>
      <c r="C534" s="29" t="s">
        <v>250</v>
      </c>
      <c r="D534" s="37"/>
      <c r="E534" s="19"/>
      <c r="F534" s="22"/>
      <c r="G534" s="23"/>
      <c r="H534" s="24"/>
      <c r="I534" s="23"/>
      <c r="J534" s="23"/>
      <c r="K534" s="32"/>
      <c r="L534" s="33"/>
      <c r="M534" s="34"/>
      <c r="N534" s="35">
        <f t="shared" si="291"/>
        <v>79823011</v>
      </c>
    </row>
    <row r="535" spans="1:14" s="18" customFormat="1" ht="24" hidden="1" customHeight="1" x14ac:dyDescent="0.3">
      <c r="A535" s="19"/>
      <c r="B535" s="19"/>
      <c r="C535" s="36" t="s">
        <v>21</v>
      </c>
      <c r="D535" s="37" t="s">
        <v>248</v>
      </c>
      <c r="E535" s="19">
        <v>41</v>
      </c>
      <c r="F535" s="22">
        <v>214.8</v>
      </c>
      <c r="G535" s="23">
        <v>5720</v>
      </c>
      <c r="H535" s="24">
        <f t="shared" ref="H535" si="309">F535*G535</f>
        <v>1228656</v>
      </c>
      <c r="I535" s="23">
        <v>0</v>
      </c>
      <c r="J535" s="23">
        <f t="shared" ref="J535" si="310">SUM(H535:I535)</f>
        <v>1228656</v>
      </c>
      <c r="K535" s="32"/>
      <c r="L535" s="33"/>
      <c r="M535" s="34"/>
      <c r="N535" s="35">
        <f t="shared" si="291"/>
        <v>81051667</v>
      </c>
    </row>
    <row r="536" spans="1:14" s="18" customFormat="1" ht="24" hidden="1" customHeight="1" x14ac:dyDescent="0.3">
      <c r="A536" s="19"/>
      <c r="B536" s="19">
        <v>7</v>
      </c>
      <c r="C536" s="29" t="s">
        <v>189</v>
      </c>
      <c r="D536" s="21"/>
      <c r="E536" s="19"/>
      <c r="F536" s="22"/>
      <c r="G536" s="23"/>
      <c r="H536" s="24"/>
      <c r="I536" s="23"/>
      <c r="J536" s="23"/>
      <c r="K536" s="32"/>
      <c r="L536" s="33"/>
      <c r="M536" s="34"/>
      <c r="N536" s="35">
        <f t="shared" si="291"/>
        <v>81051667</v>
      </c>
    </row>
    <row r="537" spans="1:14" s="18" customFormat="1" ht="24" hidden="1" customHeight="1" x14ac:dyDescent="0.3">
      <c r="A537" s="19"/>
      <c r="B537" s="19"/>
      <c r="C537" s="36" t="s">
        <v>21</v>
      </c>
      <c r="D537" s="21"/>
      <c r="E537" s="19">
        <v>105</v>
      </c>
      <c r="F537" s="22">
        <v>1014.8</v>
      </c>
      <c r="G537" s="23">
        <f>2200+550+1070+250+330</f>
        <v>4400</v>
      </c>
      <c r="H537" s="24">
        <f t="shared" ref="H537:H539" si="311">F537*G537</f>
        <v>4465120</v>
      </c>
      <c r="I537" s="23">
        <v>0</v>
      </c>
      <c r="J537" s="23">
        <f t="shared" ref="J537:J539" si="312">SUM(H537:I537)</f>
        <v>4465120</v>
      </c>
      <c r="K537" s="32"/>
      <c r="L537" s="33"/>
      <c r="M537" s="34"/>
      <c r="N537" s="35">
        <f t="shared" si="291"/>
        <v>85516787</v>
      </c>
    </row>
    <row r="538" spans="1:14" s="18" customFormat="1" ht="24" hidden="1" customHeight="1" x14ac:dyDescent="0.3">
      <c r="A538" s="19"/>
      <c r="B538" s="19"/>
      <c r="C538" s="29" t="s">
        <v>46</v>
      </c>
      <c r="D538" s="21"/>
      <c r="E538" s="19">
        <v>3</v>
      </c>
      <c r="F538" s="22">
        <v>19.7</v>
      </c>
      <c r="G538" s="23">
        <v>2100</v>
      </c>
      <c r="H538" s="24">
        <f t="shared" si="311"/>
        <v>41370</v>
      </c>
      <c r="I538" s="23">
        <v>0</v>
      </c>
      <c r="J538" s="23">
        <f t="shared" si="312"/>
        <v>41370</v>
      </c>
      <c r="K538" s="32"/>
      <c r="L538" s="33"/>
      <c r="M538" s="34"/>
      <c r="N538" s="35">
        <f t="shared" si="291"/>
        <v>85558157</v>
      </c>
    </row>
    <row r="539" spans="1:14" s="18" customFormat="1" ht="24" hidden="1" customHeight="1" x14ac:dyDescent="0.3">
      <c r="A539" s="19"/>
      <c r="B539" s="19"/>
      <c r="C539" s="29" t="s">
        <v>100</v>
      </c>
      <c r="D539" s="21"/>
      <c r="E539" s="19">
        <v>102</v>
      </c>
      <c r="F539" s="22">
        <v>396.3</v>
      </c>
      <c r="G539" s="23">
        <v>1400</v>
      </c>
      <c r="H539" s="24">
        <f t="shared" si="311"/>
        <v>554820</v>
      </c>
      <c r="I539" s="23">
        <v>0</v>
      </c>
      <c r="J539" s="23">
        <f t="shared" si="312"/>
        <v>554820</v>
      </c>
      <c r="K539" s="32"/>
      <c r="L539" s="33"/>
      <c r="M539" s="34"/>
      <c r="N539" s="35">
        <f t="shared" si="291"/>
        <v>86112977</v>
      </c>
    </row>
    <row r="540" spans="1:14" s="18" customFormat="1" ht="24" hidden="1" customHeight="1" x14ac:dyDescent="0.3">
      <c r="A540" s="19"/>
      <c r="B540" s="19">
        <v>7</v>
      </c>
      <c r="C540" s="29" t="s">
        <v>202</v>
      </c>
      <c r="D540" s="37"/>
      <c r="E540" s="19"/>
      <c r="F540" s="22"/>
      <c r="G540" s="23"/>
      <c r="H540" s="24"/>
      <c r="I540" s="23"/>
      <c r="J540" s="23"/>
      <c r="K540" s="32"/>
      <c r="L540" s="33"/>
      <c r="M540" s="34"/>
      <c r="N540" s="35">
        <f t="shared" si="291"/>
        <v>86112977</v>
      </c>
    </row>
    <row r="541" spans="1:14" s="18" customFormat="1" ht="24" hidden="1" customHeight="1" x14ac:dyDescent="0.3">
      <c r="A541" s="19"/>
      <c r="B541" s="19"/>
      <c r="C541" s="36" t="s">
        <v>23</v>
      </c>
      <c r="D541" s="21"/>
      <c r="E541" s="19">
        <v>11</v>
      </c>
      <c r="F541" s="22">
        <v>108.5</v>
      </c>
      <c r="G541" s="23">
        <f>2200+550+1070+250+330</f>
        <v>4400</v>
      </c>
      <c r="H541" s="24">
        <f t="shared" ref="H541" si="313">F541*G541</f>
        <v>477400</v>
      </c>
      <c r="I541" s="23">
        <v>0</v>
      </c>
      <c r="J541" s="23">
        <f t="shared" ref="J541" si="314">SUM(H541:I541)</f>
        <v>477400</v>
      </c>
      <c r="K541" s="32"/>
      <c r="L541" s="33"/>
      <c r="M541" s="34"/>
      <c r="N541" s="35">
        <f t="shared" si="291"/>
        <v>86590377</v>
      </c>
    </row>
    <row r="542" spans="1:14" s="18" customFormat="1" ht="24" hidden="1" customHeight="1" x14ac:dyDescent="0.3">
      <c r="A542" s="19"/>
      <c r="B542" s="19">
        <v>10</v>
      </c>
      <c r="C542" s="29" t="s">
        <v>119</v>
      </c>
      <c r="D542" s="37"/>
      <c r="E542" s="19"/>
      <c r="F542" s="22"/>
      <c r="G542" s="23"/>
      <c r="H542" s="24"/>
      <c r="I542" s="23"/>
      <c r="J542" s="23"/>
      <c r="K542" s="32"/>
      <c r="L542" s="33"/>
      <c r="M542" s="34"/>
      <c r="N542" s="35">
        <f t="shared" si="291"/>
        <v>86590377</v>
      </c>
    </row>
    <row r="543" spans="1:14" s="18" customFormat="1" ht="24" hidden="1" customHeight="1" x14ac:dyDescent="0.3">
      <c r="A543" s="19"/>
      <c r="B543" s="19"/>
      <c r="C543" s="36" t="s">
        <v>21</v>
      </c>
      <c r="D543" s="21"/>
      <c r="E543" s="19">
        <v>2</v>
      </c>
      <c r="F543" s="22">
        <v>27</v>
      </c>
      <c r="G543" s="23">
        <f>2200+550+1070+250+330</f>
        <v>4400</v>
      </c>
      <c r="H543" s="24">
        <f t="shared" ref="H543" si="315">F543*G543</f>
        <v>118800</v>
      </c>
      <c r="I543" s="23">
        <v>0</v>
      </c>
      <c r="J543" s="23">
        <f t="shared" ref="J543" si="316">SUM(H543:I543)</f>
        <v>118800</v>
      </c>
      <c r="K543" s="32"/>
      <c r="L543" s="33"/>
      <c r="M543" s="34"/>
      <c r="N543" s="35">
        <f t="shared" si="291"/>
        <v>86709177</v>
      </c>
    </row>
    <row r="544" spans="1:14" s="18" customFormat="1" ht="24" hidden="1" customHeight="1" x14ac:dyDescent="0.3">
      <c r="A544" s="19"/>
      <c r="B544" s="19">
        <v>10</v>
      </c>
      <c r="C544" s="29" t="s">
        <v>129</v>
      </c>
      <c r="D544" s="21"/>
      <c r="E544" s="19"/>
      <c r="F544" s="22"/>
      <c r="G544" s="23"/>
      <c r="H544" s="24"/>
      <c r="I544" s="23"/>
      <c r="J544" s="23"/>
      <c r="K544" s="32"/>
      <c r="L544" s="33"/>
      <c r="M544" s="34"/>
      <c r="N544" s="38">
        <f t="shared" si="291"/>
        <v>86709177</v>
      </c>
    </row>
    <row r="545" spans="1:14" s="18" customFormat="1" ht="24" hidden="1" customHeight="1" x14ac:dyDescent="0.3">
      <c r="A545" s="19"/>
      <c r="B545" s="19"/>
      <c r="C545" s="36" t="s">
        <v>48</v>
      </c>
      <c r="D545" s="21"/>
      <c r="E545" s="19">
        <v>2</v>
      </c>
      <c r="F545" s="22">
        <v>6</v>
      </c>
      <c r="G545" s="23">
        <f>2200+550+1070+250</f>
        <v>4070</v>
      </c>
      <c r="H545" s="24">
        <f t="shared" ref="H545:H546" si="317">F545*G545</f>
        <v>24420</v>
      </c>
      <c r="I545" s="23">
        <v>0</v>
      </c>
      <c r="J545" s="23">
        <f t="shared" ref="J545:J546" si="318">SUM(H545:I545)</f>
        <v>24420</v>
      </c>
      <c r="K545" s="32"/>
      <c r="L545" s="33"/>
      <c r="M545" s="34"/>
      <c r="N545" s="38">
        <f t="shared" si="291"/>
        <v>86733597</v>
      </c>
    </row>
    <row r="546" spans="1:14" s="18" customFormat="1" ht="24" hidden="1" customHeight="1" x14ac:dyDescent="0.3">
      <c r="A546" s="19"/>
      <c r="B546" s="19"/>
      <c r="C546" s="36" t="s">
        <v>48</v>
      </c>
      <c r="D546" s="37" t="s">
        <v>59</v>
      </c>
      <c r="E546" s="19">
        <v>4</v>
      </c>
      <c r="F546" s="22">
        <v>14.3</v>
      </c>
      <c r="G546" s="23">
        <v>6105</v>
      </c>
      <c r="H546" s="24">
        <f t="shared" si="317"/>
        <v>87301.5</v>
      </c>
      <c r="I546" s="23">
        <v>0</v>
      </c>
      <c r="J546" s="23">
        <f t="shared" si="318"/>
        <v>87301.5</v>
      </c>
      <c r="K546" s="32"/>
      <c r="L546" s="33"/>
      <c r="M546" s="34"/>
      <c r="N546" s="38">
        <f t="shared" si="291"/>
        <v>86820898.5</v>
      </c>
    </row>
    <row r="547" spans="1:14" s="2" customFormat="1" ht="27" hidden="1" customHeight="1" thickBot="1" x14ac:dyDescent="0.35">
      <c r="A547" s="1"/>
      <c r="B547" s="1"/>
      <c r="C547" s="1"/>
      <c r="E547" s="86" t="s">
        <v>0</v>
      </c>
      <c r="F547" s="86"/>
      <c r="G547" s="86"/>
      <c r="H547" s="86"/>
      <c r="I547" s="86"/>
      <c r="J547" s="86"/>
      <c r="K547" s="1"/>
      <c r="L547" s="3"/>
      <c r="M547" s="3"/>
      <c r="N547" s="1"/>
    </row>
    <row r="548" spans="1:14" s="2" customFormat="1" ht="24" hidden="1" customHeight="1" thickTop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3"/>
      <c r="M548" s="3"/>
      <c r="N548" s="1"/>
    </row>
    <row r="549" spans="1:14" s="2" customFormat="1" ht="24" hidden="1" customHeight="1" thickBot="1" x14ac:dyDescent="0.35">
      <c r="A549" s="2" t="s">
        <v>1</v>
      </c>
      <c r="C549" s="4"/>
      <c r="D549" s="4"/>
      <c r="E549" s="5"/>
      <c r="F549" s="6"/>
      <c r="G549" s="7"/>
      <c r="H549" s="7"/>
      <c r="I549" s="7"/>
      <c r="J549" s="8"/>
      <c r="K549" s="9"/>
      <c r="L549" s="10"/>
      <c r="M549" s="11"/>
      <c r="N549" s="12" t="s">
        <v>2</v>
      </c>
    </row>
    <row r="550" spans="1:14" s="18" customFormat="1" ht="24" hidden="1" customHeight="1" thickTop="1" thickBot="1" x14ac:dyDescent="0.35">
      <c r="A550" s="13" t="s">
        <v>3</v>
      </c>
      <c r="B550" s="13" t="s">
        <v>4</v>
      </c>
      <c r="C550" s="87" t="s">
        <v>5</v>
      </c>
      <c r="D550" s="88"/>
      <c r="E550" s="13" t="s">
        <v>6</v>
      </c>
      <c r="F550" s="14" t="s">
        <v>7</v>
      </c>
      <c r="G550" s="15" t="s">
        <v>8</v>
      </c>
      <c r="H550" s="15" t="s">
        <v>9</v>
      </c>
      <c r="I550" s="15" t="s">
        <v>10</v>
      </c>
      <c r="J550" s="15" t="s">
        <v>11</v>
      </c>
      <c r="K550" s="16" t="s">
        <v>12</v>
      </c>
      <c r="L550" s="89" t="s">
        <v>13</v>
      </c>
      <c r="M550" s="90"/>
      <c r="N550" s="17" t="s">
        <v>14</v>
      </c>
    </row>
    <row r="551" spans="1:14" s="18" customFormat="1" ht="24" hidden="1" customHeight="1" thickTop="1" x14ac:dyDescent="0.3">
      <c r="A551" s="41"/>
      <c r="B551" s="41"/>
      <c r="C551" s="70" t="s">
        <v>41</v>
      </c>
      <c r="D551" s="40"/>
      <c r="E551" s="41"/>
      <c r="F551" s="42"/>
      <c r="G551" s="43"/>
      <c r="H551" s="44"/>
      <c r="I551" s="43"/>
      <c r="J551" s="43"/>
      <c r="K551" s="25"/>
      <c r="L551" s="26"/>
      <c r="M551" s="27"/>
      <c r="N551" s="28">
        <f>N546</f>
        <v>86820898.5</v>
      </c>
    </row>
    <row r="552" spans="1:14" s="18" customFormat="1" ht="24" hidden="1" customHeight="1" x14ac:dyDescent="0.3">
      <c r="A552" s="19">
        <v>3</v>
      </c>
      <c r="B552" s="19">
        <v>10</v>
      </c>
      <c r="C552" s="29" t="s">
        <v>82</v>
      </c>
      <c r="D552" s="21"/>
      <c r="E552" s="19"/>
      <c r="F552" s="22"/>
      <c r="G552" s="23"/>
      <c r="H552" s="24"/>
      <c r="I552" s="23"/>
      <c r="J552" s="23"/>
      <c r="K552" s="32"/>
      <c r="L552" s="33"/>
      <c r="M552" s="34"/>
      <c r="N552" s="35">
        <f>N551+J552+K552</f>
        <v>86820898.5</v>
      </c>
    </row>
    <row r="553" spans="1:14" s="18" customFormat="1" ht="24" hidden="1" customHeight="1" x14ac:dyDescent="0.3">
      <c r="A553" s="19"/>
      <c r="B553" s="19"/>
      <c r="C553" s="36" t="s">
        <v>251</v>
      </c>
      <c r="D553" s="21"/>
      <c r="E553" s="19">
        <v>1</v>
      </c>
      <c r="F553" s="22">
        <v>6.2</v>
      </c>
      <c r="G553" s="23">
        <v>6050</v>
      </c>
      <c r="H553" s="24">
        <f t="shared" ref="H553" si="319">F553*G553</f>
        <v>37510</v>
      </c>
      <c r="I553" s="23">
        <v>0</v>
      </c>
      <c r="J553" s="23">
        <f t="shared" ref="J553" si="320">SUM(H553:I553)</f>
        <v>37510</v>
      </c>
      <c r="K553" s="32"/>
      <c r="L553" s="33"/>
      <c r="M553" s="34"/>
      <c r="N553" s="35">
        <f>N552+J553+K553</f>
        <v>86858408.5</v>
      </c>
    </row>
    <row r="554" spans="1:14" s="18" customFormat="1" ht="24" hidden="1" customHeight="1" x14ac:dyDescent="0.3">
      <c r="A554" s="19"/>
      <c r="B554" s="19">
        <v>10</v>
      </c>
      <c r="C554" s="29" t="s">
        <v>252</v>
      </c>
      <c r="D554" s="21"/>
      <c r="E554" s="19"/>
      <c r="F554" s="22"/>
      <c r="G554" s="23"/>
      <c r="H554" s="24"/>
      <c r="I554" s="23"/>
      <c r="J554" s="23"/>
      <c r="K554" s="32"/>
      <c r="L554" s="33"/>
      <c r="M554" s="34"/>
      <c r="N554" s="35">
        <f t="shared" ref="N554:N585" si="321">N553+J554+K554</f>
        <v>86858408.5</v>
      </c>
    </row>
    <row r="555" spans="1:14" s="18" customFormat="1" ht="24" hidden="1" customHeight="1" x14ac:dyDescent="0.3">
      <c r="A555" s="19"/>
      <c r="B555" s="19"/>
      <c r="C555" s="29" t="s">
        <v>179</v>
      </c>
      <c r="D555" s="21"/>
      <c r="E555" s="19"/>
      <c r="F555" s="22"/>
      <c r="G555" s="23"/>
      <c r="H555" s="24">
        <v>340000</v>
      </c>
      <c r="I555" s="23">
        <f>H555*0.1</f>
        <v>34000</v>
      </c>
      <c r="J555" s="23">
        <f>SUM(H555:I555)</f>
        <v>374000</v>
      </c>
      <c r="K555" s="32"/>
      <c r="L555" s="33"/>
      <c r="M555" s="34"/>
      <c r="N555" s="35">
        <f t="shared" si="321"/>
        <v>87232408.5</v>
      </c>
    </row>
    <row r="556" spans="1:14" s="18" customFormat="1" ht="24" hidden="1" customHeight="1" x14ac:dyDescent="0.3">
      <c r="A556" s="19"/>
      <c r="B556" s="19">
        <v>11</v>
      </c>
      <c r="C556" s="29" t="s">
        <v>253</v>
      </c>
      <c r="D556" s="37"/>
      <c r="E556" s="19"/>
      <c r="F556" s="22"/>
      <c r="G556" s="23"/>
      <c r="H556" s="24">
        <v>340000</v>
      </c>
      <c r="I556" s="23">
        <f>H556*0.1</f>
        <v>34000</v>
      </c>
      <c r="J556" s="23">
        <f>SUM(H556:I556)</f>
        <v>374000</v>
      </c>
      <c r="K556" s="32"/>
      <c r="L556" s="33"/>
      <c r="M556" s="34"/>
      <c r="N556" s="35">
        <f t="shared" si="321"/>
        <v>87606408.5</v>
      </c>
    </row>
    <row r="557" spans="1:14" s="18" customFormat="1" ht="24" hidden="1" customHeight="1" x14ac:dyDescent="0.3">
      <c r="A557" s="19"/>
      <c r="B557" s="19"/>
      <c r="C557" s="39" t="s">
        <v>81</v>
      </c>
      <c r="D557" s="21"/>
      <c r="E557" s="19"/>
      <c r="F557" s="22"/>
      <c r="G557" s="23"/>
      <c r="H557" s="24">
        <v>80000</v>
      </c>
      <c r="I557" s="23">
        <f>H557*0.1</f>
        <v>8000</v>
      </c>
      <c r="J557" s="23">
        <f>SUM(H557:I557)</f>
        <v>88000</v>
      </c>
      <c r="K557" s="32"/>
      <c r="L557" s="33"/>
      <c r="M557" s="34"/>
      <c r="N557" s="35">
        <f t="shared" si="321"/>
        <v>87694408.5</v>
      </c>
    </row>
    <row r="558" spans="1:14" s="18" customFormat="1" ht="24" hidden="1" customHeight="1" x14ac:dyDescent="0.3">
      <c r="A558" s="19"/>
      <c r="B558" s="19">
        <v>10</v>
      </c>
      <c r="C558" s="29" t="s">
        <v>129</v>
      </c>
      <c r="D558" s="37"/>
      <c r="E558" s="19"/>
      <c r="F558" s="22"/>
      <c r="G558" s="23"/>
      <c r="H558" s="24"/>
      <c r="I558" s="23"/>
      <c r="J558" s="23"/>
      <c r="K558" s="32"/>
      <c r="L558" s="33"/>
      <c r="M558" s="34"/>
      <c r="N558" s="35">
        <f t="shared" si="321"/>
        <v>87694408.5</v>
      </c>
    </row>
    <row r="559" spans="1:14" s="18" customFormat="1" ht="24" hidden="1" customHeight="1" x14ac:dyDescent="0.3">
      <c r="A559" s="19"/>
      <c r="B559" s="19"/>
      <c r="C559" s="39" t="s">
        <v>45</v>
      </c>
      <c r="D559" s="21"/>
      <c r="E559" s="19"/>
      <c r="F559" s="22"/>
      <c r="G559" s="23"/>
      <c r="H559" s="24">
        <v>140000</v>
      </c>
      <c r="I559" s="23">
        <f>H559*0.1</f>
        <v>14000</v>
      </c>
      <c r="J559" s="23">
        <f>SUM(H559:I559)</f>
        <v>154000</v>
      </c>
      <c r="K559" s="32"/>
      <c r="L559" s="33"/>
      <c r="M559" s="34"/>
      <c r="N559" s="35">
        <f t="shared" si="321"/>
        <v>87848408.5</v>
      </c>
    </row>
    <row r="560" spans="1:14" s="18" customFormat="1" ht="24" hidden="1" customHeight="1" x14ac:dyDescent="0.3">
      <c r="A560" s="19"/>
      <c r="B560" s="19">
        <v>11</v>
      </c>
      <c r="C560" s="29" t="s">
        <v>245</v>
      </c>
      <c r="D560" s="21"/>
      <c r="E560" s="19"/>
      <c r="F560" s="22"/>
      <c r="G560" s="23"/>
      <c r="H560" s="24"/>
      <c r="I560" s="23"/>
      <c r="J560" s="23"/>
      <c r="K560" s="32"/>
      <c r="L560" s="33"/>
      <c r="M560" s="34"/>
      <c r="N560" s="35">
        <f t="shared" si="321"/>
        <v>87848408.5</v>
      </c>
    </row>
    <row r="561" spans="1:14" s="18" customFormat="1" ht="24" hidden="1" customHeight="1" x14ac:dyDescent="0.3">
      <c r="A561" s="19"/>
      <c r="B561" s="19"/>
      <c r="C561" s="39" t="s">
        <v>105</v>
      </c>
      <c r="D561" s="21"/>
      <c r="E561" s="19"/>
      <c r="F561" s="22"/>
      <c r="G561" s="23"/>
      <c r="H561" s="24">
        <v>140000</v>
      </c>
      <c r="I561" s="23">
        <f>H561*0.1</f>
        <v>14000</v>
      </c>
      <c r="J561" s="23">
        <f>SUM(H561:I561)</f>
        <v>154000</v>
      </c>
      <c r="K561" s="32"/>
      <c r="L561" s="33"/>
      <c r="M561" s="34"/>
      <c r="N561" s="35">
        <f>N560+J561+K561</f>
        <v>88002408.5</v>
      </c>
    </row>
    <row r="562" spans="1:14" s="18" customFormat="1" ht="24" hidden="1" customHeight="1" x14ac:dyDescent="0.3">
      <c r="A562" s="19"/>
      <c r="B562" s="19">
        <v>11</v>
      </c>
      <c r="C562" s="39" t="s">
        <v>254</v>
      </c>
      <c r="D562" s="21"/>
      <c r="E562" s="19"/>
      <c r="F562" s="22"/>
      <c r="G562" s="23"/>
      <c r="H562" s="24"/>
      <c r="I562" s="23"/>
      <c r="J562" s="23"/>
      <c r="K562" s="32"/>
      <c r="L562" s="33"/>
      <c r="M562" s="34"/>
      <c r="N562" s="35">
        <f t="shared" si="321"/>
        <v>88002408.5</v>
      </c>
    </row>
    <row r="563" spans="1:14" s="18" customFormat="1" ht="24" hidden="1" customHeight="1" x14ac:dyDescent="0.3">
      <c r="A563" s="19"/>
      <c r="B563" s="19"/>
      <c r="C563" s="36" t="s">
        <v>23</v>
      </c>
      <c r="D563" s="21"/>
      <c r="E563" s="19">
        <v>344</v>
      </c>
      <c r="F563" s="22">
        <v>3686.1</v>
      </c>
      <c r="G563" s="23">
        <f>2200+550+1070+250+330</f>
        <v>4400</v>
      </c>
      <c r="H563" s="24">
        <f t="shared" ref="H563:H564" si="322">F563*G563</f>
        <v>16218840</v>
      </c>
      <c r="I563" s="23">
        <v>0</v>
      </c>
      <c r="J563" s="23">
        <f t="shared" ref="J563:J564" si="323">SUM(H563:I563)</f>
        <v>16218840</v>
      </c>
      <c r="K563" s="32"/>
      <c r="L563" s="33"/>
      <c r="M563" s="34"/>
      <c r="N563" s="35">
        <f t="shared" si="321"/>
        <v>104221248.5</v>
      </c>
    </row>
    <row r="564" spans="1:14" s="18" customFormat="1" ht="24" hidden="1" customHeight="1" x14ac:dyDescent="0.3">
      <c r="A564" s="19"/>
      <c r="B564" s="19"/>
      <c r="C564" s="36" t="s">
        <v>23</v>
      </c>
      <c r="D564" s="37" t="s">
        <v>248</v>
      </c>
      <c r="E564" s="19">
        <v>4</v>
      </c>
      <c r="F564" s="22">
        <v>105.2</v>
      </c>
      <c r="G564" s="23">
        <v>5750</v>
      </c>
      <c r="H564" s="24">
        <f t="shared" si="322"/>
        <v>604900</v>
      </c>
      <c r="I564" s="23">
        <v>0</v>
      </c>
      <c r="J564" s="23">
        <f t="shared" si="323"/>
        <v>604900</v>
      </c>
      <c r="K564" s="32"/>
      <c r="L564" s="33"/>
      <c r="M564" s="34"/>
      <c r="N564" s="35">
        <f t="shared" si="321"/>
        <v>104826148.5</v>
      </c>
    </row>
    <row r="565" spans="1:14" s="18" customFormat="1" ht="24" hidden="1" customHeight="1" x14ac:dyDescent="0.3">
      <c r="A565" s="19"/>
      <c r="B565" s="19"/>
      <c r="C565" s="39" t="s">
        <v>255</v>
      </c>
      <c r="D565" s="21"/>
      <c r="E565" s="19">
        <f>4*2</f>
        <v>8</v>
      </c>
      <c r="F565" s="22"/>
      <c r="G565" s="23">
        <v>6000</v>
      </c>
      <c r="H565" s="24">
        <f>E565*G565</f>
        <v>48000</v>
      </c>
      <c r="I565" s="23">
        <v>0</v>
      </c>
      <c r="J565" s="23">
        <f t="shared" ref="J565" si="324">SUM(H565:I565)</f>
        <v>48000</v>
      </c>
      <c r="K565" s="32"/>
      <c r="L565" s="33"/>
      <c r="M565" s="34"/>
      <c r="N565" s="35">
        <f t="shared" si="321"/>
        <v>104874148.5</v>
      </c>
    </row>
    <row r="566" spans="1:14" s="18" customFormat="1" ht="24" hidden="1" customHeight="1" x14ac:dyDescent="0.3">
      <c r="A566" s="19"/>
      <c r="B566" s="19">
        <v>11</v>
      </c>
      <c r="C566" s="39" t="s">
        <v>256</v>
      </c>
      <c r="D566" s="21"/>
      <c r="E566" s="19"/>
      <c r="F566" s="22"/>
      <c r="G566" s="23"/>
      <c r="H566" s="24"/>
      <c r="I566" s="23"/>
      <c r="J566" s="23"/>
      <c r="K566" s="32"/>
      <c r="L566" s="33"/>
      <c r="M566" s="34"/>
      <c r="N566" s="35">
        <f t="shared" si="321"/>
        <v>104874148.5</v>
      </c>
    </row>
    <row r="567" spans="1:14" s="18" customFormat="1" ht="24" hidden="1" customHeight="1" x14ac:dyDescent="0.3">
      <c r="A567" s="19"/>
      <c r="B567" s="19"/>
      <c r="C567" s="36" t="s">
        <v>257</v>
      </c>
      <c r="D567" s="21"/>
      <c r="E567" s="19">
        <v>3</v>
      </c>
      <c r="F567" s="22">
        <v>14.1</v>
      </c>
      <c r="G567" s="23">
        <f>2200+900+1070+250</f>
        <v>4420</v>
      </c>
      <c r="H567" s="24">
        <f t="shared" ref="H567" si="325">F567*G567</f>
        <v>62322</v>
      </c>
      <c r="I567" s="23">
        <v>0</v>
      </c>
      <c r="J567" s="23">
        <f t="shared" ref="J567" si="326">SUM(H567:I567)</f>
        <v>62322</v>
      </c>
      <c r="K567" s="32"/>
      <c r="L567" s="33"/>
      <c r="M567" s="34"/>
      <c r="N567" s="35">
        <f t="shared" si="321"/>
        <v>104936470.5</v>
      </c>
    </row>
    <row r="568" spans="1:14" s="18" customFormat="1" ht="24" hidden="1" customHeight="1" x14ac:dyDescent="0.3">
      <c r="A568" s="19"/>
      <c r="B568" s="19">
        <v>12</v>
      </c>
      <c r="C568" s="39" t="s">
        <v>258</v>
      </c>
      <c r="D568" s="21"/>
      <c r="E568" s="19"/>
      <c r="F568" s="22"/>
      <c r="G568" s="23"/>
      <c r="H568" s="24"/>
      <c r="I568" s="23"/>
      <c r="J568" s="23"/>
      <c r="K568" s="32"/>
      <c r="L568" s="33"/>
      <c r="M568" s="34"/>
      <c r="N568" s="35">
        <f t="shared" si="321"/>
        <v>104936470.5</v>
      </c>
    </row>
    <row r="569" spans="1:14" s="18" customFormat="1" ht="24" hidden="1" customHeight="1" x14ac:dyDescent="0.3">
      <c r="A569" s="19"/>
      <c r="B569" s="19"/>
      <c r="C569" s="36" t="s">
        <v>48</v>
      </c>
      <c r="D569" s="21"/>
      <c r="E569" s="19">
        <v>1</v>
      </c>
      <c r="F569" s="22">
        <v>10.6</v>
      </c>
      <c r="G569" s="23">
        <f>2200+550+1070+250</f>
        <v>4070</v>
      </c>
      <c r="H569" s="24">
        <f t="shared" ref="H569" si="327">F569*G569</f>
        <v>43142</v>
      </c>
      <c r="I569" s="23">
        <v>0</v>
      </c>
      <c r="J569" s="23">
        <f t="shared" ref="J569" si="328">SUM(H569:I569)</f>
        <v>43142</v>
      </c>
      <c r="K569" s="32"/>
      <c r="L569" s="33"/>
      <c r="M569" s="34"/>
      <c r="N569" s="35">
        <f t="shared" si="321"/>
        <v>104979612.5</v>
      </c>
    </row>
    <row r="570" spans="1:14" s="18" customFormat="1" ht="24" hidden="1" customHeight="1" x14ac:dyDescent="0.3">
      <c r="A570" s="19"/>
      <c r="B570" s="19">
        <v>12</v>
      </c>
      <c r="C570" s="29" t="s">
        <v>239</v>
      </c>
      <c r="D570" s="21"/>
      <c r="E570" s="19"/>
      <c r="F570" s="22"/>
      <c r="G570" s="23"/>
      <c r="H570" s="24"/>
      <c r="I570" s="23"/>
      <c r="J570" s="23"/>
      <c r="K570" s="32"/>
      <c r="L570" s="33"/>
      <c r="M570" s="34"/>
      <c r="N570" s="35">
        <f t="shared" si="321"/>
        <v>104979612.5</v>
      </c>
    </row>
    <row r="571" spans="1:14" s="18" customFormat="1" ht="24" hidden="1" customHeight="1" x14ac:dyDescent="0.3">
      <c r="A571" s="19"/>
      <c r="B571" s="19"/>
      <c r="C571" s="36" t="s">
        <v>21</v>
      </c>
      <c r="D571" s="37"/>
      <c r="E571" s="19">
        <v>41</v>
      </c>
      <c r="F571" s="22">
        <v>802.1</v>
      </c>
      <c r="G571" s="23">
        <f>2200+550+1070+250+330</f>
        <v>4400</v>
      </c>
      <c r="H571" s="24">
        <f t="shared" ref="H571" si="329">F571*G571</f>
        <v>3529240</v>
      </c>
      <c r="I571" s="23">
        <v>0</v>
      </c>
      <c r="J571" s="23">
        <f t="shared" ref="J571" si="330">SUM(H571:I571)</f>
        <v>3529240</v>
      </c>
      <c r="K571" s="32"/>
      <c r="L571" s="33"/>
      <c r="M571" s="34"/>
      <c r="N571" s="35">
        <f t="shared" si="321"/>
        <v>108508852.5</v>
      </c>
    </row>
    <row r="572" spans="1:14" s="18" customFormat="1" ht="24" hidden="1" customHeight="1" x14ac:dyDescent="0.3">
      <c r="A572" s="19"/>
      <c r="B572" s="19">
        <v>13</v>
      </c>
      <c r="C572" s="29" t="s">
        <v>259</v>
      </c>
      <c r="D572" s="37"/>
      <c r="E572" s="19"/>
      <c r="F572" s="22"/>
      <c r="G572" s="23"/>
      <c r="H572" s="24"/>
      <c r="I572" s="23"/>
      <c r="J572" s="47"/>
      <c r="K572" s="32"/>
      <c r="L572" s="33"/>
      <c r="M572" s="34"/>
      <c r="N572" s="35">
        <f t="shared" si="321"/>
        <v>108508852.5</v>
      </c>
    </row>
    <row r="573" spans="1:14" s="18" customFormat="1" ht="24" hidden="1" customHeight="1" x14ac:dyDescent="0.3">
      <c r="A573" s="19"/>
      <c r="B573" s="19"/>
      <c r="C573" s="36" t="s">
        <v>260</v>
      </c>
      <c r="D573" s="21"/>
      <c r="E573" s="19">
        <v>1</v>
      </c>
      <c r="F573" s="22">
        <v>19.399999999999999</v>
      </c>
      <c r="G573" s="23">
        <f>1400+2200+1070+250</f>
        <v>4920</v>
      </c>
      <c r="H573" s="24">
        <f t="shared" ref="H573" si="331">F573*G573</f>
        <v>95448</v>
      </c>
      <c r="I573" s="23">
        <v>0</v>
      </c>
      <c r="J573" s="23">
        <f t="shared" ref="J573" si="332">SUM(H573:I573)</f>
        <v>95448</v>
      </c>
      <c r="K573" s="32"/>
      <c r="L573" s="33"/>
      <c r="M573" s="34"/>
      <c r="N573" s="35">
        <f t="shared" si="321"/>
        <v>108604300.5</v>
      </c>
    </row>
    <row r="574" spans="1:14" s="18" customFormat="1" ht="24" hidden="1" customHeight="1" x14ac:dyDescent="0.3">
      <c r="A574" s="19"/>
      <c r="B574" s="19">
        <v>13</v>
      </c>
      <c r="C574" s="29" t="s">
        <v>261</v>
      </c>
      <c r="D574" s="21"/>
      <c r="E574" s="19"/>
      <c r="F574" s="22"/>
      <c r="G574" s="23"/>
      <c r="H574" s="24"/>
      <c r="I574" s="23"/>
      <c r="J574" s="23"/>
      <c r="K574" s="32"/>
      <c r="L574" s="33"/>
      <c r="M574" s="34"/>
      <c r="N574" s="35">
        <f t="shared" si="321"/>
        <v>108604300.5</v>
      </c>
    </row>
    <row r="575" spans="1:14" s="18" customFormat="1" ht="24" hidden="1" customHeight="1" x14ac:dyDescent="0.3">
      <c r="A575" s="19"/>
      <c r="B575" s="19"/>
      <c r="C575" s="39" t="s">
        <v>45</v>
      </c>
      <c r="D575" s="21"/>
      <c r="E575" s="19"/>
      <c r="F575" s="22"/>
      <c r="G575" s="23"/>
      <c r="H575" s="24">
        <v>140000</v>
      </c>
      <c r="I575" s="23">
        <f>H575*0.1</f>
        <v>14000</v>
      </c>
      <c r="J575" s="23">
        <f>SUM(H575:I575)</f>
        <v>154000</v>
      </c>
      <c r="K575" s="32"/>
      <c r="L575" s="33"/>
      <c r="M575" s="34"/>
      <c r="N575" s="35">
        <f>N574+J575+K575</f>
        <v>108758300.5</v>
      </c>
    </row>
    <row r="576" spans="1:14" s="18" customFormat="1" ht="24" hidden="1" customHeight="1" x14ac:dyDescent="0.3">
      <c r="A576" s="19"/>
      <c r="B576" s="19">
        <v>14</v>
      </c>
      <c r="C576" s="39" t="s">
        <v>207</v>
      </c>
      <c r="D576" s="21"/>
      <c r="E576" s="19"/>
      <c r="F576" s="22"/>
      <c r="G576" s="23"/>
      <c r="H576" s="24"/>
      <c r="I576" s="23"/>
      <c r="J576" s="23"/>
      <c r="K576" s="32"/>
      <c r="L576" s="33"/>
      <c r="M576" s="34"/>
      <c r="N576" s="35">
        <f t="shared" si="321"/>
        <v>108758300.5</v>
      </c>
    </row>
    <row r="577" spans="1:14" s="18" customFormat="1" ht="24" hidden="1" customHeight="1" x14ac:dyDescent="0.3">
      <c r="A577" s="19"/>
      <c r="B577" s="19"/>
      <c r="C577" s="39" t="s">
        <v>222</v>
      </c>
      <c r="D577" s="21"/>
      <c r="E577" s="19"/>
      <c r="F577" s="22"/>
      <c r="G577" s="23"/>
      <c r="H577" s="24">
        <v>360000</v>
      </c>
      <c r="I577" s="23">
        <f>H577*0.1</f>
        <v>36000</v>
      </c>
      <c r="J577" s="23">
        <f>SUM(H577:I577)</f>
        <v>396000</v>
      </c>
      <c r="K577" s="32"/>
      <c r="L577" s="33"/>
      <c r="M577" s="34"/>
      <c r="N577" s="35">
        <f t="shared" si="321"/>
        <v>109154300.5</v>
      </c>
    </row>
    <row r="578" spans="1:14" s="18" customFormat="1" ht="24" hidden="1" customHeight="1" x14ac:dyDescent="0.3">
      <c r="A578" s="19"/>
      <c r="B578" s="19">
        <v>14</v>
      </c>
      <c r="C578" s="29" t="s">
        <v>262</v>
      </c>
      <c r="D578" s="21"/>
      <c r="E578" s="19"/>
      <c r="F578" s="22"/>
      <c r="G578" s="23"/>
      <c r="H578" s="24"/>
      <c r="I578" s="23"/>
      <c r="J578" s="23"/>
      <c r="K578" s="32"/>
      <c r="L578" s="33"/>
      <c r="M578" s="34"/>
      <c r="N578" s="35">
        <f t="shared" si="321"/>
        <v>109154300.5</v>
      </c>
    </row>
    <row r="579" spans="1:14" s="18" customFormat="1" ht="24" hidden="1" customHeight="1" x14ac:dyDescent="0.3">
      <c r="A579" s="19"/>
      <c r="B579" s="19"/>
      <c r="C579" s="36" t="s">
        <v>21</v>
      </c>
      <c r="D579" s="37"/>
      <c r="E579" s="19">
        <v>1</v>
      </c>
      <c r="F579" s="22">
        <v>13.9</v>
      </c>
      <c r="G579" s="23">
        <f>2200+550+1070+250+330</f>
        <v>4400</v>
      </c>
      <c r="H579" s="24">
        <f t="shared" ref="H579:H580" si="333">F579*G579</f>
        <v>61160</v>
      </c>
      <c r="I579" s="23">
        <v>0</v>
      </c>
      <c r="J579" s="23">
        <f t="shared" ref="J579" si="334">SUM(H579:I579)</f>
        <v>61160</v>
      </c>
      <c r="K579" s="32"/>
      <c r="L579" s="33"/>
      <c r="M579" s="34"/>
      <c r="N579" s="35">
        <f t="shared" si="321"/>
        <v>109215460.5</v>
      </c>
    </row>
    <row r="580" spans="1:14" s="18" customFormat="1" ht="24" hidden="1" customHeight="1" x14ac:dyDescent="0.3">
      <c r="A580" s="19"/>
      <c r="B580" s="19"/>
      <c r="C580" s="36" t="s">
        <v>21</v>
      </c>
      <c r="D580" s="37" t="s">
        <v>248</v>
      </c>
      <c r="E580" s="19">
        <v>26</v>
      </c>
      <c r="F580" s="22">
        <v>230.2</v>
      </c>
      <c r="G580" s="23">
        <v>5720</v>
      </c>
      <c r="H580" s="24">
        <f t="shared" si="333"/>
        <v>1316744</v>
      </c>
      <c r="I580" s="23">
        <v>0</v>
      </c>
      <c r="J580" s="23">
        <f t="shared" ref="J580" si="335">SUM(H580:I580)</f>
        <v>1316744</v>
      </c>
      <c r="K580" s="32"/>
      <c r="L580" s="33"/>
      <c r="M580" s="34"/>
      <c r="N580" s="35">
        <f t="shared" si="321"/>
        <v>110532204.5</v>
      </c>
    </row>
    <row r="581" spans="1:14" s="18" customFormat="1" ht="24" hidden="1" customHeight="1" x14ac:dyDescent="0.3">
      <c r="A581" s="19"/>
      <c r="B581" s="19">
        <v>15</v>
      </c>
      <c r="C581" s="39" t="s">
        <v>263</v>
      </c>
      <c r="D581" s="37"/>
      <c r="E581" s="19"/>
      <c r="F581" s="22"/>
      <c r="G581" s="23"/>
      <c r="H581" s="24"/>
      <c r="I581" s="23"/>
      <c r="J581" s="23"/>
      <c r="K581" s="32"/>
      <c r="L581" s="33"/>
      <c r="M581" s="34"/>
      <c r="N581" s="35">
        <f t="shared" si="321"/>
        <v>110532204.5</v>
      </c>
    </row>
    <row r="582" spans="1:14" s="18" customFormat="1" ht="24" hidden="1" customHeight="1" x14ac:dyDescent="0.3">
      <c r="A582" s="19"/>
      <c r="B582" s="19"/>
      <c r="C582" s="39" t="s">
        <v>45</v>
      </c>
      <c r="D582" s="21"/>
      <c r="E582" s="19"/>
      <c r="F582" s="22"/>
      <c r="G582" s="23"/>
      <c r="H582" s="24">
        <v>140000</v>
      </c>
      <c r="I582" s="23">
        <f>H582*0.1</f>
        <v>14000</v>
      </c>
      <c r="J582" s="23">
        <f>SUM(H582:I582)</f>
        <v>154000</v>
      </c>
      <c r="K582" s="32"/>
      <c r="L582" s="33"/>
      <c r="M582" s="34"/>
      <c r="N582" s="35">
        <f t="shared" si="321"/>
        <v>110686204.5</v>
      </c>
    </row>
    <row r="583" spans="1:14" s="18" customFormat="1" ht="24" hidden="1" customHeight="1" x14ac:dyDescent="0.3">
      <c r="A583" s="19"/>
      <c r="B583" s="19">
        <v>17</v>
      </c>
      <c r="C583" s="29" t="s">
        <v>184</v>
      </c>
      <c r="D583" s="21"/>
      <c r="E583" s="19"/>
      <c r="F583" s="22"/>
      <c r="G583" s="23"/>
      <c r="H583" s="24"/>
      <c r="I583" s="23"/>
      <c r="J583" s="23"/>
      <c r="K583" s="32"/>
      <c r="L583" s="33"/>
      <c r="M583" s="34"/>
      <c r="N583" s="38">
        <f t="shared" si="321"/>
        <v>110686204.5</v>
      </c>
    </row>
    <row r="584" spans="1:14" s="18" customFormat="1" ht="24" hidden="1" customHeight="1" x14ac:dyDescent="0.3">
      <c r="A584" s="19"/>
      <c r="B584" s="19"/>
      <c r="C584" s="36" t="s">
        <v>226</v>
      </c>
      <c r="D584" s="21"/>
      <c r="E584" s="19">
        <v>15</v>
      </c>
      <c r="F584" s="22">
        <v>119.5</v>
      </c>
      <c r="G584" s="23">
        <f>2200+2200+1200+1070+1070+250+250+330+330</f>
        <v>8900</v>
      </c>
      <c r="H584" s="24">
        <f t="shared" ref="H584:H585" si="336">F584*G584</f>
        <v>1063550</v>
      </c>
      <c r="I584" s="23">
        <v>0</v>
      </c>
      <c r="J584" s="23">
        <f t="shared" ref="J584:J585" si="337">SUM(H584:I584)</f>
        <v>1063550</v>
      </c>
      <c r="K584" s="32"/>
      <c r="L584" s="33"/>
      <c r="M584" s="34"/>
      <c r="N584" s="38">
        <f t="shared" si="321"/>
        <v>111749754.5</v>
      </c>
    </row>
    <row r="585" spans="1:14" s="18" customFormat="1" ht="24" hidden="1" customHeight="1" x14ac:dyDescent="0.3">
      <c r="A585" s="19"/>
      <c r="B585" s="19"/>
      <c r="C585" s="39" t="s">
        <v>30</v>
      </c>
      <c r="D585" s="21"/>
      <c r="E585" s="19">
        <v>8</v>
      </c>
      <c r="F585" s="22">
        <v>61.7</v>
      </c>
      <c r="G585" s="23">
        <f>550+1000+980+250</f>
        <v>2780</v>
      </c>
      <c r="H585" s="24">
        <f t="shared" si="336"/>
        <v>171526</v>
      </c>
      <c r="I585" s="23">
        <v>0</v>
      </c>
      <c r="J585" s="23">
        <f t="shared" si="337"/>
        <v>171526</v>
      </c>
      <c r="K585" s="32"/>
      <c r="L585" s="33"/>
      <c r="M585" s="34"/>
      <c r="N585" s="38">
        <f t="shared" si="321"/>
        <v>111921280.5</v>
      </c>
    </row>
    <row r="586" spans="1:14" s="2" customFormat="1" ht="27" hidden="1" customHeight="1" thickBot="1" x14ac:dyDescent="0.35">
      <c r="A586" s="1"/>
      <c r="B586" s="1"/>
      <c r="C586" s="1"/>
      <c r="E586" s="86" t="s">
        <v>0</v>
      </c>
      <c r="F586" s="86"/>
      <c r="G586" s="86"/>
      <c r="H586" s="86"/>
      <c r="I586" s="86"/>
      <c r="J586" s="86"/>
      <c r="K586" s="1"/>
      <c r="L586" s="3"/>
      <c r="M586" s="3"/>
      <c r="N586" s="1"/>
    </row>
    <row r="587" spans="1:14" s="2" customFormat="1" ht="24" hidden="1" customHeight="1" thickTop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3"/>
      <c r="M587" s="3"/>
      <c r="N587" s="1"/>
    </row>
    <row r="588" spans="1:14" s="2" customFormat="1" ht="24" hidden="1" customHeight="1" thickBot="1" x14ac:dyDescent="0.35">
      <c r="A588" s="2" t="s">
        <v>1</v>
      </c>
      <c r="C588" s="4"/>
      <c r="D588" s="4"/>
      <c r="E588" s="5"/>
      <c r="F588" s="6"/>
      <c r="G588" s="7"/>
      <c r="H588" s="7"/>
      <c r="I588" s="7"/>
      <c r="J588" s="8"/>
      <c r="K588" s="9"/>
      <c r="L588" s="10"/>
      <c r="M588" s="11"/>
      <c r="N588" s="12" t="s">
        <v>2</v>
      </c>
    </row>
    <row r="589" spans="1:14" s="18" customFormat="1" ht="24" hidden="1" customHeight="1" thickTop="1" thickBot="1" x14ac:dyDescent="0.35">
      <c r="A589" s="13" t="s">
        <v>3</v>
      </c>
      <c r="B589" s="13" t="s">
        <v>4</v>
      </c>
      <c r="C589" s="87" t="s">
        <v>5</v>
      </c>
      <c r="D589" s="88"/>
      <c r="E589" s="13" t="s">
        <v>6</v>
      </c>
      <c r="F589" s="14" t="s">
        <v>7</v>
      </c>
      <c r="G589" s="15" t="s">
        <v>8</v>
      </c>
      <c r="H589" s="15" t="s">
        <v>9</v>
      </c>
      <c r="I589" s="15" t="s">
        <v>10</v>
      </c>
      <c r="J589" s="15" t="s">
        <v>11</v>
      </c>
      <c r="K589" s="16" t="s">
        <v>12</v>
      </c>
      <c r="L589" s="89" t="s">
        <v>13</v>
      </c>
      <c r="M589" s="90"/>
      <c r="N589" s="17" t="s">
        <v>14</v>
      </c>
    </row>
    <row r="590" spans="1:14" s="18" customFormat="1" ht="24" hidden="1" customHeight="1" thickTop="1" x14ac:dyDescent="0.3">
      <c r="A590" s="41"/>
      <c r="B590" s="41"/>
      <c r="C590" s="70" t="s">
        <v>41</v>
      </c>
      <c r="D590" s="40"/>
      <c r="E590" s="41"/>
      <c r="F590" s="42"/>
      <c r="G590" s="43"/>
      <c r="H590" s="44"/>
      <c r="I590" s="43"/>
      <c r="J590" s="43"/>
      <c r="K590" s="25"/>
      <c r="L590" s="26"/>
      <c r="M590" s="27"/>
      <c r="N590" s="28">
        <f>N585</f>
        <v>111921280.5</v>
      </c>
    </row>
    <row r="591" spans="1:14" s="18" customFormat="1" ht="24" hidden="1" customHeight="1" x14ac:dyDescent="0.3">
      <c r="A591" s="19">
        <v>3</v>
      </c>
      <c r="B591" s="19">
        <v>17</v>
      </c>
      <c r="C591" s="29" t="s">
        <v>264</v>
      </c>
      <c r="D591" s="21"/>
      <c r="E591" s="19"/>
      <c r="F591" s="22"/>
      <c r="G591" s="23"/>
      <c r="H591" s="24"/>
      <c r="I591" s="23"/>
      <c r="J591" s="23"/>
      <c r="K591" s="32"/>
      <c r="L591" s="33"/>
      <c r="M591" s="34"/>
      <c r="N591" s="35">
        <f>N590+J591+K591</f>
        <v>111921280.5</v>
      </c>
    </row>
    <row r="592" spans="1:14" s="18" customFormat="1" ht="24" hidden="1" customHeight="1" x14ac:dyDescent="0.3">
      <c r="A592" s="19"/>
      <c r="B592" s="19"/>
      <c r="C592" s="36" t="s">
        <v>48</v>
      </c>
      <c r="D592" s="21"/>
      <c r="E592" s="19">
        <v>2</v>
      </c>
      <c r="F592" s="22">
        <v>32.1</v>
      </c>
      <c r="G592" s="23">
        <f>2200+550+1070+250</f>
        <v>4070</v>
      </c>
      <c r="H592" s="24">
        <f t="shared" ref="H592" si="338">F592*G592</f>
        <v>130647</v>
      </c>
      <c r="I592" s="23">
        <v>0</v>
      </c>
      <c r="J592" s="23">
        <f t="shared" ref="J592" si="339">SUM(H592:I592)</f>
        <v>130647</v>
      </c>
      <c r="K592" s="32"/>
      <c r="L592" s="33"/>
      <c r="M592" s="34"/>
      <c r="N592" s="35">
        <f>N591+J592+K592</f>
        <v>112051927.5</v>
      </c>
    </row>
    <row r="593" spans="1:14" s="18" customFormat="1" ht="24" hidden="1" customHeight="1" x14ac:dyDescent="0.3">
      <c r="A593" s="19"/>
      <c r="B593" s="19">
        <v>18</v>
      </c>
      <c r="C593" s="29" t="s">
        <v>189</v>
      </c>
      <c r="D593" s="21"/>
      <c r="E593" s="19"/>
      <c r="F593" s="22"/>
      <c r="G593" s="23"/>
      <c r="H593" s="24"/>
      <c r="I593" s="23"/>
      <c r="J593" s="23"/>
      <c r="K593" s="32"/>
      <c r="L593" s="33"/>
      <c r="M593" s="34"/>
      <c r="N593" s="35">
        <f t="shared" ref="N593:N624" si="340">N592+J593+K593</f>
        <v>112051927.5</v>
      </c>
    </row>
    <row r="594" spans="1:14" s="18" customFormat="1" ht="24" hidden="1" customHeight="1" x14ac:dyDescent="0.3">
      <c r="A594" s="19"/>
      <c r="B594" s="19"/>
      <c r="C594" s="29" t="s">
        <v>100</v>
      </c>
      <c r="D594" s="21"/>
      <c r="E594" s="19">
        <v>1</v>
      </c>
      <c r="F594" s="22">
        <v>3.9</v>
      </c>
      <c r="G594" s="23">
        <v>1400</v>
      </c>
      <c r="H594" s="24">
        <f t="shared" ref="H594:H595" si="341">F594*G594</f>
        <v>5460</v>
      </c>
      <c r="I594" s="23">
        <v>0</v>
      </c>
      <c r="J594" s="23">
        <f t="shared" ref="J594:J595" si="342">SUM(H594:I594)</f>
        <v>5460</v>
      </c>
      <c r="K594" s="32"/>
      <c r="L594" s="33"/>
      <c r="M594" s="34"/>
      <c r="N594" s="35">
        <f t="shared" si="340"/>
        <v>112057387.5</v>
      </c>
    </row>
    <row r="595" spans="1:14" s="18" customFormat="1" ht="24" hidden="1" customHeight="1" x14ac:dyDescent="0.3">
      <c r="A595" s="19"/>
      <c r="B595" s="19"/>
      <c r="C595" s="36" t="s">
        <v>265</v>
      </c>
      <c r="D595" s="37"/>
      <c r="E595" s="19">
        <v>34</v>
      </c>
      <c r="F595" s="22">
        <v>391.7</v>
      </c>
      <c r="G595" s="71">
        <v>5000</v>
      </c>
      <c r="H595" s="24">
        <f t="shared" si="341"/>
        <v>1958500</v>
      </c>
      <c r="I595" s="23">
        <f>H595*0.1</f>
        <v>195850</v>
      </c>
      <c r="J595" s="23">
        <f t="shared" si="342"/>
        <v>2154350</v>
      </c>
      <c r="K595" s="32"/>
      <c r="L595" s="33"/>
      <c r="M595" s="34"/>
      <c r="N595" s="35">
        <f t="shared" si="340"/>
        <v>114211737.5</v>
      </c>
    </row>
    <row r="596" spans="1:14" s="18" customFormat="1" ht="24" hidden="1" customHeight="1" x14ac:dyDescent="0.3">
      <c r="A596" s="19"/>
      <c r="B596" s="19"/>
      <c r="C596" s="39" t="s">
        <v>266</v>
      </c>
      <c r="D596" s="21"/>
      <c r="E596" s="19">
        <f>(4*2)*34</f>
        <v>272</v>
      </c>
      <c r="F596" s="22"/>
      <c r="G596" s="71">
        <f>20*100</f>
        <v>2000</v>
      </c>
      <c r="H596" s="24">
        <f>E596*G596</f>
        <v>544000</v>
      </c>
      <c r="I596" s="23">
        <f>H596*0.1</f>
        <v>54400</v>
      </c>
      <c r="J596" s="23">
        <f t="shared" ref="J596:J597" si="343">SUM(H596:I596)</f>
        <v>598400</v>
      </c>
      <c r="K596" s="32"/>
      <c r="L596" s="33"/>
      <c r="M596" s="34"/>
      <c r="N596" s="35">
        <f t="shared" si="340"/>
        <v>114810137.5</v>
      </c>
    </row>
    <row r="597" spans="1:14" s="18" customFormat="1" ht="24" hidden="1" customHeight="1" x14ac:dyDescent="0.3">
      <c r="A597" s="19"/>
      <c r="B597" s="19"/>
      <c r="C597" s="29" t="s">
        <v>267</v>
      </c>
      <c r="D597" s="37"/>
      <c r="E597" s="19">
        <v>272</v>
      </c>
      <c r="F597" s="22"/>
      <c r="G597" s="71">
        <v>500</v>
      </c>
      <c r="H597" s="24">
        <f>E597*G597</f>
        <v>136000</v>
      </c>
      <c r="I597" s="23">
        <f>H597*0.1</f>
        <v>13600</v>
      </c>
      <c r="J597" s="23">
        <f t="shared" si="343"/>
        <v>149600</v>
      </c>
      <c r="K597" s="32"/>
      <c r="L597" s="33"/>
      <c r="M597" s="34"/>
      <c r="N597" s="35">
        <f t="shared" si="340"/>
        <v>114959737.5</v>
      </c>
    </row>
    <row r="598" spans="1:14" s="18" customFormat="1" ht="24" hidden="1" customHeight="1" x14ac:dyDescent="0.3">
      <c r="A598" s="19"/>
      <c r="B598" s="19">
        <v>18</v>
      </c>
      <c r="C598" s="29" t="s">
        <v>138</v>
      </c>
      <c r="D598" s="37"/>
      <c r="E598" s="19"/>
      <c r="F598" s="22"/>
      <c r="G598" s="23"/>
      <c r="H598" s="24"/>
      <c r="I598" s="23"/>
      <c r="J598" s="23"/>
      <c r="K598" s="32"/>
      <c r="L598" s="33"/>
      <c r="M598" s="34"/>
      <c r="N598" s="35">
        <f t="shared" si="340"/>
        <v>114959737.5</v>
      </c>
    </row>
    <row r="599" spans="1:14" s="18" customFormat="1" ht="24" hidden="1" customHeight="1" x14ac:dyDescent="0.3">
      <c r="A599" s="19"/>
      <c r="B599" s="19"/>
      <c r="C599" s="36" t="s">
        <v>139</v>
      </c>
      <c r="D599" s="21"/>
      <c r="E599" s="19">
        <v>17</v>
      </c>
      <c r="F599" s="22">
        <v>223.6</v>
      </c>
      <c r="G599" s="23">
        <f>2200+550+1070+250+330</f>
        <v>4400</v>
      </c>
      <c r="H599" s="24">
        <f t="shared" ref="H599" si="344">F599*G599</f>
        <v>983840</v>
      </c>
      <c r="I599" s="23">
        <v>0</v>
      </c>
      <c r="J599" s="23">
        <f t="shared" ref="J599" si="345">SUM(H599:I599)</f>
        <v>983840</v>
      </c>
      <c r="K599" s="32"/>
      <c r="L599" s="33"/>
      <c r="M599" s="34"/>
      <c r="N599" s="35">
        <f t="shared" si="340"/>
        <v>115943577.5</v>
      </c>
    </row>
    <row r="600" spans="1:14" s="18" customFormat="1" ht="24" hidden="1" customHeight="1" x14ac:dyDescent="0.3">
      <c r="A600" s="19"/>
      <c r="B600" s="19">
        <v>18</v>
      </c>
      <c r="C600" s="29" t="s">
        <v>99</v>
      </c>
      <c r="D600" s="21"/>
      <c r="E600" s="19"/>
      <c r="F600" s="22"/>
      <c r="G600" s="23"/>
      <c r="H600" s="24"/>
      <c r="I600" s="23"/>
      <c r="J600" s="23"/>
      <c r="K600" s="32"/>
      <c r="L600" s="33"/>
      <c r="M600" s="34"/>
      <c r="N600" s="35">
        <f t="shared" si="340"/>
        <v>115943577.5</v>
      </c>
    </row>
    <row r="601" spans="1:14" s="18" customFormat="1" ht="24" hidden="1" customHeight="1" x14ac:dyDescent="0.3">
      <c r="A601" s="19"/>
      <c r="B601" s="19"/>
      <c r="C601" s="39" t="s">
        <v>268</v>
      </c>
      <c r="D601" s="21"/>
      <c r="E601" s="19">
        <v>2</v>
      </c>
      <c r="F601" s="22">
        <v>17.600000000000001</v>
      </c>
      <c r="G601" s="23">
        <f>550+1000+980+250</f>
        <v>2780</v>
      </c>
      <c r="H601" s="24">
        <f t="shared" ref="H601" si="346">F601*G601</f>
        <v>48928.000000000007</v>
      </c>
      <c r="I601" s="23">
        <v>0</v>
      </c>
      <c r="J601" s="23">
        <f t="shared" ref="J601" si="347">SUM(H601:I601)</f>
        <v>48928.000000000007</v>
      </c>
      <c r="K601" s="32"/>
      <c r="L601" s="33"/>
      <c r="M601" s="34"/>
      <c r="N601" s="35">
        <f t="shared" si="340"/>
        <v>115992505.5</v>
      </c>
    </row>
    <row r="602" spans="1:14" s="18" customFormat="1" ht="24" hidden="1" customHeight="1" x14ac:dyDescent="0.3">
      <c r="A602" s="19"/>
      <c r="B602" s="19">
        <v>18</v>
      </c>
      <c r="C602" s="39" t="s">
        <v>184</v>
      </c>
      <c r="D602" s="21"/>
      <c r="E602" s="19"/>
      <c r="F602" s="22"/>
      <c r="G602" s="23"/>
      <c r="H602" s="24"/>
      <c r="I602" s="23"/>
      <c r="J602" s="23"/>
      <c r="K602" s="32"/>
      <c r="L602" s="33"/>
      <c r="M602" s="34"/>
      <c r="N602" s="35">
        <f t="shared" si="340"/>
        <v>115992505.5</v>
      </c>
    </row>
    <row r="603" spans="1:14" s="18" customFormat="1" ht="24" hidden="1" customHeight="1" x14ac:dyDescent="0.3">
      <c r="A603" s="19"/>
      <c r="B603" s="19"/>
      <c r="C603" s="36" t="s">
        <v>226</v>
      </c>
      <c r="D603" s="21"/>
      <c r="E603" s="19">
        <v>158</v>
      </c>
      <c r="F603" s="22">
        <v>1389.3</v>
      </c>
      <c r="G603" s="23">
        <f>2200+2200+1200+1070+1070+250+250+330+330</f>
        <v>8900</v>
      </c>
      <c r="H603" s="24">
        <f t="shared" ref="H603" si="348">F603*G603</f>
        <v>12364770</v>
      </c>
      <c r="I603" s="23">
        <v>0</v>
      </c>
      <c r="J603" s="23">
        <f t="shared" ref="J603" si="349">SUM(H603:I603)</f>
        <v>12364770</v>
      </c>
      <c r="K603" s="32"/>
      <c r="L603" s="33"/>
      <c r="M603" s="34"/>
      <c r="N603" s="35">
        <f t="shared" si="340"/>
        <v>128357275.5</v>
      </c>
    </row>
    <row r="604" spans="1:14" s="18" customFormat="1" ht="24" hidden="1" customHeight="1" x14ac:dyDescent="0.3">
      <c r="A604" s="19"/>
      <c r="B604" s="19">
        <v>18</v>
      </c>
      <c r="C604" s="29" t="s">
        <v>269</v>
      </c>
      <c r="D604" s="21"/>
      <c r="E604" s="19"/>
      <c r="F604" s="22"/>
      <c r="G604" s="23"/>
      <c r="H604" s="24"/>
      <c r="I604" s="23"/>
      <c r="J604" s="23"/>
      <c r="K604" s="32"/>
      <c r="L604" s="33"/>
      <c r="M604" s="34"/>
      <c r="N604" s="35">
        <f t="shared" si="340"/>
        <v>128357275.5</v>
      </c>
    </row>
    <row r="605" spans="1:14" s="18" customFormat="1" ht="24" hidden="1" customHeight="1" x14ac:dyDescent="0.3">
      <c r="A605" s="19"/>
      <c r="B605" s="19"/>
      <c r="C605" s="39" t="s">
        <v>30</v>
      </c>
      <c r="D605" s="21"/>
      <c r="E605" s="19">
        <v>1</v>
      </c>
      <c r="F605" s="22">
        <v>8</v>
      </c>
      <c r="G605" s="23">
        <f>550+1000+980+250</f>
        <v>2780</v>
      </c>
      <c r="H605" s="24">
        <f t="shared" ref="H605" si="350">F605*G605</f>
        <v>22240</v>
      </c>
      <c r="I605" s="23">
        <v>0</v>
      </c>
      <c r="J605" s="23">
        <f t="shared" ref="J605" si="351">SUM(H605:I605)</f>
        <v>22240</v>
      </c>
      <c r="K605" s="32"/>
      <c r="L605" s="33"/>
      <c r="M605" s="34"/>
      <c r="N605" s="35">
        <f t="shared" si="340"/>
        <v>128379515.5</v>
      </c>
    </row>
    <row r="606" spans="1:14" s="18" customFormat="1" ht="24" hidden="1" customHeight="1" x14ac:dyDescent="0.3">
      <c r="A606" s="19"/>
      <c r="B606" s="19">
        <v>19</v>
      </c>
      <c r="C606" s="39" t="s">
        <v>254</v>
      </c>
      <c r="D606" s="21"/>
      <c r="E606" s="19"/>
      <c r="F606" s="22"/>
      <c r="G606" s="23"/>
      <c r="H606" s="24"/>
      <c r="I606" s="23"/>
      <c r="J606" s="23"/>
      <c r="K606" s="32"/>
      <c r="L606" s="33"/>
      <c r="M606" s="34"/>
      <c r="N606" s="35">
        <f t="shared" si="340"/>
        <v>128379515.5</v>
      </c>
    </row>
    <row r="607" spans="1:14" s="18" customFormat="1" ht="24" hidden="1" customHeight="1" x14ac:dyDescent="0.3">
      <c r="A607" s="19"/>
      <c r="B607" s="19"/>
      <c r="C607" s="36" t="s">
        <v>23</v>
      </c>
      <c r="D607" s="21"/>
      <c r="E607" s="19">
        <v>13</v>
      </c>
      <c r="F607" s="22">
        <v>173.2</v>
      </c>
      <c r="G607" s="23">
        <f>2200+550+1070+250+330</f>
        <v>4400</v>
      </c>
      <c r="H607" s="24">
        <f t="shared" ref="H607:H608" si="352">F607*G607</f>
        <v>762080</v>
      </c>
      <c r="I607" s="23">
        <v>0</v>
      </c>
      <c r="J607" s="23">
        <f t="shared" ref="J607:J608" si="353">SUM(H607:I607)</f>
        <v>762080</v>
      </c>
      <c r="K607" s="32"/>
      <c r="L607" s="33"/>
      <c r="M607" s="34"/>
      <c r="N607" s="35">
        <f t="shared" si="340"/>
        <v>129141595.5</v>
      </c>
    </row>
    <row r="608" spans="1:14" s="18" customFormat="1" ht="24" hidden="1" customHeight="1" x14ac:dyDescent="0.3">
      <c r="A608" s="19"/>
      <c r="B608" s="19"/>
      <c r="C608" s="36" t="s">
        <v>23</v>
      </c>
      <c r="D608" s="37" t="s">
        <v>248</v>
      </c>
      <c r="E608" s="19">
        <v>1</v>
      </c>
      <c r="F608" s="22">
        <v>26.5</v>
      </c>
      <c r="G608" s="23">
        <v>5720</v>
      </c>
      <c r="H608" s="24">
        <f t="shared" si="352"/>
        <v>151580</v>
      </c>
      <c r="I608" s="23">
        <v>0</v>
      </c>
      <c r="J608" s="23">
        <f t="shared" si="353"/>
        <v>151580</v>
      </c>
      <c r="K608" s="32"/>
      <c r="L608" s="33"/>
      <c r="M608" s="34"/>
      <c r="N608" s="35">
        <f t="shared" si="340"/>
        <v>129293175.5</v>
      </c>
    </row>
    <row r="609" spans="1:14" s="18" customFormat="1" ht="24" hidden="1" customHeight="1" x14ac:dyDescent="0.3">
      <c r="A609" s="19"/>
      <c r="B609" s="19"/>
      <c r="C609" s="39" t="s">
        <v>255</v>
      </c>
      <c r="D609" s="21"/>
      <c r="E609" s="19">
        <v>2</v>
      </c>
      <c r="F609" s="22"/>
      <c r="G609" s="23">
        <v>6000</v>
      </c>
      <c r="H609" s="24">
        <f>E609*G609</f>
        <v>12000</v>
      </c>
      <c r="I609" s="23">
        <v>0</v>
      </c>
      <c r="J609" s="23">
        <f t="shared" ref="J609" si="354">SUM(H609:I609)</f>
        <v>12000</v>
      </c>
      <c r="K609" s="32"/>
      <c r="L609" s="33"/>
      <c r="M609" s="34"/>
      <c r="N609" s="35">
        <f t="shared" si="340"/>
        <v>129305175.5</v>
      </c>
    </row>
    <row r="610" spans="1:14" s="18" customFormat="1" ht="24" hidden="1" customHeight="1" x14ac:dyDescent="0.3">
      <c r="A610" s="19"/>
      <c r="B610" s="19">
        <v>20</v>
      </c>
      <c r="C610" s="29" t="s">
        <v>254</v>
      </c>
      <c r="D610" s="21"/>
      <c r="E610" s="19"/>
      <c r="F610" s="22"/>
      <c r="G610" s="23"/>
      <c r="H610" s="24"/>
      <c r="I610" s="23"/>
      <c r="J610" s="23"/>
      <c r="K610" s="32"/>
      <c r="L610" s="33"/>
      <c r="M610" s="34"/>
      <c r="N610" s="35">
        <f t="shared" si="340"/>
        <v>129305175.5</v>
      </c>
    </row>
    <row r="611" spans="1:14" s="18" customFormat="1" ht="24" hidden="1" customHeight="1" x14ac:dyDescent="0.3">
      <c r="A611" s="19"/>
      <c r="B611" s="19"/>
      <c r="C611" s="36" t="s">
        <v>23</v>
      </c>
      <c r="D611" s="37"/>
      <c r="E611" s="19">
        <v>210</v>
      </c>
      <c r="F611" s="22">
        <v>2368.6999999999998</v>
      </c>
      <c r="G611" s="23">
        <f>2200+550+1070+250+330</f>
        <v>4400</v>
      </c>
      <c r="H611" s="24">
        <f t="shared" ref="H611" si="355">F611*G611</f>
        <v>10422280</v>
      </c>
      <c r="I611" s="23">
        <v>0</v>
      </c>
      <c r="J611" s="23">
        <f t="shared" ref="J611" si="356">SUM(H611:I611)</f>
        <v>10422280</v>
      </c>
      <c r="K611" s="32"/>
      <c r="L611" s="33"/>
      <c r="M611" s="34"/>
      <c r="N611" s="35">
        <f t="shared" si="340"/>
        <v>139727455.5</v>
      </c>
    </row>
    <row r="612" spans="1:14" s="18" customFormat="1" ht="24" hidden="1" customHeight="1" x14ac:dyDescent="0.3">
      <c r="A612" s="19"/>
      <c r="B612" s="19">
        <v>20</v>
      </c>
      <c r="C612" s="39" t="s">
        <v>270</v>
      </c>
      <c r="D612" s="37"/>
      <c r="E612" s="19"/>
      <c r="F612" s="22"/>
      <c r="G612" s="23"/>
      <c r="H612" s="24"/>
      <c r="I612" s="23"/>
      <c r="J612" s="47"/>
      <c r="K612" s="32"/>
      <c r="L612" s="33"/>
      <c r="M612" s="34"/>
      <c r="N612" s="35">
        <f t="shared" si="340"/>
        <v>139727455.5</v>
      </c>
    </row>
    <row r="613" spans="1:14" s="18" customFormat="1" ht="24" hidden="1" customHeight="1" x14ac:dyDescent="0.3">
      <c r="A613" s="19"/>
      <c r="B613" s="19"/>
      <c r="C613" s="36" t="s">
        <v>86</v>
      </c>
      <c r="D613" s="21"/>
      <c r="E613" s="19">
        <v>312</v>
      </c>
      <c r="F613" s="22">
        <v>2060.4</v>
      </c>
      <c r="G613" s="23">
        <f>550+1000+1070+250</f>
        <v>2870</v>
      </c>
      <c r="H613" s="24">
        <f t="shared" ref="H613" si="357">F613*G613</f>
        <v>5913348</v>
      </c>
      <c r="I613" s="23">
        <v>0</v>
      </c>
      <c r="J613" s="23">
        <f t="shared" ref="J613" si="358">SUM(H613:I613)</f>
        <v>5913348</v>
      </c>
      <c r="K613" s="32"/>
      <c r="L613" s="33"/>
      <c r="M613" s="34"/>
      <c r="N613" s="35">
        <f t="shared" si="340"/>
        <v>145640803.5</v>
      </c>
    </row>
    <row r="614" spans="1:14" s="18" customFormat="1" ht="24" hidden="1" customHeight="1" x14ac:dyDescent="0.3">
      <c r="A614" s="19"/>
      <c r="B614" s="19">
        <v>21</v>
      </c>
      <c r="C614" s="29" t="s">
        <v>223</v>
      </c>
      <c r="D614" s="21"/>
      <c r="E614" s="19"/>
      <c r="F614" s="22"/>
      <c r="G614" s="23"/>
      <c r="H614" s="24"/>
      <c r="I614" s="23"/>
      <c r="J614" s="23"/>
      <c r="K614" s="32"/>
      <c r="L614" s="33"/>
      <c r="M614" s="34"/>
      <c r="N614" s="35">
        <f t="shared" si="340"/>
        <v>145640803.5</v>
      </c>
    </row>
    <row r="615" spans="1:14" s="18" customFormat="1" ht="24" hidden="1" customHeight="1" x14ac:dyDescent="0.3">
      <c r="A615" s="19"/>
      <c r="B615" s="19"/>
      <c r="C615" s="36" t="s">
        <v>48</v>
      </c>
      <c r="D615" s="21"/>
      <c r="E615" s="19">
        <v>1</v>
      </c>
      <c r="F615" s="22">
        <v>5.3</v>
      </c>
      <c r="G615" s="23">
        <f>2200+550+1070+250</f>
        <v>4070</v>
      </c>
      <c r="H615" s="24">
        <f t="shared" ref="H615" si="359">F615*G615</f>
        <v>21571</v>
      </c>
      <c r="I615" s="23">
        <v>0</v>
      </c>
      <c r="J615" s="23">
        <f t="shared" ref="J615" si="360">SUM(H615:I615)</f>
        <v>21571</v>
      </c>
      <c r="K615" s="32"/>
      <c r="L615" s="33"/>
      <c r="M615" s="34"/>
      <c r="N615" s="35">
        <f t="shared" si="340"/>
        <v>145662374.5</v>
      </c>
    </row>
    <row r="616" spans="1:14" s="18" customFormat="1" ht="24" hidden="1" customHeight="1" x14ac:dyDescent="0.3">
      <c r="A616" s="19"/>
      <c r="B616" s="19">
        <v>21</v>
      </c>
      <c r="C616" s="39" t="s">
        <v>18</v>
      </c>
      <c r="D616" s="21"/>
      <c r="E616" s="19"/>
      <c r="F616" s="22"/>
      <c r="G616" s="23"/>
      <c r="H616" s="24"/>
      <c r="I616" s="23"/>
      <c r="J616" s="23"/>
      <c r="K616" s="32"/>
      <c r="L616" s="33"/>
      <c r="M616" s="34"/>
      <c r="N616" s="35">
        <f t="shared" si="340"/>
        <v>145662374.5</v>
      </c>
    </row>
    <row r="617" spans="1:14" s="18" customFormat="1" ht="24" hidden="1" customHeight="1" x14ac:dyDescent="0.3">
      <c r="A617" s="19"/>
      <c r="B617" s="19"/>
      <c r="C617" s="36" t="s">
        <v>34</v>
      </c>
      <c r="D617" s="21"/>
      <c r="E617" s="19">
        <v>1</v>
      </c>
      <c r="F617" s="22">
        <v>3.7</v>
      </c>
      <c r="G617" s="23">
        <f>550+2200-700+1070+250+290</f>
        <v>3660</v>
      </c>
      <c r="H617" s="24">
        <f t="shared" ref="H617:H618" si="361">F617*G617</f>
        <v>13542</v>
      </c>
      <c r="I617" s="23">
        <v>0</v>
      </c>
      <c r="J617" s="23">
        <f t="shared" ref="J617:J618" si="362">SUM(H617:I617)</f>
        <v>13542</v>
      </c>
      <c r="K617" s="32"/>
      <c r="L617" s="33"/>
      <c r="M617" s="34"/>
      <c r="N617" s="35">
        <f t="shared" si="340"/>
        <v>145675916.5</v>
      </c>
    </row>
    <row r="618" spans="1:14" s="18" customFormat="1" ht="24" hidden="1" customHeight="1" x14ac:dyDescent="0.3">
      <c r="A618" s="19"/>
      <c r="B618" s="19"/>
      <c r="C618" s="29" t="s">
        <v>100</v>
      </c>
      <c r="D618" s="21"/>
      <c r="E618" s="19">
        <v>2</v>
      </c>
      <c r="F618" s="22">
        <v>11.3</v>
      </c>
      <c r="G618" s="23">
        <v>1400</v>
      </c>
      <c r="H618" s="24">
        <f t="shared" si="361"/>
        <v>15820.000000000002</v>
      </c>
      <c r="I618" s="23">
        <v>0</v>
      </c>
      <c r="J618" s="23">
        <f t="shared" si="362"/>
        <v>15820.000000000002</v>
      </c>
      <c r="K618" s="32"/>
      <c r="L618" s="33"/>
      <c r="M618" s="34"/>
      <c r="N618" s="35">
        <f t="shared" si="340"/>
        <v>145691736.5</v>
      </c>
    </row>
    <row r="619" spans="1:14" s="18" customFormat="1" ht="24" hidden="1" customHeight="1" x14ac:dyDescent="0.3">
      <c r="A619" s="19"/>
      <c r="B619" s="19">
        <v>21</v>
      </c>
      <c r="C619" s="29" t="s">
        <v>161</v>
      </c>
      <c r="D619" s="37"/>
      <c r="E619" s="19"/>
      <c r="F619" s="22"/>
      <c r="G619" s="23"/>
      <c r="H619" s="24"/>
      <c r="I619" s="23"/>
      <c r="J619" s="23"/>
      <c r="K619" s="32"/>
      <c r="L619" s="33"/>
      <c r="M619" s="34"/>
      <c r="N619" s="35">
        <f t="shared" si="340"/>
        <v>145691736.5</v>
      </c>
    </row>
    <row r="620" spans="1:14" s="18" customFormat="1" ht="24" hidden="1" customHeight="1" x14ac:dyDescent="0.3">
      <c r="A620" s="19"/>
      <c r="B620" s="19"/>
      <c r="C620" s="36" t="s">
        <v>98</v>
      </c>
      <c r="D620" s="21"/>
      <c r="E620" s="19">
        <v>1</v>
      </c>
      <c r="F620" s="22">
        <v>20.9</v>
      </c>
      <c r="G620" s="23">
        <f>2500+900+1200+300+390</f>
        <v>5290</v>
      </c>
      <c r="H620" s="24">
        <f t="shared" ref="H620" si="363">F620*G620</f>
        <v>110560.99999999999</v>
      </c>
      <c r="I620" s="23">
        <v>0</v>
      </c>
      <c r="J620" s="23">
        <f t="shared" ref="J620" si="364">SUM(H620:I620)</f>
        <v>110560.99999999999</v>
      </c>
      <c r="K620" s="32"/>
      <c r="L620" s="33"/>
      <c r="M620" s="34"/>
      <c r="N620" s="35">
        <f t="shared" si="340"/>
        <v>145802297.5</v>
      </c>
    </row>
    <row r="621" spans="1:14" s="18" customFormat="1" ht="24" hidden="1" customHeight="1" x14ac:dyDescent="0.3">
      <c r="A621" s="19"/>
      <c r="B621" s="19">
        <v>21</v>
      </c>
      <c r="C621" s="29" t="s">
        <v>271</v>
      </c>
      <c r="D621" s="37"/>
      <c r="E621" s="19"/>
      <c r="F621" s="22"/>
      <c r="G621" s="23"/>
      <c r="H621" s="24"/>
      <c r="I621" s="23"/>
      <c r="J621" s="23"/>
      <c r="K621" s="32"/>
      <c r="L621" s="33"/>
      <c r="M621" s="34"/>
      <c r="N621" s="35">
        <f t="shared" si="340"/>
        <v>145802297.5</v>
      </c>
    </row>
    <row r="622" spans="1:14" s="18" customFormat="1" ht="24" hidden="1" customHeight="1" x14ac:dyDescent="0.3">
      <c r="A622" s="19"/>
      <c r="B622" s="19"/>
      <c r="C622" s="36" t="s">
        <v>272</v>
      </c>
      <c r="D622" s="21"/>
      <c r="E622" s="19">
        <v>56</v>
      </c>
      <c r="F622" s="22">
        <v>666.7</v>
      </c>
      <c r="G622" s="23">
        <f>900+1250+1070+250</f>
        <v>3470</v>
      </c>
      <c r="H622" s="24">
        <f t="shared" ref="H622:H623" si="365">F622*G622</f>
        <v>2313449</v>
      </c>
      <c r="I622" s="23">
        <v>0</v>
      </c>
      <c r="J622" s="23">
        <f t="shared" ref="J622:J623" si="366">SUM(H622:I622)</f>
        <v>2313449</v>
      </c>
      <c r="K622" s="32"/>
      <c r="L622" s="33"/>
      <c r="M622" s="34"/>
      <c r="N622" s="38">
        <f t="shared" si="340"/>
        <v>148115746.5</v>
      </c>
    </row>
    <row r="623" spans="1:14" s="18" customFormat="1" ht="24" hidden="1" customHeight="1" x14ac:dyDescent="0.3">
      <c r="A623" s="19"/>
      <c r="B623" s="19">
        <v>21</v>
      </c>
      <c r="C623" s="36" t="s">
        <v>87</v>
      </c>
      <c r="D623" s="21"/>
      <c r="E623" s="19">
        <v>2</v>
      </c>
      <c r="F623" s="22">
        <v>9.8000000000000007</v>
      </c>
      <c r="G623" s="23">
        <f>900+1000+1070+250</f>
        <v>3220</v>
      </c>
      <c r="H623" s="24">
        <f t="shared" si="365"/>
        <v>31556.000000000004</v>
      </c>
      <c r="I623" s="23">
        <v>0</v>
      </c>
      <c r="J623" s="23">
        <f t="shared" si="366"/>
        <v>31556.000000000004</v>
      </c>
      <c r="K623" s="32"/>
      <c r="L623" s="33"/>
      <c r="M623" s="34"/>
      <c r="N623" s="38">
        <f t="shared" si="340"/>
        <v>148147302.5</v>
      </c>
    </row>
    <row r="624" spans="1:14" s="18" customFormat="1" ht="24" hidden="1" customHeight="1" x14ac:dyDescent="0.3">
      <c r="A624" s="19"/>
      <c r="B624" s="19"/>
      <c r="C624" s="36"/>
      <c r="D624" s="21"/>
      <c r="E624" s="19"/>
      <c r="F624" s="22"/>
      <c r="G624" s="23"/>
      <c r="H624" s="24"/>
      <c r="I624" s="23"/>
      <c r="J624" s="23"/>
      <c r="K624" s="32"/>
      <c r="L624" s="33"/>
      <c r="M624" s="34"/>
      <c r="N624" s="38">
        <f t="shared" si="340"/>
        <v>148147302.5</v>
      </c>
    </row>
    <row r="625" spans="1:14" s="2" customFormat="1" ht="27" hidden="1" customHeight="1" thickBot="1" x14ac:dyDescent="0.35">
      <c r="A625" s="1"/>
      <c r="B625" s="1"/>
      <c r="C625" s="1"/>
      <c r="E625" s="86" t="s">
        <v>0</v>
      </c>
      <c r="F625" s="86"/>
      <c r="G625" s="86"/>
      <c r="H625" s="86"/>
      <c r="I625" s="86"/>
      <c r="J625" s="86"/>
      <c r="K625" s="1"/>
      <c r="L625" s="3"/>
      <c r="M625" s="3"/>
      <c r="N625" s="1"/>
    </row>
    <row r="626" spans="1:14" s="2" customFormat="1" ht="24" hidden="1" customHeight="1" thickTop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3"/>
      <c r="M626" s="3"/>
      <c r="N626" s="1"/>
    </row>
    <row r="627" spans="1:14" s="2" customFormat="1" ht="24" hidden="1" customHeight="1" thickBot="1" x14ac:dyDescent="0.35">
      <c r="A627" s="2" t="s">
        <v>1</v>
      </c>
      <c r="C627" s="4"/>
      <c r="D627" s="4"/>
      <c r="E627" s="5"/>
      <c r="F627" s="6"/>
      <c r="G627" s="7"/>
      <c r="H627" s="7"/>
      <c r="I627" s="7"/>
      <c r="J627" s="8"/>
      <c r="K627" s="9"/>
      <c r="L627" s="10"/>
      <c r="M627" s="11"/>
      <c r="N627" s="12" t="s">
        <v>2</v>
      </c>
    </row>
    <row r="628" spans="1:14" s="18" customFormat="1" ht="24" hidden="1" customHeight="1" thickTop="1" thickBot="1" x14ac:dyDescent="0.35">
      <c r="A628" s="13" t="s">
        <v>3</v>
      </c>
      <c r="B628" s="13" t="s">
        <v>4</v>
      </c>
      <c r="C628" s="87" t="s">
        <v>5</v>
      </c>
      <c r="D628" s="88"/>
      <c r="E628" s="13" t="s">
        <v>6</v>
      </c>
      <c r="F628" s="14" t="s">
        <v>7</v>
      </c>
      <c r="G628" s="15" t="s">
        <v>8</v>
      </c>
      <c r="H628" s="15" t="s">
        <v>9</v>
      </c>
      <c r="I628" s="15" t="s">
        <v>10</v>
      </c>
      <c r="J628" s="15" t="s">
        <v>11</v>
      </c>
      <c r="K628" s="16" t="s">
        <v>12</v>
      </c>
      <c r="L628" s="89" t="s">
        <v>13</v>
      </c>
      <c r="M628" s="90"/>
      <c r="N628" s="17" t="s">
        <v>14</v>
      </c>
    </row>
    <row r="629" spans="1:14" s="18" customFormat="1" ht="24" hidden="1" customHeight="1" thickTop="1" x14ac:dyDescent="0.3">
      <c r="A629" s="41"/>
      <c r="B629" s="41"/>
      <c r="C629" s="70" t="s">
        <v>41</v>
      </c>
      <c r="D629" s="40"/>
      <c r="E629" s="41"/>
      <c r="F629" s="42"/>
      <c r="G629" s="43"/>
      <c r="H629" s="44"/>
      <c r="I629" s="43"/>
      <c r="J629" s="43"/>
      <c r="K629" s="25"/>
      <c r="L629" s="26"/>
      <c r="M629" s="27"/>
      <c r="N629" s="28">
        <f>N624</f>
        <v>148147302.5</v>
      </c>
    </row>
    <row r="630" spans="1:14" s="18" customFormat="1" ht="24" hidden="1" customHeight="1" x14ac:dyDescent="0.3">
      <c r="A630" s="19">
        <v>3</v>
      </c>
      <c r="B630" s="19">
        <v>21</v>
      </c>
      <c r="C630" s="29" t="s">
        <v>273</v>
      </c>
      <c r="D630" s="21"/>
      <c r="E630" s="19"/>
      <c r="F630" s="22"/>
      <c r="G630" s="23"/>
      <c r="H630" s="24"/>
      <c r="I630" s="23"/>
      <c r="J630" s="23"/>
      <c r="K630" s="32"/>
      <c r="L630" s="33"/>
      <c r="M630" s="34"/>
      <c r="N630" s="35">
        <f>N629+J630+K630</f>
        <v>148147302.5</v>
      </c>
    </row>
    <row r="631" spans="1:14" s="18" customFormat="1" ht="24" hidden="1" customHeight="1" x14ac:dyDescent="0.3">
      <c r="A631" s="19"/>
      <c r="B631" s="19"/>
      <c r="C631" s="36" t="s">
        <v>232</v>
      </c>
      <c r="D631" s="21"/>
      <c r="E631" s="19">
        <v>24</v>
      </c>
      <c r="F631" s="22">
        <v>680.5</v>
      </c>
      <c r="G631" s="23">
        <f>900+1250+1200+300</f>
        <v>3650</v>
      </c>
      <c r="H631" s="24">
        <f t="shared" ref="H631:H632" si="367">F631*G631</f>
        <v>2483825</v>
      </c>
      <c r="I631" s="23">
        <v>0</v>
      </c>
      <c r="J631" s="23">
        <f t="shared" ref="J631:J632" si="368">SUM(H631:I631)</f>
        <v>2483825</v>
      </c>
      <c r="K631" s="32"/>
      <c r="L631" s="33"/>
      <c r="M631" s="34"/>
      <c r="N631" s="35">
        <f>N630+J631+K631</f>
        <v>150631127.5</v>
      </c>
    </row>
    <row r="632" spans="1:14" s="18" customFormat="1" ht="24" hidden="1" customHeight="1" x14ac:dyDescent="0.3">
      <c r="A632" s="19"/>
      <c r="B632" s="19"/>
      <c r="C632" s="36" t="s">
        <v>274</v>
      </c>
      <c r="D632" s="21"/>
      <c r="E632" s="19">
        <v>9</v>
      </c>
      <c r="F632" s="22">
        <v>340.5</v>
      </c>
      <c r="G632" s="23">
        <f>1500+2100+1200+300</f>
        <v>5100</v>
      </c>
      <c r="H632" s="24">
        <f t="shared" si="367"/>
        <v>1736550</v>
      </c>
      <c r="I632" s="23">
        <v>0</v>
      </c>
      <c r="J632" s="23">
        <f t="shared" si="368"/>
        <v>1736550</v>
      </c>
      <c r="K632" s="32"/>
      <c r="L632" s="33"/>
      <c r="M632" s="34"/>
      <c r="N632" s="35">
        <f t="shared" ref="N632:N663" si="369">N631+J632+K632</f>
        <v>152367677.5</v>
      </c>
    </row>
    <row r="633" spans="1:14" s="18" customFormat="1" ht="24" hidden="1" customHeight="1" x14ac:dyDescent="0.3">
      <c r="A633" s="19"/>
      <c r="B633" s="19"/>
      <c r="C633" s="36"/>
      <c r="D633" s="21"/>
      <c r="E633" s="19"/>
      <c r="F633" s="22"/>
      <c r="G633" s="23"/>
      <c r="H633" s="24"/>
      <c r="I633" s="23"/>
      <c r="J633" s="23"/>
      <c r="K633" s="32"/>
      <c r="L633" s="33"/>
      <c r="M633" s="34"/>
      <c r="N633" s="35">
        <f t="shared" si="369"/>
        <v>152367677.5</v>
      </c>
    </row>
    <row r="634" spans="1:14" s="18" customFormat="1" ht="24" hidden="1" customHeight="1" x14ac:dyDescent="0.3">
      <c r="A634" s="19"/>
      <c r="B634" s="19">
        <v>24</v>
      </c>
      <c r="C634" s="39" t="s">
        <v>184</v>
      </c>
      <c r="D634" s="21"/>
      <c r="E634" s="19"/>
      <c r="F634" s="22"/>
      <c r="G634" s="23"/>
      <c r="H634" s="24"/>
      <c r="I634" s="23"/>
      <c r="J634" s="23"/>
      <c r="K634" s="32"/>
      <c r="L634" s="33"/>
      <c r="M634" s="34"/>
      <c r="N634" s="35">
        <f t="shared" si="369"/>
        <v>152367677.5</v>
      </c>
    </row>
    <row r="635" spans="1:14" s="18" customFormat="1" ht="24" hidden="1" customHeight="1" x14ac:dyDescent="0.3">
      <c r="A635" s="19"/>
      <c r="B635" s="19"/>
      <c r="C635" s="29" t="s">
        <v>275</v>
      </c>
      <c r="D635" s="21"/>
      <c r="E635" s="19">
        <v>1</v>
      </c>
      <c r="F635" s="22">
        <v>3</v>
      </c>
      <c r="G635" s="23">
        <f>550+1000+980+250</f>
        <v>2780</v>
      </c>
      <c r="H635" s="24">
        <f t="shared" ref="H635" si="370">F635*G635</f>
        <v>8340</v>
      </c>
      <c r="I635" s="23">
        <v>0</v>
      </c>
      <c r="J635" s="23">
        <f t="shared" ref="J635" si="371">SUM(H635:I635)</f>
        <v>8340</v>
      </c>
      <c r="K635" s="32"/>
      <c r="L635" s="33"/>
      <c r="M635" s="34"/>
      <c r="N635" s="35">
        <f t="shared" si="369"/>
        <v>152376017.5</v>
      </c>
    </row>
    <row r="636" spans="1:14" s="18" customFormat="1" ht="24" hidden="1" customHeight="1" x14ac:dyDescent="0.3">
      <c r="A636" s="19"/>
      <c r="B636" s="19">
        <v>24</v>
      </c>
      <c r="C636" s="29" t="s">
        <v>146</v>
      </c>
      <c r="D636" s="21"/>
      <c r="E636" s="19"/>
      <c r="F636" s="22"/>
      <c r="G636" s="23"/>
      <c r="H636" s="24"/>
      <c r="I636" s="23"/>
      <c r="J636" s="23"/>
      <c r="K636" s="32"/>
      <c r="L636" s="33"/>
      <c r="M636" s="34"/>
      <c r="N636" s="35">
        <f t="shared" si="369"/>
        <v>152376017.5</v>
      </c>
    </row>
    <row r="637" spans="1:14" s="18" customFormat="1" ht="24" hidden="1" customHeight="1" x14ac:dyDescent="0.3">
      <c r="A637" s="19"/>
      <c r="B637" s="19"/>
      <c r="C637" s="36" t="s">
        <v>276</v>
      </c>
      <c r="D637" s="37"/>
      <c r="E637" s="19">
        <v>1</v>
      </c>
      <c r="F637" s="22">
        <v>18.100000000000001</v>
      </c>
      <c r="G637" s="23">
        <f>2200+550+1070+250+290</f>
        <v>4360</v>
      </c>
      <c r="H637" s="24">
        <f t="shared" ref="H637" si="372">F637*G637</f>
        <v>78916</v>
      </c>
      <c r="I637" s="23">
        <v>0</v>
      </c>
      <c r="J637" s="23">
        <f t="shared" ref="J637" si="373">SUM(H637:I637)</f>
        <v>78916</v>
      </c>
      <c r="K637" s="32"/>
      <c r="L637" s="33"/>
      <c r="M637" s="34"/>
      <c r="N637" s="35">
        <f t="shared" si="369"/>
        <v>152454933.5</v>
      </c>
    </row>
    <row r="638" spans="1:14" s="18" customFormat="1" ht="24" hidden="1" customHeight="1" x14ac:dyDescent="0.3">
      <c r="A638" s="19"/>
      <c r="B638" s="19">
        <v>24</v>
      </c>
      <c r="C638" s="39" t="s">
        <v>277</v>
      </c>
      <c r="D638" s="21"/>
      <c r="E638" s="19"/>
      <c r="F638" s="22"/>
      <c r="G638" s="23"/>
      <c r="H638" s="24"/>
      <c r="I638" s="23"/>
      <c r="J638" s="23"/>
      <c r="K638" s="32"/>
      <c r="L638" s="33"/>
      <c r="M638" s="34"/>
      <c r="N638" s="35">
        <f t="shared" si="369"/>
        <v>152454933.5</v>
      </c>
    </row>
    <row r="639" spans="1:14" s="18" customFormat="1" ht="24" hidden="1" customHeight="1" x14ac:dyDescent="0.3">
      <c r="A639" s="19"/>
      <c r="B639" s="19"/>
      <c r="C639" s="29" t="s">
        <v>86</v>
      </c>
      <c r="D639" s="37"/>
      <c r="E639" s="19">
        <v>1</v>
      </c>
      <c r="F639" s="22">
        <v>16</v>
      </c>
      <c r="G639" s="23">
        <f>550+1000+1070+250</f>
        <v>2870</v>
      </c>
      <c r="H639" s="24">
        <f t="shared" ref="H639" si="374">F639*G639</f>
        <v>45920</v>
      </c>
      <c r="I639" s="23">
        <v>0</v>
      </c>
      <c r="J639" s="23">
        <f t="shared" ref="J639" si="375">SUM(H639:I639)</f>
        <v>45920</v>
      </c>
      <c r="K639" s="32"/>
      <c r="L639" s="33"/>
      <c r="M639" s="34"/>
      <c r="N639" s="35">
        <f t="shared" si="369"/>
        <v>152500853.5</v>
      </c>
    </row>
    <row r="640" spans="1:14" s="18" customFormat="1" ht="24" hidden="1" customHeight="1" x14ac:dyDescent="0.3">
      <c r="A640" s="19">
        <v>1</v>
      </c>
      <c r="B640" s="19">
        <v>16</v>
      </c>
      <c r="C640" s="20" t="s">
        <v>278</v>
      </c>
      <c r="D640" s="21"/>
      <c r="E640" s="19"/>
      <c r="F640" s="22"/>
      <c r="G640" s="23"/>
      <c r="H640" s="24"/>
      <c r="I640" s="23"/>
      <c r="J640" s="23"/>
      <c r="K640" s="32"/>
      <c r="L640" s="33"/>
      <c r="M640" s="34"/>
      <c r="N640" s="35">
        <f t="shared" si="369"/>
        <v>152500853.5</v>
      </c>
    </row>
    <row r="641" spans="1:14" s="18" customFormat="1" ht="24" hidden="1" customHeight="1" x14ac:dyDescent="0.3">
      <c r="A641" s="19"/>
      <c r="B641" s="19"/>
      <c r="C641" s="36" t="s">
        <v>279</v>
      </c>
      <c r="D641" s="21"/>
      <c r="E641" s="19">
        <v>6</v>
      </c>
      <c r="F641" s="22">
        <v>60.8</v>
      </c>
      <c r="G641" s="23">
        <f>2200+1200+1070+250+330</f>
        <v>5050</v>
      </c>
      <c r="H641" s="24">
        <f t="shared" ref="H641:H642" si="376">F641*G641</f>
        <v>307040</v>
      </c>
      <c r="I641" s="23">
        <v>0</v>
      </c>
      <c r="J641" s="23">
        <f t="shared" ref="J641:J642" si="377">SUM(H641:I641)</f>
        <v>307040</v>
      </c>
      <c r="K641" s="32"/>
      <c r="L641" s="33"/>
      <c r="M641" s="34"/>
      <c r="N641" s="35">
        <f t="shared" si="369"/>
        <v>152807893.5</v>
      </c>
    </row>
    <row r="642" spans="1:14" s="18" customFormat="1" ht="24" hidden="1" customHeight="1" x14ac:dyDescent="0.3">
      <c r="A642" s="19"/>
      <c r="B642" s="19"/>
      <c r="C642" s="36" t="s">
        <v>280</v>
      </c>
      <c r="D642" s="21"/>
      <c r="E642" s="19">
        <v>24</v>
      </c>
      <c r="F642" s="22">
        <v>228.1</v>
      </c>
      <c r="G642" s="23">
        <f>2200+550+1070+250+330</f>
        <v>4400</v>
      </c>
      <c r="H642" s="24">
        <f t="shared" si="376"/>
        <v>1003640</v>
      </c>
      <c r="I642" s="23">
        <v>0</v>
      </c>
      <c r="J642" s="23">
        <f t="shared" si="377"/>
        <v>1003640</v>
      </c>
      <c r="K642" s="32"/>
      <c r="L642" s="33"/>
      <c r="M642" s="34"/>
      <c r="N642" s="35">
        <f t="shared" si="369"/>
        <v>153811533.5</v>
      </c>
    </row>
    <row r="643" spans="1:14" s="18" customFormat="1" ht="24" hidden="1" customHeight="1" x14ac:dyDescent="0.3">
      <c r="A643" s="19">
        <v>3</v>
      </c>
      <c r="B643" s="19">
        <v>24</v>
      </c>
      <c r="C643" s="20" t="s">
        <v>281</v>
      </c>
      <c r="D643" s="21"/>
      <c r="E643" s="19"/>
      <c r="F643" s="22"/>
      <c r="G643" s="23"/>
      <c r="H643" s="24"/>
      <c r="I643" s="23"/>
      <c r="J643" s="23"/>
      <c r="K643" s="32"/>
      <c r="L643" s="33"/>
      <c r="M643" s="34"/>
      <c r="N643" s="35">
        <f t="shared" si="369"/>
        <v>153811533.5</v>
      </c>
    </row>
    <row r="644" spans="1:14" s="18" customFormat="1" ht="24" hidden="1" customHeight="1" x14ac:dyDescent="0.3">
      <c r="A644" s="19"/>
      <c r="B644" s="19"/>
      <c r="C644" s="36" t="s">
        <v>279</v>
      </c>
      <c r="D644" s="21"/>
      <c r="E644" s="19">
        <v>37</v>
      </c>
      <c r="F644" s="22">
        <v>600.9</v>
      </c>
      <c r="G644" s="23">
        <f>2200+1200+1070+250+330</f>
        <v>5050</v>
      </c>
      <c r="H644" s="24">
        <f t="shared" ref="H644:H645" si="378">F644*G644</f>
        <v>3034545</v>
      </c>
      <c r="I644" s="23">
        <v>0</v>
      </c>
      <c r="J644" s="23">
        <f t="shared" ref="J644:J645" si="379">SUM(H644:I644)</f>
        <v>3034545</v>
      </c>
      <c r="K644" s="32"/>
      <c r="L644" s="33"/>
      <c r="M644" s="34"/>
      <c r="N644" s="35">
        <f t="shared" si="369"/>
        <v>156846078.5</v>
      </c>
    </row>
    <row r="645" spans="1:14" s="18" customFormat="1" ht="24" hidden="1" customHeight="1" x14ac:dyDescent="0.3">
      <c r="A645" s="19"/>
      <c r="B645" s="19"/>
      <c r="C645" s="36" t="s">
        <v>280</v>
      </c>
      <c r="D645" s="21"/>
      <c r="E645" s="19">
        <v>234</v>
      </c>
      <c r="F645" s="22">
        <v>3401.6</v>
      </c>
      <c r="G645" s="23">
        <f>2200+550+1070+250+330</f>
        <v>4400</v>
      </c>
      <c r="H645" s="24">
        <f t="shared" si="378"/>
        <v>14967040</v>
      </c>
      <c r="I645" s="23">
        <v>0</v>
      </c>
      <c r="J645" s="23">
        <f t="shared" si="379"/>
        <v>14967040</v>
      </c>
      <c r="K645" s="32"/>
      <c r="L645" s="33"/>
      <c r="M645" s="34"/>
      <c r="N645" s="35">
        <f t="shared" si="369"/>
        <v>171813118.5</v>
      </c>
    </row>
    <row r="646" spans="1:14" s="18" customFormat="1" ht="24" hidden="1" customHeight="1" x14ac:dyDescent="0.3">
      <c r="A646" s="19"/>
      <c r="B646" s="19">
        <v>26</v>
      </c>
      <c r="C646" s="39" t="s">
        <v>282</v>
      </c>
      <c r="D646" s="37"/>
      <c r="E646" s="19"/>
      <c r="F646" s="22"/>
      <c r="G646" s="23"/>
      <c r="H646" s="24"/>
      <c r="I646" s="23"/>
      <c r="J646" s="23"/>
      <c r="K646" s="32"/>
      <c r="L646" s="33"/>
      <c r="M646" s="34"/>
      <c r="N646" s="35">
        <f t="shared" si="369"/>
        <v>171813118.5</v>
      </c>
    </row>
    <row r="647" spans="1:14" s="18" customFormat="1" ht="24" hidden="1" customHeight="1" x14ac:dyDescent="0.3">
      <c r="A647" s="19"/>
      <c r="B647" s="19"/>
      <c r="C647" s="39" t="s">
        <v>115</v>
      </c>
      <c r="D647" s="21"/>
      <c r="E647" s="19">
        <v>4</v>
      </c>
      <c r="F647" s="22">
        <v>12</v>
      </c>
      <c r="G647" s="23">
        <f>550+550+980</f>
        <v>2080</v>
      </c>
      <c r="H647" s="24">
        <f t="shared" ref="H647:H648" si="380">F647*G647</f>
        <v>24960</v>
      </c>
      <c r="I647" s="23">
        <v>0</v>
      </c>
      <c r="J647" s="23">
        <f t="shared" ref="J647:J648" si="381">SUM(H647:I647)</f>
        <v>24960</v>
      </c>
      <c r="K647" s="32"/>
      <c r="L647" s="33"/>
      <c r="M647" s="34"/>
      <c r="N647" s="35">
        <f t="shared" si="369"/>
        <v>171838078.5</v>
      </c>
    </row>
    <row r="648" spans="1:14" s="18" customFormat="1" ht="24" hidden="1" customHeight="1" x14ac:dyDescent="0.3">
      <c r="A648" s="19"/>
      <c r="B648" s="19"/>
      <c r="C648" s="36" t="s">
        <v>86</v>
      </c>
      <c r="D648" s="21"/>
      <c r="E648" s="19">
        <v>3</v>
      </c>
      <c r="F648" s="22">
        <v>9.5</v>
      </c>
      <c r="G648" s="23">
        <f>550+1000+1070+250</f>
        <v>2870</v>
      </c>
      <c r="H648" s="24">
        <f t="shared" si="380"/>
        <v>27265</v>
      </c>
      <c r="I648" s="23">
        <v>0</v>
      </c>
      <c r="J648" s="23">
        <f t="shared" si="381"/>
        <v>27265</v>
      </c>
      <c r="K648" s="32"/>
      <c r="L648" s="33"/>
      <c r="M648" s="34"/>
      <c r="N648" s="35">
        <f t="shared" si="369"/>
        <v>171865343.5</v>
      </c>
    </row>
    <row r="649" spans="1:14" s="18" customFormat="1" ht="24" hidden="1" customHeight="1" x14ac:dyDescent="0.3">
      <c r="A649" s="19"/>
      <c r="B649" s="19">
        <v>26</v>
      </c>
      <c r="C649" s="39" t="s">
        <v>200</v>
      </c>
      <c r="D649" s="37"/>
      <c r="E649" s="19"/>
      <c r="F649" s="22"/>
      <c r="G649" s="23"/>
      <c r="H649" s="24"/>
      <c r="I649" s="23"/>
      <c r="J649" s="23"/>
      <c r="K649" s="32"/>
      <c r="L649" s="33"/>
      <c r="M649" s="34"/>
      <c r="N649" s="35">
        <f t="shared" si="369"/>
        <v>171865343.5</v>
      </c>
    </row>
    <row r="650" spans="1:14" s="18" customFormat="1" ht="24" hidden="1" customHeight="1" x14ac:dyDescent="0.3">
      <c r="A650" s="19"/>
      <c r="B650" s="19"/>
      <c r="C650" s="69" t="s">
        <v>135</v>
      </c>
      <c r="D650" s="37"/>
      <c r="E650" s="19">
        <v>1</v>
      </c>
      <c r="F650" s="22">
        <v>3</v>
      </c>
      <c r="G650" s="23">
        <f>900+1250+980+250</f>
        <v>3380</v>
      </c>
      <c r="H650" s="24">
        <f t="shared" ref="H650" si="382">F650*G650</f>
        <v>10140</v>
      </c>
      <c r="I650" s="23">
        <v>0</v>
      </c>
      <c r="J650" s="23">
        <f t="shared" ref="J650" si="383">SUM(H650:I650)</f>
        <v>10140</v>
      </c>
      <c r="K650" s="32"/>
      <c r="L650" s="33"/>
      <c r="M650" s="34"/>
      <c r="N650" s="35">
        <f t="shared" si="369"/>
        <v>171875483.5</v>
      </c>
    </row>
    <row r="651" spans="1:14" s="18" customFormat="1" ht="24" hidden="1" customHeight="1" x14ac:dyDescent="0.3">
      <c r="A651" s="19"/>
      <c r="B651" s="19">
        <v>26</v>
      </c>
      <c r="C651" s="39" t="s">
        <v>186</v>
      </c>
      <c r="D651" s="21"/>
      <c r="E651" s="19"/>
      <c r="F651" s="22"/>
      <c r="G651" s="23"/>
      <c r="H651" s="24"/>
      <c r="I651" s="23"/>
      <c r="J651" s="23"/>
      <c r="K651" s="32"/>
      <c r="L651" s="33"/>
      <c r="M651" s="34"/>
      <c r="N651" s="35">
        <f t="shared" si="369"/>
        <v>171875483.5</v>
      </c>
    </row>
    <row r="652" spans="1:14" s="18" customFormat="1" ht="24" hidden="1" customHeight="1" x14ac:dyDescent="0.3">
      <c r="A652" s="19"/>
      <c r="B652" s="19"/>
      <c r="C652" s="29" t="s">
        <v>283</v>
      </c>
      <c r="D652" s="21"/>
      <c r="E652" s="19">
        <v>1</v>
      </c>
      <c r="F652" s="22">
        <v>18.8</v>
      </c>
      <c r="G652" s="23">
        <f>550+1200+1070</f>
        <v>2820</v>
      </c>
      <c r="H652" s="24">
        <f t="shared" ref="H652" si="384">F652*G652</f>
        <v>53016</v>
      </c>
      <c r="I652" s="23">
        <v>0</v>
      </c>
      <c r="J652" s="23">
        <f t="shared" ref="J652" si="385">SUM(H652:I652)</f>
        <v>53016</v>
      </c>
      <c r="K652" s="32"/>
      <c r="L652" s="33"/>
      <c r="M652" s="34"/>
      <c r="N652" s="35">
        <f t="shared" si="369"/>
        <v>171928499.5</v>
      </c>
    </row>
    <row r="653" spans="1:14" s="18" customFormat="1" ht="24" hidden="1" customHeight="1" x14ac:dyDescent="0.3">
      <c r="A653" s="19"/>
      <c r="B653" s="19">
        <v>26</v>
      </c>
      <c r="C653" s="29" t="s">
        <v>161</v>
      </c>
      <c r="D653" s="21"/>
      <c r="E653" s="19"/>
      <c r="F653" s="22"/>
      <c r="G653" s="23"/>
      <c r="H653" s="24"/>
      <c r="I653" s="23"/>
      <c r="J653" s="23"/>
      <c r="K653" s="32"/>
      <c r="L653" s="33"/>
      <c r="M653" s="34"/>
      <c r="N653" s="35">
        <f t="shared" si="369"/>
        <v>171928499.5</v>
      </c>
    </row>
    <row r="654" spans="1:14" s="18" customFormat="1" ht="24" hidden="1" customHeight="1" x14ac:dyDescent="0.3">
      <c r="A654" s="19"/>
      <c r="B654" s="19"/>
      <c r="C654" s="39" t="s">
        <v>284</v>
      </c>
      <c r="D654" s="21"/>
      <c r="E654" s="19"/>
      <c r="F654" s="22"/>
      <c r="G654" s="23"/>
      <c r="H654" s="24">
        <v>60000</v>
      </c>
      <c r="I654" s="23">
        <f>H654*0.1</f>
        <v>6000</v>
      </c>
      <c r="J654" s="23">
        <f>SUM(H654:I654)</f>
        <v>66000</v>
      </c>
      <c r="K654" s="32"/>
      <c r="L654" s="33"/>
      <c r="M654" s="34"/>
      <c r="N654" s="35">
        <f t="shared" si="369"/>
        <v>171994499.5</v>
      </c>
    </row>
    <row r="655" spans="1:14" s="18" customFormat="1" ht="24" hidden="1" customHeight="1" x14ac:dyDescent="0.3">
      <c r="A655" s="19"/>
      <c r="B655" s="19">
        <v>27</v>
      </c>
      <c r="C655" s="29" t="s">
        <v>200</v>
      </c>
      <c r="D655" s="21"/>
      <c r="E655" s="19"/>
      <c r="F655" s="22"/>
      <c r="G655" s="23"/>
      <c r="H655" s="24"/>
      <c r="I655" s="23"/>
      <c r="J655" s="23"/>
      <c r="K655" s="32"/>
      <c r="L655" s="33"/>
      <c r="M655" s="34"/>
      <c r="N655" s="35">
        <f t="shared" si="369"/>
        <v>171994499.5</v>
      </c>
    </row>
    <row r="656" spans="1:14" s="18" customFormat="1" ht="24" hidden="1" customHeight="1" x14ac:dyDescent="0.3">
      <c r="A656" s="19"/>
      <c r="B656" s="19"/>
      <c r="C656" s="69" t="s">
        <v>135</v>
      </c>
      <c r="D656" s="21"/>
      <c r="E656" s="19">
        <v>1</v>
      </c>
      <c r="F656" s="22">
        <v>3</v>
      </c>
      <c r="G656" s="23">
        <f>900+1250+980+250</f>
        <v>3380</v>
      </c>
      <c r="H656" s="24">
        <f t="shared" ref="H656" si="386">F656*G656</f>
        <v>10140</v>
      </c>
      <c r="I656" s="23">
        <v>0</v>
      </c>
      <c r="J656" s="23">
        <f t="shared" ref="J656" si="387">SUM(H656:I656)</f>
        <v>10140</v>
      </c>
      <c r="K656" s="32"/>
      <c r="L656" s="33"/>
      <c r="M656" s="34"/>
      <c r="N656" s="35">
        <f t="shared" si="369"/>
        <v>172004639.5</v>
      </c>
    </row>
    <row r="657" spans="1:14" s="18" customFormat="1" ht="24" hidden="1" customHeight="1" x14ac:dyDescent="0.3">
      <c r="A657" s="19"/>
      <c r="B657" s="19">
        <v>27</v>
      </c>
      <c r="C657" s="29" t="s">
        <v>184</v>
      </c>
      <c r="D657" s="37"/>
      <c r="E657" s="19"/>
      <c r="F657" s="22"/>
      <c r="G657" s="23"/>
      <c r="H657" s="24"/>
      <c r="I657" s="23"/>
      <c r="J657" s="23"/>
      <c r="K657" s="32"/>
      <c r="L657" s="33"/>
      <c r="M657" s="34"/>
      <c r="N657" s="35">
        <f t="shared" si="369"/>
        <v>172004639.5</v>
      </c>
    </row>
    <row r="658" spans="1:14" s="18" customFormat="1" ht="24" hidden="1" customHeight="1" x14ac:dyDescent="0.3">
      <c r="A658" s="19"/>
      <c r="B658" s="19"/>
      <c r="C658" s="36" t="s">
        <v>226</v>
      </c>
      <c r="D658" s="21"/>
      <c r="E658" s="19">
        <v>29</v>
      </c>
      <c r="F658" s="22">
        <v>206.7</v>
      </c>
      <c r="G658" s="23">
        <f>2200+2200+1200+1070+1070+250+250+330+330</f>
        <v>8900</v>
      </c>
      <c r="H658" s="24">
        <f t="shared" ref="H658" si="388">F658*G658</f>
        <v>1839630</v>
      </c>
      <c r="I658" s="23">
        <v>0</v>
      </c>
      <c r="J658" s="23">
        <f t="shared" ref="J658" si="389">SUM(H658:I658)</f>
        <v>1839630</v>
      </c>
      <c r="K658" s="32"/>
      <c r="L658" s="33"/>
      <c r="M658" s="34"/>
      <c r="N658" s="35">
        <f t="shared" si="369"/>
        <v>173844269.5</v>
      </c>
    </row>
    <row r="659" spans="1:14" s="18" customFormat="1" ht="24" hidden="1" customHeight="1" x14ac:dyDescent="0.3">
      <c r="A659" s="19"/>
      <c r="B659" s="19"/>
      <c r="C659" s="29"/>
      <c r="D659" s="37"/>
      <c r="E659" s="19"/>
      <c r="F659" s="22"/>
      <c r="G659" s="23"/>
      <c r="H659" s="24"/>
      <c r="I659" s="23"/>
      <c r="J659" s="47">
        <v>-8844270</v>
      </c>
      <c r="K659" s="32"/>
      <c r="L659" s="33">
        <v>45747</v>
      </c>
      <c r="M659" s="34">
        <v>165000000</v>
      </c>
      <c r="N659" s="48">
        <f t="shared" si="369"/>
        <v>164999999.5</v>
      </c>
    </row>
    <row r="660" spans="1:14" s="18" customFormat="1" ht="24" hidden="1" customHeight="1" thickBot="1" x14ac:dyDescent="0.35">
      <c r="A660" s="49"/>
      <c r="B660" s="49">
        <v>31</v>
      </c>
      <c r="C660" s="72"/>
      <c r="D660" s="51" t="s">
        <v>153</v>
      </c>
      <c r="E660" s="49"/>
      <c r="F660" s="52"/>
      <c r="G660" s="53"/>
      <c r="H660" s="54"/>
      <c r="I660" s="53"/>
      <c r="J660" s="53"/>
      <c r="K660" s="55">
        <v>-165000000</v>
      </c>
      <c r="L660" s="56"/>
      <c r="M660" s="57"/>
      <c r="N660" s="58">
        <v>0</v>
      </c>
    </row>
    <row r="661" spans="1:14" s="18" customFormat="1" ht="24" hidden="1" customHeight="1" thickTop="1" x14ac:dyDescent="0.3">
      <c r="A661" s="59"/>
      <c r="B661" s="59"/>
      <c r="C661" s="60"/>
      <c r="D661" s="61"/>
      <c r="E661" s="59"/>
      <c r="F661" s="62"/>
      <c r="G661" s="63"/>
      <c r="H661" s="64"/>
      <c r="I661" s="63"/>
      <c r="J661" s="63"/>
      <c r="K661" s="65"/>
      <c r="L661" s="66"/>
      <c r="M661" s="67"/>
      <c r="N661" s="68">
        <f t="shared" si="369"/>
        <v>0</v>
      </c>
    </row>
    <row r="662" spans="1:14" s="18" customFormat="1" ht="24" hidden="1" customHeight="1" x14ac:dyDescent="0.3">
      <c r="A662" s="19"/>
      <c r="B662" s="19"/>
      <c r="C662" s="39"/>
      <c r="D662" s="21"/>
      <c r="E662" s="19"/>
      <c r="F662" s="22"/>
      <c r="G662" s="23"/>
      <c r="H662" s="24"/>
      <c r="I662" s="23"/>
      <c r="J662" s="23"/>
      <c r="K662" s="32"/>
      <c r="L662" s="33"/>
      <c r="M662" s="34"/>
      <c r="N662" s="38">
        <f t="shared" si="369"/>
        <v>0</v>
      </c>
    </row>
    <row r="663" spans="1:14" s="18" customFormat="1" ht="24" hidden="1" customHeight="1" x14ac:dyDescent="0.3">
      <c r="A663" s="19"/>
      <c r="B663" s="19"/>
      <c r="C663" s="39"/>
      <c r="D663" s="21"/>
      <c r="E663" s="19"/>
      <c r="F663" s="22"/>
      <c r="G663" s="23"/>
      <c r="H663" s="24"/>
      <c r="I663" s="23"/>
      <c r="J663" s="23"/>
      <c r="K663" s="32"/>
      <c r="L663" s="33"/>
      <c r="M663" s="34"/>
      <c r="N663" s="38">
        <f t="shared" si="369"/>
        <v>0</v>
      </c>
    </row>
    <row r="664" spans="1:14" s="2" customFormat="1" ht="27" hidden="1" customHeight="1" thickBot="1" x14ac:dyDescent="0.35">
      <c r="A664" s="1"/>
      <c r="B664" s="1"/>
      <c r="C664" s="1"/>
      <c r="E664" s="86" t="s">
        <v>0</v>
      </c>
      <c r="F664" s="86"/>
      <c r="G664" s="86"/>
      <c r="H664" s="86"/>
      <c r="I664" s="86"/>
      <c r="J664" s="86"/>
      <c r="K664" s="1"/>
      <c r="L664" s="3"/>
      <c r="M664" s="3"/>
      <c r="N664" s="1"/>
    </row>
    <row r="665" spans="1:14" s="2" customFormat="1" ht="24" hidden="1" customHeight="1" thickTop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3"/>
      <c r="M665" s="3"/>
      <c r="N665" s="1"/>
    </row>
    <row r="666" spans="1:14" s="2" customFormat="1" ht="24" hidden="1" customHeight="1" thickBot="1" x14ac:dyDescent="0.35">
      <c r="A666" s="2" t="s">
        <v>1</v>
      </c>
      <c r="C666" s="4"/>
      <c r="D666" s="4"/>
      <c r="E666" s="5"/>
      <c r="F666" s="6"/>
      <c r="G666" s="7"/>
      <c r="H666" s="7"/>
      <c r="I666" s="7"/>
      <c r="J666" s="8"/>
      <c r="K666" s="9"/>
      <c r="L666" s="10"/>
      <c r="M666" s="11"/>
      <c r="N666" s="12" t="s">
        <v>2</v>
      </c>
    </row>
    <row r="667" spans="1:14" s="18" customFormat="1" ht="24" hidden="1" customHeight="1" thickTop="1" thickBot="1" x14ac:dyDescent="0.35">
      <c r="A667" s="13" t="s">
        <v>3</v>
      </c>
      <c r="B667" s="13" t="s">
        <v>4</v>
      </c>
      <c r="C667" s="87" t="s">
        <v>5</v>
      </c>
      <c r="D667" s="88"/>
      <c r="E667" s="13" t="s">
        <v>6</v>
      </c>
      <c r="F667" s="14" t="s">
        <v>7</v>
      </c>
      <c r="G667" s="15" t="s">
        <v>8</v>
      </c>
      <c r="H667" s="15" t="s">
        <v>9</v>
      </c>
      <c r="I667" s="15" t="s">
        <v>10</v>
      </c>
      <c r="J667" s="15" t="s">
        <v>11</v>
      </c>
      <c r="K667" s="16" t="s">
        <v>12</v>
      </c>
      <c r="L667" s="89" t="s">
        <v>13</v>
      </c>
      <c r="M667" s="90"/>
      <c r="N667" s="17" t="s">
        <v>14</v>
      </c>
    </row>
    <row r="668" spans="1:14" s="18" customFormat="1" ht="24" hidden="1" customHeight="1" thickTop="1" x14ac:dyDescent="0.3">
      <c r="A668" s="41">
        <v>3</v>
      </c>
      <c r="B668" s="41">
        <v>26</v>
      </c>
      <c r="C668" s="73" t="s">
        <v>285</v>
      </c>
      <c r="D668" s="40"/>
      <c r="E668" s="41"/>
      <c r="F668" s="42"/>
      <c r="G668" s="43"/>
      <c r="H668" s="44"/>
      <c r="I668" s="43"/>
      <c r="J668" s="43"/>
      <c r="K668" s="25"/>
      <c r="L668" s="26"/>
      <c r="M668" s="27"/>
      <c r="N668" s="28">
        <f>N663</f>
        <v>0</v>
      </c>
    </row>
    <row r="669" spans="1:14" s="18" customFormat="1" ht="24" hidden="1" customHeight="1" x14ac:dyDescent="0.3">
      <c r="A669" s="19"/>
      <c r="B669" s="19"/>
      <c r="C669" s="36" t="s">
        <v>286</v>
      </c>
      <c r="D669" s="21"/>
      <c r="E669" s="19">
        <v>1</v>
      </c>
      <c r="F669" s="22">
        <v>3</v>
      </c>
      <c r="G669" s="23">
        <f>2200+2200+1070+250+330</f>
        <v>6050</v>
      </c>
      <c r="H669" s="24">
        <f>F669*G669</f>
        <v>18150</v>
      </c>
      <c r="I669" s="23">
        <v>0</v>
      </c>
      <c r="J669" s="23">
        <f>SUM(H669:I669)</f>
        <v>18150</v>
      </c>
      <c r="K669" s="32"/>
      <c r="L669" s="33"/>
      <c r="M669" s="34"/>
      <c r="N669" s="35">
        <f>N668+J669+K669</f>
        <v>18150</v>
      </c>
    </row>
    <row r="670" spans="1:14" s="18" customFormat="1" ht="24" hidden="1" customHeight="1" x14ac:dyDescent="0.3">
      <c r="A670" s="19"/>
      <c r="B670" s="19"/>
      <c r="C670" s="36" t="s">
        <v>287</v>
      </c>
      <c r="D670" s="21"/>
      <c r="E670" s="19">
        <v>1</v>
      </c>
      <c r="F670" s="22">
        <v>3</v>
      </c>
      <c r="G670" s="23">
        <f>2200+550+1200+300+390</f>
        <v>4640</v>
      </c>
      <c r="H670" s="24">
        <f>F670*G670</f>
        <v>13920</v>
      </c>
      <c r="I670" s="23">
        <v>0</v>
      </c>
      <c r="J670" s="23">
        <f>SUM(H670:I670)</f>
        <v>13920</v>
      </c>
      <c r="K670" s="32"/>
      <c r="L670" s="33"/>
      <c r="M670" s="34"/>
      <c r="N670" s="35">
        <f>N669+J670+K670</f>
        <v>32070</v>
      </c>
    </row>
    <row r="671" spans="1:14" s="18" customFormat="1" ht="24" hidden="1" customHeight="1" x14ac:dyDescent="0.3">
      <c r="A671" s="19"/>
      <c r="B671" s="19">
        <v>28</v>
      </c>
      <c r="C671" s="29" t="s">
        <v>172</v>
      </c>
      <c r="D671" s="21"/>
      <c r="E671" s="19"/>
      <c r="F671" s="22"/>
      <c r="G671" s="23"/>
      <c r="H671" s="24"/>
      <c r="I671" s="23"/>
      <c r="J671" s="23"/>
      <c r="K671" s="32"/>
      <c r="L671" s="33"/>
      <c r="M671" s="34"/>
      <c r="N671" s="35">
        <f t="shared" ref="N671:N702" si="390">N670+J671+K671</f>
        <v>32070</v>
      </c>
    </row>
    <row r="672" spans="1:14" s="18" customFormat="1" ht="24" hidden="1" customHeight="1" x14ac:dyDescent="0.3">
      <c r="A672" s="19"/>
      <c r="B672" s="19"/>
      <c r="C672" s="36" t="s">
        <v>23</v>
      </c>
      <c r="D672" s="21"/>
      <c r="E672" s="19">
        <v>1</v>
      </c>
      <c r="F672" s="22">
        <v>32.200000000000003</v>
      </c>
      <c r="G672" s="23">
        <f>2200+550+1070+250+330</f>
        <v>4400</v>
      </c>
      <c r="H672" s="24">
        <f>F672*G672</f>
        <v>141680</v>
      </c>
      <c r="I672" s="23">
        <v>0</v>
      </c>
      <c r="J672" s="23">
        <f>SUM(H672:I672)</f>
        <v>141680</v>
      </c>
      <c r="K672" s="32"/>
      <c r="L672" s="33"/>
      <c r="M672" s="34"/>
      <c r="N672" s="35">
        <f t="shared" si="390"/>
        <v>173750</v>
      </c>
    </row>
    <row r="673" spans="1:14" s="18" customFormat="1" ht="24" hidden="1" customHeight="1" x14ac:dyDescent="0.3">
      <c r="A673" s="19"/>
      <c r="B673" s="19">
        <v>28</v>
      </c>
      <c r="C673" s="39" t="s">
        <v>288</v>
      </c>
      <c r="D673" s="21"/>
      <c r="E673" s="19"/>
      <c r="F673" s="22"/>
      <c r="G673" s="23"/>
      <c r="H673" s="24"/>
      <c r="I673" s="23"/>
      <c r="J673" s="23"/>
      <c r="K673" s="32"/>
      <c r="L673" s="33"/>
      <c r="M673" s="34"/>
      <c r="N673" s="35">
        <f t="shared" si="390"/>
        <v>173750</v>
      </c>
    </row>
    <row r="674" spans="1:14" s="18" customFormat="1" ht="24" hidden="1" customHeight="1" x14ac:dyDescent="0.3">
      <c r="A674" s="19"/>
      <c r="B674" s="19"/>
      <c r="C674" s="36" t="s">
        <v>289</v>
      </c>
      <c r="D674" s="21"/>
      <c r="E674" s="19">
        <v>293</v>
      </c>
      <c r="F674" s="22">
        <v>3516.5</v>
      </c>
      <c r="G674" s="23">
        <v>4400</v>
      </c>
      <c r="H674" s="24">
        <f>F674*G674</f>
        <v>15472600</v>
      </c>
      <c r="I674" s="23">
        <v>0</v>
      </c>
      <c r="J674" s="23">
        <f>SUM(H674:I674)</f>
        <v>15472600</v>
      </c>
      <c r="K674" s="32"/>
      <c r="L674" s="33"/>
      <c r="M674" s="34"/>
      <c r="N674" s="35">
        <f t="shared" si="390"/>
        <v>15646350</v>
      </c>
    </row>
    <row r="675" spans="1:14" s="18" customFormat="1" ht="24" hidden="1" customHeight="1" x14ac:dyDescent="0.3">
      <c r="A675" s="19"/>
      <c r="B675" s="19">
        <v>28</v>
      </c>
      <c r="C675" s="29" t="s">
        <v>189</v>
      </c>
      <c r="D675" s="21"/>
      <c r="E675" s="19"/>
      <c r="F675" s="22"/>
      <c r="G675" s="23"/>
      <c r="H675" s="24"/>
      <c r="I675" s="23"/>
      <c r="J675" s="23"/>
      <c r="K675" s="32"/>
      <c r="L675" s="33"/>
      <c r="M675" s="34"/>
      <c r="N675" s="35">
        <f t="shared" si="390"/>
        <v>15646350</v>
      </c>
    </row>
    <row r="676" spans="1:14" s="18" customFormat="1" ht="24" hidden="1" customHeight="1" x14ac:dyDescent="0.3">
      <c r="A676" s="19"/>
      <c r="B676" s="19"/>
      <c r="C676" s="36" t="s">
        <v>290</v>
      </c>
      <c r="D676" s="37"/>
      <c r="E676" s="19">
        <v>1</v>
      </c>
      <c r="F676" s="22">
        <v>13.2</v>
      </c>
      <c r="G676" s="23">
        <v>5720</v>
      </c>
      <c r="H676" s="24">
        <f>F676*G676</f>
        <v>75504</v>
      </c>
      <c r="I676" s="23">
        <v>0</v>
      </c>
      <c r="J676" s="23">
        <f>SUM(H676:I676)</f>
        <v>75504</v>
      </c>
      <c r="K676" s="32"/>
      <c r="L676" s="33"/>
      <c r="M676" s="34"/>
      <c r="N676" s="35">
        <f t="shared" si="390"/>
        <v>15721854</v>
      </c>
    </row>
    <row r="677" spans="1:14" s="18" customFormat="1" ht="24" hidden="1" customHeight="1" x14ac:dyDescent="0.3">
      <c r="A677" s="19"/>
      <c r="B677" s="19"/>
      <c r="C677" s="39" t="s">
        <v>266</v>
      </c>
      <c r="D677" s="21"/>
      <c r="E677" s="19">
        <v>8</v>
      </c>
      <c r="F677" s="22"/>
      <c r="G677" s="23">
        <v>2200</v>
      </c>
      <c r="H677" s="24">
        <f>E677*G677</f>
        <v>17600</v>
      </c>
      <c r="I677" s="23">
        <v>0</v>
      </c>
      <c r="J677" s="23">
        <f>SUM(H677:I677)</f>
        <v>17600</v>
      </c>
      <c r="K677" s="32"/>
      <c r="L677" s="33"/>
      <c r="M677" s="34"/>
      <c r="N677" s="35">
        <f t="shared" si="390"/>
        <v>15739454</v>
      </c>
    </row>
    <row r="678" spans="1:14" s="18" customFormat="1" ht="24" hidden="1" customHeight="1" x14ac:dyDescent="0.3">
      <c r="A678" s="19"/>
      <c r="B678" s="19">
        <v>29</v>
      </c>
      <c r="C678" s="29" t="s">
        <v>231</v>
      </c>
      <c r="D678" s="21"/>
      <c r="E678" s="19"/>
      <c r="F678" s="22"/>
      <c r="G678" s="23"/>
      <c r="H678" s="24"/>
      <c r="I678" s="23"/>
      <c r="J678" s="23"/>
      <c r="K678" s="32"/>
      <c r="L678" s="33"/>
      <c r="M678" s="34"/>
      <c r="N678" s="35">
        <f t="shared" si="390"/>
        <v>15739454</v>
      </c>
    </row>
    <row r="679" spans="1:14" s="18" customFormat="1" ht="24" hidden="1" customHeight="1" x14ac:dyDescent="0.3">
      <c r="A679" s="19"/>
      <c r="B679" s="19"/>
      <c r="C679" s="39" t="s">
        <v>45</v>
      </c>
      <c r="D679" s="21"/>
      <c r="E679" s="19"/>
      <c r="F679" s="22"/>
      <c r="G679" s="23"/>
      <c r="H679" s="24">
        <v>140000</v>
      </c>
      <c r="I679" s="23">
        <f>H679*0.1</f>
        <v>14000</v>
      </c>
      <c r="J679" s="23">
        <f>SUM(H679:I679)</f>
        <v>154000</v>
      </c>
      <c r="K679" s="32"/>
      <c r="L679" s="33"/>
      <c r="M679" s="34"/>
      <c r="N679" s="35">
        <f t="shared" si="390"/>
        <v>15893454</v>
      </c>
    </row>
    <row r="680" spans="1:14" s="18" customFormat="1" ht="24" hidden="1" customHeight="1" x14ac:dyDescent="0.3">
      <c r="A680" s="19"/>
      <c r="B680" s="19"/>
      <c r="C680" s="29" t="s">
        <v>291</v>
      </c>
      <c r="D680" s="37"/>
      <c r="E680" s="19"/>
      <c r="F680" s="22"/>
      <c r="G680" s="23"/>
      <c r="H680" s="24">
        <v>140000</v>
      </c>
      <c r="I680" s="23">
        <f>H680*0.1</f>
        <v>14000</v>
      </c>
      <c r="J680" s="23">
        <f>SUM(H680:I680)</f>
        <v>154000</v>
      </c>
      <c r="K680" s="32"/>
      <c r="L680" s="33"/>
      <c r="M680" s="34"/>
      <c r="N680" s="35">
        <f t="shared" si="390"/>
        <v>16047454</v>
      </c>
    </row>
    <row r="681" spans="1:14" s="18" customFormat="1" ht="24" hidden="1" customHeight="1" x14ac:dyDescent="0.3">
      <c r="A681" s="19"/>
      <c r="B681" s="19"/>
      <c r="C681" s="39" t="s">
        <v>81</v>
      </c>
      <c r="D681" s="21"/>
      <c r="E681" s="19"/>
      <c r="F681" s="22"/>
      <c r="G681" s="23"/>
      <c r="H681" s="24">
        <v>70000</v>
      </c>
      <c r="I681" s="23">
        <f>H681*0.1</f>
        <v>7000</v>
      </c>
      <c r="J681" s="23">
        <f>SUM(H681:I681)</f>
        <v>77000</v>
      </c>
      <c r="K681" s="32"/>
      <c r="L681" s="33"/>
      <c r="M681" s="34"/>
      <c r="N681" s="35">
        <f t="shared" si="390"/>
        <v>16124454</v>
      </c>
    </row>
    <row r="682" spans="1:14" s="18" customFormat="1" ht="24" hidden="1" customHeight="1" x14ac:dyDescent="0.3">
      <c r="A682" s="19"/>
      <c r="B682" s="19">
        <v>31</v>
      </c>
      <c r="C682" s="29" t="s">
        <v>288</v>
      </c>
      <c r="D682" s="21"/>
      <c r="E682" s="19"/>
      <c r="F682" s="22"/>
      <c r="G682" s="23"/>
      <c r="H682" s="24"/>
      <c r="I682" s="23"/>
      <c r="J682" s="23"/>
      <c r="K682" s="32"/>
      <c r="L682" s="33"/>
      <c r="M682" s="34"/>
      <c r="N682" s="35">
        <f t="shared" si="390"/>
        <v>16124454</v>
      </c>
    </row>
    <row r="683" spans="1:14" s="18" customFormat="1" ht="24" hidden="1" customHeight="1" x14ac:dyDescent="0.3">
      <c r="A683" s="19"/>
      <c r="B683" s="19"/>
      <c r="C683" s="39" t="s">
        <v>89</v>
      </c>
      <c r="D683" s="21"/>
      <c r="E683" s="19">
        <v>1222</v>
      </c>
      <c r="F683" s="22">
        <v>6823.3</v>
      </c>
      <c r="G683" s="23">
        <f>550+55</f>
        <v>605</v>
      </c>
      <c r="H683" s="24">
        <f>F683*G683</f>
        <v>4128096.5</v>
      </c>
      <c r="I683" s="23">
        <v>0</v>
      </c>
      <c r="J683" s="23">
        <f>SUM(H683:I683)</f>
        <v>4128096.5</v>
      </c>
      <c r="K683" s="32"/>
      <c r="L683" s="33"/>
      <c r="M683" s="34"/>
      <c r="N683" s="35">
        <f t="shared" si="390"/>
        <v>20252550.5</v>
      </c>
    </row>
    <row r="684" spans="1:14" s="18" customFormat="1" ht="24" hidden="1" customHeight="1" x14ac:dyDescent="0.3">
      <c r="A684" s="19"/>
      <c r="B684" s="19">
        <v>31</v>
      </c>
      <c r="C684" s="29" t="s">
        <v>292</v>
      </c>
      <c r="D684" s="21"/>
      <c r="E684" s="19"/>
      <c r="F684" s="22"/>
      <c r="G684" s="23"/>
      <c r="H684" s="24"/>
      <c r="I684" s="23"/>
      <c r="J684" s="23"/>
      <c r="K684" s="32"/>
      <c r="L684" s="33"/>
      <c r="M684" s="34"/>
      <c r="N684" s="35">
        <f t="shared" si="390"/>
        <v>20252550.5</v>
      </c>
    </row>
    <row r="685" spans="1:14" s="18" customFormat="1" ht="24" hidden="1" customHeight="1" x14ac:dyDescent="0.3">
      <c r="A685" s="19"/>
      <c r="B685" s="19"/>
      <c r="C685" s="36" t="s">
        <v>293</v>
      </c>
      <c r="D685" s="37"/>
      <c r="E685" s="19">
        <v>29</v>
      </c>
      <c r="F685" s="22">
        <v>151.19999999999999</v>
      </c>
      <c r="G685" s="23">
        <f>2200+2200+550+980+980+250+250+280+280</f>
        <v>7970</v>
      </c>
      <c r="H685" s="24">
        <f t="shared" ref="H685:H687" si="391">F685*G685</f>
        <v>1205064</v>
      </c>
      <c r="I685" s="23">
        <v>0</v>
      </c>
      <c r="J685" s="23">
        <f t="shared" ref="J685:J687" si="392">SUM(H685:I685)</f>
        <v>1205064</v>
      </c>
      <c r="K685" s="32"/>
      <c r="L685" s="33"/>
      <c r="M685" s="34"/>
      <c r="N685" s="35">
        <f t="shared" si="390"/>
        <v>21457614.5</v>
      </c>
    </row>
    <row r="686" spans="1:14" s="18" customFormat="1" ht="24" hidden="1" customHeight="1" x14ac:dyDescent="0.3">
      <c r="A686" s="19"/>
      <c r="B686" s="19"/>
      <c r="C686" s="36" t="s">
        <v>33</v>
      </c>
      <c r="D686" s="21"/>
      <c r="E686" s="19">
        <v>32</v>
      </c>
      <c r="F686" s="22">
        <v>295</v>
      </c>
      <c r="G686" s="23">
        <f>2200+550+1070+250+330</f>
        <v>4400</v>
      </c>
      <c r="H686" s="24">
        <f t="shared" si="391"/>
        <v>1298000</v>
      </c>
      <c r="I686" s="23">
        <v>0</v>
      </c>
      <c r="J686" s="23">
        <f t="shared" si="392"/>
        <v>1298000</v>
      </c>
      <c r="K686" s="32"/>
      <c r="L686" s="33"/>
      <c r="M686" s="34"/>
      <c r="N686" s="35">
        <f t="shared" si="390"/>
        <v>22755614.5</v>
      </c>
    </row>
    <row r="687" spans="1:14" s="18" customFormat="1" ht="24" hidden="1" customHeight="1" x14ac:dyDescent="0.3">
      <c r="A687" s="19"/>
      <c r="B687" s="19"/>
      <c r="C687" s="29" t="s">
        <v>294</v>
      </c>
      <c r="D687" s="21"/>
      <c r="E687" s="19">
        <v>3</v>
      </c>
      <c r="F687" s="22">
        <v>19.100000000000001</v>
      </c>
      <c r="G687" s="23">
        <f>900+900+740</f>
        <v>2540</v>
      </c>
      <c r="H687" s="24">
        <f t="shared" si="391"/>
        <v>48514</v>
      </c>
      <c r="I687" s="23">
        <v>0</v>
      </c>
      <c r="J687" s="23">
        <f t="shared" si="392"/>
        <v>48514</v>
      </c>
      <c r="K687" s="32"/>
      <c r="L687" s="33"/>
      <c r="M687" s="34"/>
      <c r="N687" s="35">
        <f t="shared" si="390"/>
        <v>22804128.5</v>
      </c>
    </row>
    <row r="688" spans="1:14" s="18" customFormat="1" ht="24" hidden="1" customHeight="1" x14ac:dyDescent="0.3">
      <c r="A688" s="19"/>
      <c r="B688" s="19">
        <v>31</v>
      </c>
      <c r="C688" s="29" t="s">
        <v>295</v>
      </c>
      <c r="D688" s="37"/>
      <c r="E688" s="19"/>
      <c r="F688" s="22"/>
      <c r="G688" s="23"/>
      <c r="H688" s="24"/>
      <c r="I688" s="23"/>
      <c r="J688" s="23"/>
      <c r="K688" s="32"/>
      <c r="L688" s="33"/>
      <c r="M688" s="34"/>
      <c r="N688" s="35">
        <f t="shared" si="390"/>
        <v>22804128.5</v>
      </c>
    </row>
    <row r="689" spans="1:14" s="18" customFormat="1" ht="24" hidden="1" customHeight="1" x14ac:dyDescent="0.3">
      <c r="A689" s="19"/>
      <c r="B689" s="19"/>
      <c r="C689" s="36" t="s">
        <v>33</v>
      </c>
      <c r="D689" s="21"/>
      <c r="E689" s="19">
        <v>42</v>
      </c>
      <c r="F689" s="22">
        <v>313.5</v>
      </c>
      <c r="G689" s="23">
        <f>2200+550+1070+250+330</f>
        <v>4400</v>
      </c>
      <c r="H689" s="24">
        <f t="shared" ref="H689:H691" si="393">F689*G689</f>
        <v>1379400</v>
      </c>
      <c r="I689" s="23">
        <v>0</v>
      </c>
      <c r="J689" s="23">
        <f t="shared" ref="J689:J691" si="394">SUM(H689:I689)</f>
        <v>1379400</v>
      </c>
      <c r="K689" s="32"/>
      <c r="L689" s="33"/>
      <c r="M689" s="34"/>
      <c r="N689" s="35">
        <f t="shared" si="390"/>
        <v>24183528.5</v>
      </c>
    </row>
    <row r="690" spans="1:14" s="18" customFormat="1" ht="24" hidden="1" customHeight="1" x14ac:dyDescent="0.3">
      <c r="A690" s="19"/>
      <c r="B690" s="19"/>
      <c r="C690" s="36" t="s">
        <v>296</v>
      </c>
      <c r="D690" s="21"/>
      <c r="E690" s="19">
        <v>13</v>
      </c>
      <c r="F690" s="22">
        <v>39</v>
      </c>
      <c r="G690" s="23">
        <f>2200+550+820+200+230</f>
        <v>4000</v>
      </c>
      <c r="H690" s="24">
        <f t="shared" si="393"/>
        <v>156000</v>
      </c>
      <c r="I690" s="23">
        <v>0</v>
      </c>
      <c r="J690" s="23">
        <f t="shared" si="394"/>
        <v>156000</v>
      </c>
      <c r="K690" s="32"/>
      <c r="L690" s="33"/>
      <c r="M690" s="34"/>
      <c r="N690" s="35">
        <f t="shared" si="390"/>
        <v>24339528.5</v>
      </c>
    </row>
    <row r="691" spans="1:14" s="18" customFormat="1" ht="24" hidden="1" customHeight="1" x14ac:dyDescent="0.3">
      <c r="A691" s="19"/>
      <c r="B691" s="19"/>
      <c r="C691" s="29" t="s">
        <v>89</v>
      </c>
      <c r="D691" s="37"/>
      <c r="E691" s="19">
        <v>1</v>
      </c>
      <c r="F691" s="22">
        <v>19.7</v>
      </c>
      <c r="G691" s="23">
        <f>550+55</f>
        <v>605</v>
      </c>
      <c r="H691" s="24">
        <f t="shared" si="393"/>
        <v>11918.5</v>
      </c>
      <c r="I691" s="23">
        <v>0</v>
      </c>
      <c r="J691" s="23">
        <f t="shared" si="394"/>
        <v>11918.5</v>
      </c>
      <c r="K691" s="32"/>
      <c r="L691" s="33"/>
      <c r="M691" s="34"/>
      <c r="N691" s="35">
        <f t="shared" si="390"/>
        <v>24351447</v>
      </c>
    </row>
    <row r="692" spans="1:14" s="18" customFormat="1" ht="24" hidden="1" customHeight="1" x14ac:dyDescent="0.3">
      <c r="A692" s="19">
        <v>4</v>
      </c>
      <c r="B692" s="19">
        <v>1</v>
      </c>
      <c r="C692" s="39" t="s">
        <v>297</v>
      </c>
      <c r="D692" s="21"/>
      <c r="E692" s="19"/>
      <c r="F692" s="22"/>
      <c r="G692" s="23"/>
      <c r="H692" s="24"/>
      <c r="I692" s="23"/>
      <c r="J692" s="23"/>
      <c r="K692" s="32"/>
      <c r="L692" s="33"/>
      <c r="M692" s="34"/>
      <c r="N692" s="35">
        <f t="shared" si="390"/>
        <v>24351447</v>
      </c>
    </row>
    <row r="693" spans="1:14" s="18" customFormat="1" ht="24" hidden="1" customHeight="1" x14ac:dyDescent="0.3">
      <c r="A693" s="19"/>
      <c r="B693" s="19"/>
      <c r="C693" s="36" t="s">
        <v>31</v>
      </c>
      <c r="D693" s="21"/>
      <c r="E693" s="19">
        <v>12</v>
      </c>
      <c r="F693" s="22">
        <v>65.400000000000006</v>
      </c>
      <c r="G693" s="23">
        <f>2200+2200-700+550+1070+1070+250+250+330+330</f>
        <v>7550</v>
      </c>
      <c r="H693" s="24">
        <f t="shared" ref="H693:H697" si="395">F693*G693</f>
        <v>493770.00000000006</v>
      </c>
      <c r="I693" s="23">
        <v>0</v>
      </c>
      <c r="J693" s="23">
        <f t="shared" ref="J693:J697" si="396">SUM(H693:I693)</f>
        <v>493770.00000000006</v>
      </c>
      <c r="K693" s="32"/>
      <c r="L693" s="33"/>
      <c r="M693" s="34"/>
      <c r="N693" s="35">
        <f t="shared" si="390"/>
        <v>24845217</v>
      </c>
    </row>
    <row r="694" spans="1:14" s="18" customFormat="1" ht="24" hidden="1" customHeight="1" x14ac:dyDescent="0.3">
      <c r="A694" s="19"/>
      <c r="B694" s="19"/>
      <c r="C694" s="36" t="s">
        <v>21</v>
      </c>
      <c r="D694" s="21"/>
      <c r="E694" s="19">
        <v>172</v>
      </c>
      <c r="F694" s="22">
        <v>1919.1</v>
      </c>
      <c r="G694" s="23">
        <f>2200+550+1070+250+330</f>
        <v>4400</v>
      </c>
      <c r="H694" s="24">
        <f t="shared" si="395"/>
        <v>8444040</v>
      </c>
      <c r="I694" s="23">
        <v>0</v>
      </c>
      <c r="J694" s="23">
        <f t="shared" si="396"/>
        <v>8444040</v>
      </c>
      <c r="K694" s="32"/>
      <c r="L694" s="33"/>
      <c r="M694" s="34"/>
      <c r="N694" s="35">
        <f t="shared" si="390"/>
        <v>33289257</v>
      </c>
    </row>
    <row r="695" spans="1:14" s="18" customFormat="1" ht="24" hidden="1" customHeight="1" x14ac:dyDescent="0.3">
      <c r="A695" s="19"/>
      <c r="B695" s="19"/>
      <c r="C695" s="36" t="s">
        <v>192</v>
      </c>
      <c r="D695" s="21"/>
      <c r="E695" s="19">
        <v>1</v>
      </c>
      <c r="F695" s="22">
        <v>14.1</v>
      </c>
      <c r="G695" s="23">
        <f>2200+1200+1070+250+330</f>
        <v>5050</v>
      </c>
      <c r="H695" s="24">
        <f t="shared" si="395"/>
        <v>71205</v>
      </c>
      <c r="I695" s="23">
        <v>0</v>
      </c>
      <c r="J695" s="23">
        <f t="shared" si="396"/>
        <v>71205</v>
      </c>
      <c r="K695" s="32"/>
      <c r="L695" s="33"/>
      <c r="M695" s="34"/>
      <c r="N695" s="35">
        <f t="shared" si="390"/>
        <v>33360462</v>
      </c>
    </row>
    <row r="696" spans="1:14" s="18" customFormat="1" ht="24" hidden="1" customHeight="1" x14ac:dyDescent="0.3">
      <c r="A696" s="19"/>
      <c r="B696" s="19"/>
      <c r="C696" s="29" t="s">
        <v>107</v>
      </c>
      <c r="D696" s="37"/>
      <c r="E696" s="19">
        <v>6</v>
      </c>
      <c r="F696" s="22">
        <v>46.1</v>
      </c>
      <c r="G696" s="23">
        <f>550+550+740</f>
        <v>1840</v>
      </c>
      <c r="H696" s="24">
        <f t="shared" si="395"/>
        <v>84824</v>
      </c>
      <c r="I696" s="23">
        <v>0</v>
      </c>
      <c r="J696" s="23">
        <f t="shared" si="396"/>
        <v>84824</v>
      </c>
      <c r="K696" s="32"/>
      <c r="L696" s="33"/>
      <c r="M696" s="34"/>
      <c r="N696" s="35">
        <f t="shared" si="390"/>
        <v>33445286</v>
      </c>
    </row>
    <row r="697" spans="1:14" s="18" customFormat="1" ht="24" hidden="1" customHeight="1" x14ac:dyDescent="0.3">
      <c r="A697" s="19"/>
      <c r="B697" s="19"/>
      <c r="C697" s="39" t="s">
        <v>46</v>
      </c>
      <c r="D697" s="21"/>
      <c r="E697" s="19">
        <v>31</v>
      </c>
      <c r="F697" s="22">
        <v>421.4</v>
      </c>
      <c r="G697" s="23">
        <v>2100</v>
      </c>
      <c r="H697" s="24">
        <f t="shared" si="395"/>
        <v>884940</v>
      </c>
      <c r="I697" s="23">
        <v>0</v>
      </c>
      <c r="J697" s="23">
        <f t="shared" si="396"/>
        <v>884940</v>
      </c>
      <c r="K697" s="32"/>
      <c r="L697" s="33"/>
      <c r="M697" s="34"/>
      <c r="N697" s="35">
        <f t="shared" si="390"/>
        <v>34330226</v>
      </c>
    </row>
    <row r="698" spans="1:14" s="18" customFormat="1" ht="24" hidden="1" customHeight="1" x14ac:dyDescent="0.3">
      <c r="A698" s="19"/>
      <c r="B698" s="19">
        <v>2</v>
      </c>
      <c r="C698" s="29" t="s">
        <v>114</v>
      </c>
      <c r="D698" s="37"/>
      <c r="E698" s="19"/>
      <c r="F698" s="22"/>
      <c r="G698" s="23"/>
      <c r="H698" s="24"/>
      <c r="I698" s="23"/>
      <c r="J698" s="23"/>
      <c r="K698" s="32"/>
      <c r="L698" s="33"/>
      <c r="M698" s="34"/>
      <c r="N698" s="35">
        <f t="shared" si="390"/>
        <v>34330226</v>
      </c>
    </row>
    <row r="699" spans="1:14" s="18" customFormat="1" ht="24" hidden="1" customHeight="1" x14ac:dyDescent="0.3">
      <c r="A699" s="19"/>
      <c r="B699" s="19"/>
      <c r="C699" s="36" t="s">
        <v>21</v>
      </c>
      <c r="D699" s="21"/>
      <c r="E699" s="19">
        <v>4</v>
      </c>
      <c r="F699" s="22">
        <v>24.5</v>
      </c>
      <c r="G699" s="23">
        <f>2200+550+1070+250+330</f>
        <v>4400</v>
      </c>
      <c r="H699" s="24">
        <f t="shared" ref="H699" si="397">F699*G699</f>
        <v>107800</v>
      </c>
      <c r="I699" s="23">
        <v>0</v>
      </c>
      <c r="J699" s="23">
        <f t="shared" ref="J699" si="398">SUM(H699:I699)</f>
        <v>107800</v>
      </c>
      <c r="K699" s="32"/>
      <c r="L699" s="33"/>
      <c r="M699" s="34"/>
      <c r="N699" s="35">
        <f t="shared" si="390"/>
        <v>34438026</v>
      </c>
    </row>
    <row r="700" spans="1:14" s="18" customFormat="1" ht="24" hidden="1" customHeight="1" x14ac:dyDescent="0.3">
      <c r="A700" s="19"/>
      <c r="B700" s="19">
        <v>2</v>
      </c>
      <c r="C700" s="29" t="s">
        <v>298</v>
      </c>
      <c r="D700" s="21"/>
      <c r="E700" s="19"/>
      <c r="F700" s="22"/>
      <c r="G700" s="23"/>
      <c r="H700" s="24"/>
      <c r="I700" s="23"/>
      <c r="J700" s="23"/>
      <c r="K700" s="32"/>
      <c r="L700" s="33"/>
      <c r="M700" s="34"/>
      <c r="N700" s="38">
        <f t="shared" si="390"/>
        <v>34438026</v>
      </c>
    </row>
    <row r="701" spans="1:14" s="18" customFormat="1" ht="24" hidden="1" customHeight="1" x14ac:dyDescent="0.3">
      <c r="A701" s="19"/>
      <c r="B701" s="19"/>
      <c r="C701" s="39" t="s">
        <v>75</v>
      </c>
      <c r="D701" s="21"/>
      <c r="E701" s="19">
        <v>10</v>
      </c>
      <c r="F701" s="22">
        <v>201.1</v>
      </c>
      <c r="G701" s="23">
        <v>2750</v>
      </c>
      <c r="H701" s="24">
        <f t="shared" ref="H701:H702" si="399">F701*G701</f>
        <v>553025</v>
      </c>
      <c r="I701" s="23">
        <v>0</v>
      </c>
      <c r="J701" s="23">
        <f t="shared" ref="J701:J702" si="400">SUM(H701:I701)</f>
        <v>553025</v>
      </c>
      <c r="K701" s="32"/>
      <c r="L701" s="33"/>
      <c r="M701" s="34"/>
      <c r="N701" s="38">
        <f t="shared" si="390"/>
        <v>34991051</v>
      </c>
    </row>
    <row r="702" spans="1:14" s="18" customFormat="1" ht="24" hidden="1" customHeight="1" x14ac:dyDescent="0.3">
      <c r="A702" s="19"/>
      <c r="B702" s="19"/>
      <c r="C702" s="39" t="s">
        <v>100</v>
      </c>
      <c r="D702" s="21"/>
      <c r="E702" s="19">
        <v>11</v>
      </c>
      <c r="F702" s="22">
        <v>33</v>
      </c>
      <c r="G702" s="23">
        <v>1400</v>
      </c>
      <c r="H702" s="24">
        <f t="shared" si="399"/>
        <v>46200</v>
      </c>
      <c r="I702" s="23">
        <v>0</v>
      </c>
      <c r="J702" s="23">
        <f t="shared" si="400"/>
        <v>46200</v>
      </c>
      <c r="K702" s="32"/>
      <c r="L702" s="33"/>
      <c r="M702" s="34"/>
      <c r="N702" s="38">
        <f t="shared" si="390"/>
        <v>35037251</v>
      </c>
    </row>
    <row r="703" spans="1:14" s="2" customFormat="1" ht="27" hidden="1" customHeight="1" thickBot="1" x14ac:dyDescent="0.35">
      <c r="A703" s="1"/>
      <c r="B703" s="1"/>
      <c r="C703" s="1"/>
      <c r="E703" s="86" t="s">
        <v>0</v>
      </c>
      <c r="F703" s="86"/>
      <c r="G703" s="86"/>
      <c r="H703" s="86"/>
      <c r="I703" s="86"/>
      <c r="J703" s="86"/>
      <c r="K703" s="1"/>
      <c r="L703" s="3"/>
      <c r="M703" s="3"/>
      <c r="N703" s="1"/>
    </row>
    <row r="704" spans="1:14" s="2" customFormat="1" ht="24" hidden="1" customHeight="1" thickTop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3"/>
      <c r="M704" s="3"/>
      <c r="N704" s="1"/>
    </row>
    <row r="705" spans="1:14" s="2" customFormat="1" ht="24" hidden="1" customHeight="1" thickBot="1" x14ac:dyDescent="0.35">
      <c r="A705" s="2" t="s">
        <v>1</v>
      </c>
      <c r="C705" s="4"/>
      <c r="D705" s="4"/>
      <c r="E705" s="5"/>
      <c r="F705" s="6"/>
      <c r="G705" s="7"/>
      <c r="H705" s="7"/>
      <c r="I705" s="7"/>
      <c r="J705" s="8"/>
      <c r="K705" s="9"/>
      <c r="L705" s="10"/>
      <c r="M705" s="11"/>
      <c r="N705" s="12" t="s">
        <v>2</v>
      </c>
    </row>
    <row r="706" spans="1:14" s="18" customFormat="1" ht="24" hidden="1" customHeight="1" thickTop="1" thickBot="1" x14ac:dyDescent="0.35">
      <c r="A706" s="13" t="s">
        <v>3</v>
      </c>
      <c r="B706" s="13" t="s">
        <v>4</v>
      </c>
      <c r="C706" s="87" t="s">
        <v>5</v>
      </c>
      <c r="D706" s="88"/>
      <c r="E706" s="13" t="s">
        <v>6</v>
      </c>
      <c r="F706" s="14" t="s">
        <v>7</v>
      </c>
      <c r="G706" s="15" t="s">
        <v>8</v>
      </c>
      <c r="H706" s="15" t="s">
        <v>9</v>
      </c>
      <c r="I706" s="15" t="s">
        <v>10</v>
      </c>
      <c r="J706" s="15" t="s">
        <v>11</v>
      </c>
      <c r="K706" s="16" t="s">
        <v>12</v>
      </c>
      <c r="L706" s="89" t="s">
        <v>13</v>
      </c>
      <c r="M706" s="90"/>
      <c r="N706" s="17" t="s">
        <v>14</v>
      </c>
    </row>
    <row r="707" spans="1:14" s="18" customFormat="1" ht="24" hidden="1" customHeight="1" thickTop="1" x14ac:dyDescent="0.3">
      <c r="A707" s="41"/>
      <c r="B707" s="41"/>
      <c r="C707" s="70" t="s">
        <v>41</v>
      </c>
      <c r="D707" s="40"/>
      <c r="E707" s="41"/>
      <c r="F707" s="42"/>
      <c r="G707" s="43"/>
      <c r="H707" s="44"/>
      <c r="I707" s="43"/>
      <c r="J707" s="43"/>
      <c r="K707" s="25"/>
      <c r="L707" s="26"/>
      <c r="M707" s="27"/>
      <c r="N707" s="28">
        <f>N702</f>
        <v>35037251</v>
      </c>
    </row>
    <row r="708" spans="1:14" s="18" customFormat="1" ht="24" hidden="1" customHeight="1" x14ac:dyDescent="0.3">
      <c r="A708" s="19">
        <v>4</v>
      </c>
      <c r="B708" s="19">
        <v>4</v>
      </c>
      <c r="C708" s="29" t="s">
        <v>270</v>
      </c>
      <c r="D708" s="21"/>
      <c r="E708" s="19"/>
      <c r="F708" s="22"/>
      <c r="G708" s="23"/>
      <c r="H708" s="24"/>
      <c r="I708" s="23"/>
      <c r="J708" s="23"/>
      <c r="K708" s="32"/>
      <c r="L708" s="33"/>
      <c r="M708" s="34"/>
      <c r="N708" s="35">
        <f>N707+J708+K708</f>
        <v>35037251</v>
      </c>
    </row>
    <row r="709" spans="1:14" s="18" customFormat="1" ht="24" hidden="1" customHeight="1" x14ac:dyDescent="0.3">
      <c r="A709" s="19"/>
      <c r="B709" s="19"/>
      <c r="C709" s="36" t="s">
        <v>86</v>
      </c>
      <c r="D709" s="21"/>
      <c r="E709" s="19">
        <v>130</v>
      </c>
      <c r="F709" s="22">
        <v>1345.9</v>
      </c>
      <c r="G709" s="23">
        <f>550+1000+1070+250</f>
        <v>2870</v>
      </c>
      <c r="H709" s="24">
        <f t="shared" ref="H709" si="401">F709*G709</f>
        <v>3862733.0000000005</v>
      </c>
      <c r="I709" s="23">
        <v>0</v>
      </c>
      <c r="J709" s="23">
        <f t="shared" ref="J709" si="402">SUM(H709:I709)</f>
        <v>3862733.0000000005</v>
      </c>
      <c r="K709" s="32"/>
      <c r="L709" s="33"/>
      <c r="M709" s="34"/>
      <c r="N709" s="35">
        <f>N708+J709+K709</f>
        <v>38899984</v>
      </c>
    </row>
    <row r="710" spans="1:14" s="18" customFormat="1" ht="24" hidden="1" customHeight="1" x14ac:dyDescent="0.3">
      <c r="A710" s="19"/>
      <c r="B710" s="19">
        <v>4</v>
      </c>
      <c r="C710" s="39" t="s">
        <v>158</v>
      </c>
      <c r="D710" s="21"/>
      <c r="E710" s="19"/>
      <c r="F710" s="22"/>
      <c r="G710" s="23"/>
      <c r="H710" s="24"/>
      <c r="I710" s="23"/>
      <c r="J710" s="23"/>
      <c r="K710" s="32"/>
      <c r="L710" s="33"/>
      <c r="M710" s="34"/>
      <c r="N710" s="35">
        <f t="shared" ref="N710:N741" si="403">N709+J710+K710</f>
        <v>38899984</v>
      </c>
    </row>
    <row r="711" spans="1:14" s="18" customFormat="1" ht="24" hidden="1" customHeight="1" x14ac:dyDescent="0.3">
      <c r="A711" s="19"/>
      <c r="B711" s="19"/>
      <c r="C711" s="36" t="s">
        <v>126</v>
      </c>
      <c r="D711" s="21"/>
      <c r="E711" s="19">
        <v>1</v>
      </c>
      <c r="F711" s="22">
        <v>6.8</v>
      </c>
      <c r="G711" s="23">
        <f>550+1000+980+250</f>
        <v>2780</v>
      </c>
      <c r="H711" s="24">
        <f t="shared" ref="H711" si="404">F711*G711</f>
        <v>18904</v>
      </c>
      <c r="I711" s="23">
        <v>0</v>
      </c>
      <c r="J711" s="23">
        <f t="shared" ref="J711" si="405">SUM(H711:I711)</f>
        <v>18904</v>
      </c>
      <c r="K711" s="32"/>
      <c r="L711" s="33"/>
      <c r="M711" s="34"/>
      <c r="N711" s="35">
        <f t="shared" si="403"/>
        <v>38918888</v>
      </c>
    </row>
    <row r="712" spans="1:14" s="18" customFormat="1" ht="24" hidden="1" customHeight="1" x14ac:dyDescent="0.3">
      <c r="A712" s="19"/>
      <c r="B712" s="19">
        <v>7</v>
      </c>
      <c r="C712" s="39" t="s">
        <v>233</v>
      </c>
      <c r="D712" s="21"/>
      <c r="E712" s="19"/>
      <c r="F712" s="22"/>
      <c r="G712" s="23"/>
      <c r="H712" s="24"/>
      <c r="I712" s="23"/>
      <c r="J712" s="23"/>
      <c r="K712" s="32"/>
      <c r="L712" s="33"/>
      <c r="M712" s="34"/>
      <c r="N712" s="35">
        <f t="shared" si="403"/>
        <v>38918888</v>
      </c>
    </row>
    <row r="713" spans="1:14" s="18" customFormat="1" ht="24" hidden="1" customHeight="1" x14ac:dyDescent="0.3">
      <c r="A713" s="19"/>
      <c r="B713" s="19"/>
      <c r="C713" s="36" t="s">
        <v>212</v>
      </c>
      <c r="D713" s="21"/>
      <c r="E713" s="19">
        <v>1</v>
      </c>
      <c r="F713" s="22">
        <v>7.8</v>
      </c>
      <c r="G713" s="23">
        <f>800+1000+1070+250</f>
        <v>3120</v>
      </c>
      <c r="H713" s="24">
        <f t="shared" ref="H713:H715" si="406">F713*G713</f>
        <v>24336</v>
      </c>
      <c r="I713" s="23">
        <v>0</v>
      </c>
      <c r="J713" s="23">
        <f t="shared" ref="J713:J715" si="407">SUM(H713:I713)</f>
        <v>24336</v>
      </c>
      <c r="K713" s="32"/>
      <c r="L713" s="33"/>
      <c r="M713" s="34"/>
      <c r="N713" s="35">
        <f t="shared" si="403"/>
        <v>38943224</v>
      </c>
    </row>
    <row r="714" spans="1:14" s="18" customFormat="1" ht="24" hidden="1" customHeight="1" x14ac:dyDescent="0.3">
      <c r="A714" s="19"/>
      <c r="B714" s="19"/>
      <c r="C714" s="29" t="s">
        <v>115</v>
      </c>
      <c r="D714" s="21"/>
      <c r="E714" s="19">
        <v>2</v>
      </c>
      <c r="F714" s="22">
        <v>20.9</v>
      </c>
      <c r="G714" s="23">
        <f>550+550+980</f>
        <v>2080</v>
      </c>
      <c r="H714" s="24">
        <f t="shared" si="406"/>
        <v>43472</v>
      </c>
      <c r="I714" s="23">
        <v>0</v>
      </c>
      <c r="J714" s="23">
        <f t="shared" si="407"/>
        <v>43472</v>
      </c>
      <c r="K714" s="32"/>
      <c r="L714" s="33"/>
      <c r="M714" s="34"/>
      <c r="N714" s="35">
        <f t="shared" si="403"/>
        <v>38986696</v>
      </c>
    </row>
    <row r="715" spans="1:14" s="18" customFormat="1" ht="24" hidden="1" customHeight="1" x14ac:dyDescent="0.3">
      <c r="A715" s="19"/>
      <c r="B715" s="19"/>
      <c r="C715" s="39" t="s">
        <v>234</v>
      </c>
      <c r="D715" s="37"/>
      <c r="E715" s="19">
        <v>2</v>
      </c>
      <c r="F715" s="22">
        <v>20.9</v>
      </c>
      <c r="G715" s="23">
        <f>800+550+980</f>
        <v>2330</v>
      </c>
      <c r="H715" s="24">
        <f t="shared" si="406"/>
        <v>48697</v>
      </c>
      <c r="I715" s="23">
        <v>0</v>
      </c>
      <c r="J715" s="23">
        <f t="shared" si="407"/>
        <v>48697</v>
      </c>
      <c r="K715" s="32"/>
      <c r="L715" s="33"/>
      <c r="M715" s="34"/>
      <c r="N715" s="35">
        <f t="shared" si="403"/>
        <v>39035393</v>
      </c>
    </row>
    <row r="716" spans="1:14" s="18" customFormat="1" ht="24" hidden="1" customHeight="1" x14ac:dyDescent="0.3">
      <c r="A716" s="19"/>
      <c r="B716" s="19">
        <v>7</v>
      </c>
      <c r="C716" s="39" t="s">
        <v>299</v>
      </c>
      <c r="D716" s="21"/>
      <c r="E716" s="19"/>
      <c r="F716" s="22"/>
      <c r="G716" s="23"/>
      <c r="H716" s="24"/>
      <c r="I716" s="23"/>
      <c r="J716" s="23"/>
      <c r="K716" s="32"/>
      <c r="L716" s="33"/>
      <c r="M716" s="34"/>
      <c r="N716" s="35">
        <f t="shared" si="403"/>
        <v>39035393</v>
      </c>
    </row>
    <row r="717" spans="1:14" s="18" customFormat="1" ht="24" hidden="1" customHeight="1" x14ac:dyDescent="0.3">
      <c r="A717" s="19"/>
      <c r="B717" s="19"/>
      <c r="C717" s="36" t="s">
        <v>23</v>
      </c>
      <c r="D717" s="37"/>
      <c r="E717" s="19">
        <v>150</v>
      </c>
      <c r="F717" s="22">
        <v>1578.9</v>
      </c>
      <c r="G717" s="23">
        <f>2200+550+1070+250+330</f>
        <v>4400</v>
      </c>
      <c r="H717" s="24">
        <f t="shared" ref="H717" si="408">F717*G717</f>
        <v>6947160</v>
      </c>
      <c r="I717" s="23">
        <v>0</v>
      </c>
      <c r="J717" s="23">
        <f t="shared" ref="J717" si="409">SUM(H717:I717)</f>
        <v>6947160</v>
      </c>
      <c r="K717" s="32"/>
      <c r="L717" s="33"/>
      <c r="M717" s="34"/>
      <c r="N717" s="35">
        <f t="shared" si="403"/>
        <v>45982553</v>
      </c>
    </row>
    <row r="718" spans="1:14" s="18" customFormat="1" ht="24" hidden="1" customHeight="1" x14ac:dyDescent="0.3">
      <c r="A718" s="19"/>
      <c r="B718" s="19">
        <v>7</v>
      </c>
      <c r="C718" s="29" t="s">
        <v>300</v>
      </c>
      <c r="D718" s="21"/>
      <c r="E718" s="19"/>
      <c r="F718" s="22"/>
      <c r="G718" s="23"/>
      <c r="H718" s="24"/>
      <c r="I718" s="23"/>
      <c r="J718" s="23"/>
      <c r="K718" s="32"/>
      <c r="L718" s="33"/>
      <c r="M718" s="34"/>
      <c r="N718" s="35">
        <f t="shared" si="403"/>
        <v>45982553</v>
      </c>
    </row>
    <row r="719" spans="1:14" s="18" customFormat="1" ht="24" hidden="1" customHeight="1" x14ac:dyDescent="0.3">
      <c r="A719" s="19"/>
      <c r="B719" s="19"/>
      <c r="C719" s="39" t="s">
        <v>89</v>
      </c>
      <c r="D719" s="21"/>
      <c r="E719" s="19">
        <v>2</v>
      </c>
      <c r="F719" s="22">
        <v>47.2</v>
      </c>
      <c r="G719" s="23">
        <f>550+55</f>
        <v>605</v>
      </c>
      <c r="H719" s="24">
        <f t="shared" ref="H719" si="410">F719*G719</f>
        <v>28556</v>
      </c>
      <c r="I719" s="23">
        <v>0</v>
      </c>
      <c r="J719" s="23">
        <f t="shared" ref="J719" si="411">SUM(H719:I719)</f>
        <v>28556</v>
      </c>
      <c r="K719" s="32"/>
      <c r="L719" s="33"/>
      <c r="M719" s="34"/>
      <c r="N719" s="35">
        <f t="shared" si="403"/>
        <v>46011109</v>
      </c>
    </row>
    <row r="720" spans="1:14" s="18" customFormat="1" ht="24" hidden="1" customHeight="1" x14ac:dyDescent="0.3">
      <c r="A720" s="19"/>
      <c r="B720" s="19">
        <v>8</v>
      </c>
      <c r="C720" s="29" t="s">
        <v>301</v>
      </c>
      <c r="D720" s="21"/>
      <c r="E720" s="19"/>
      <c r="F720" s="22"/>
      <c r="G720" s="23"/>
      <c r="H720" s="24"/>
      <c r="I720" s="23"/>
      <c r="J720" s="23"/>
      <c r="K720" s="32"/>
      <c r="L720" s="33"/>
      <c r="M720" s="34"/>
      <c r="N720" s="35">
        <f t="shared" si="403"/>
        <v>46011109</v>
      </c>
    </row>
    <row r="721" spans="1:14" s="18" customFormat="1" ht="24" hidden="1" customHeight="1" x14ac:dyDescent="0.3">
      <c r="A721" s="19"/>
      <c r="B721" s="19"/>
      <c r="C721" s="29" t="s">
        <v>30</v>
      </c>
      <c r="D721" s="21"/>
      <c r="E721" s="19">
        <v>1</v>
      </c>
      <c r="F721" s="22">
        <v>9.1999999999999993</v>
      </c>
      <c r="G721" s="23">
        <f>550+1000+980+250</f>
        <v>2780</v>
      </c>
      <c r="H721" s="24">
        <f t="shared" ref="H721" si="412">F721*G721</f>
        <v>25575.999999999996</v>
      </c>
      <c r="I721" s="23">
        <v>0</v>
      </c>
      <c r="J721" s="23">
        <f t="shared" ref="J721" si="413">SUM(H721:I721)</f>
        <v>25575.999999999996</v>
      </c>
      <c r="K721" s="32"/>
      <c r="L721" s="33"/>
      <c r="M721" s="34"/>
      <c r="N721" s="35">
        <f t="shared" si="403"/>
        <v>46036685</v>
      </c>
    </row>
    <row r="722" spans="1:14" s="18" customFormat="1" ht="24" hidden="1" customHeight="1" x14ac:dyDescent="0.3">
      <c r="A722" s="19"/>
      <c r="B722" s="19">
        <v>8</v>
      </c>
      <c r="C722" s="39" t="s">
        <v>302</v>
      </c>
      <c r="D722" s="21"/>
      <c r="E722" s="19"/>
      <c r="F722" s="22"/>
      <c r="G722" s="23"/>
      <c r="H722" s="24"/>
      <c r="I722" s="23"/>
      <c r="J722" s="23"/>
      <c r="K722" s="32"/>
      <c r="L722" s="33"/>
      <c r="M722" s="34"/>
      <c r="N722" s="35">
        <f t="shared" si="403"/>
        <v>46036685</v>
      </c>
    </row>
    <row r="723" spans="1:14" s="18" customFormat="1" ht="24" hidden="1" customHeight="1" x14ac:dyDescent="0.3">
      <c r="A723" s="19"/>
      <c r="B723" s="19"/>
      <c r="C723" s="36" t="s">
        <v>23</v>
      </c>
      <c r="D723" s="37"/>
      <c r="E723" s="19">
        <v>275</v>
      </c>
      <c r="F723" s="22">
        <v>2982</v>
      </c>
      <c r="G723" s="23">
        <f>2200+550+1070+250+330</f>
        <v>4400</v>
      </c>
      <c r="H723" s="24">
        <f t="shared" ref="H723" si="414">F723*G723</f>
        <v>13120800</v>
      </c>
      <c r="I723" s="23">
        <v>0</v>
      </c>
      <c r="J723" s="23">
        <f t="shared" ref="J723" si="415">SUM(H723:I723)</f>
        <v>13120800</v>
      </c>
      <c r="K723" s="32"/>
      <c r="L723" s="33"/>
      <c r="M723" s="34"/>
      <c r="N723" s="35">
        <f t="shared" si="403"/>
        <v>59157485</v>
      </c>
    </row>
    <row r="724" spans="1:14" s="18" customFormat="1" ht="24" hidden="1" customHeight="1" x14ac:dyDescent="0.3">
      <c r="A724" s="19"/>
      <c r="B724" s="19">
        <v>9</v>
      </c>
      <c r="C724" s="39" t="s">
        <v>303</v>
      </c>
      <c r="D724" s="37"/>
      <c r="E724" s="19"/>
      <c r="F724" s="22"/>
      <c r="G724" s="23"/>
      <c r="H724" s="24"/>
      <c r="I724" s="23"/>
      <c r="J724" s="23"/>
      <c r="K724" s="32"/>
      <c r="L724" s="33"/>
      <c r="M724" s="34"/>
      <c r="N724" s="35">
        <f t="shared" si="403"/>
        <v>59157485</v>
      </c>
    </row>
    <row r="725" spans="1:14" s="18" customFormat="1" ht="24" hidden="1" customHeight="1" x14ac:dyDescent="0.3">
      <c r="A725" s="19"/>
      <c r="B725" s="19"/>
      <c r="C725" s="36" t="s">
        <v>23</v>
      </c>
      <c r="D725" s="21"/>
      <c r="E725" s="19">
        <v>538</v>
      </c>
      <c r="F725" s="22">
        <v>6454.1</v>
      </c>
      <c r="G725" s="23">
        <f>2200+550+1070+250+330</f>
        <v>4400</v>
      </c>
      <c r="H725" s="24">
        <f t="shared" ref="H725:H726" si="416">F725*G725</f>
        <v>28398040</v>
      </c>
      <c r="I725" s="23">
        <v>0</v>
      </c>
      <c r="J725" s="23">
        <f t="shared" ref="J725:J726" si="417">SUM(H725:I725)</f>
        <v>28398040</v>
      </c>
      <c r="K725" s="32"/>
      <c r="L725" s="33"/>
      <c r="M725" s="34"/>
      <c r="N725" s="35">
        <f t="shared" si="403"/>
        <v>87555525</v>
      </c>
    </row>
    <row r="726" spans="1:14" s="18" customFormat="1" ht="24" hidden="1" customHeight="1" x14ac:dyDescent="0.3">
      <c r="A726" s="19"/>
      <c r="B726" s="19"/>
      <c r="C726" s="36" t="s">
        <v>178</v>
      </c>
      <c r="D726" s="21"/>
      <c r="E726" s="19">
        <v>3</v>
      </c>
      <c r="F726" s="22">
        <v>51.7</v>
      </c>
      <c r="G726" s="23">
        <f>2200+1200+1070+250+330</f>
        <v>5050</v>
      </c>
      <c r="H726" s="24">
        <f t="shared" si="416"/>
        <v>261085</v>
      </c>
      <c r="I726" s="23">
        <v>0</v>
      </c>
      <c r="J726" s="23">
        <f t="shared" si="417"/>
        <v>261085</v>
      </c>
      <c r="K726" s="32"/>
      <c r="L726" s="33"/>
      <c r="M726" s="34"/>
      <c r="N726" s="35">
        <f t="shared" si="403"/>
        <v>87816610</v>
      </c>
    </row>
    <row r="727" spans="1:14" s="18" customFormat="1" ht="24" hidden="1" customHeight="1" x14ac:dyDescent="0.3">
      <c r="A727" s="19"/>
      <c r="B727" s="19">
        <v>9</v>
      </c>
      <c r="C727" s="29" t="s">
        <v>304</v>
      </c>
      <c r="D727" s="37"/>
      <c r="E727" s="19"/>
      <c r="F727" s="22"/>
      <c r="G727" s="23"/>
      <c r="H727" s="24"/>
      <c r="I727" s="23"/>
      <c r="J727" s="23"/>
      <c r="K727" s="32"/>
      <c r="L727" s="33"/>
      <c r="M727" s="34"/>
      <c r="N727" s="35">
        <f t="shared" si="403"/>
        <v>87816610</v>
      </c>
    </row>
    <row r="728" spans="1:14" s="18" customFormat="1" ht="24" hidden="1" customHeight="1" x14ac:dyDescent="0.3">
      <c r="A728" s="19"/>
      <c r="B728" s="19"/>
      <c r="C728" s="29" t="s">
        <v>305</v>
      </c>
      <c r="D728" s="21"/>
      <c r="E728" s="19">
        <v>1</v>
      </c>
      <c r="F728" s="22">
        <v>15.3</v>
      </c>
      <c r="G728" s="23">
        <v>1500</v>
      </c>
      <c r="H728" s="24">
        <f t="shared" ref="H728" si="418">F728*G728</f>
        <v>22950</v>
      </c>
      <c r="I728" s="23">
        <f>H728*0.1</f>
        <v>2295</v>
      </c>
      <c r="J728" s="23">
        <f t="shared" ref="J728" si="419">SUM(H728:I728)</f>
        <v>25245</v>
      </c>
      <c r="K728" s="32"/>
      <c r="L728" s="33"/>
      <c r="M728" s="34"/>
      <c r="N728" s="35">
        <f t="shared" si="403"/>
        <v>87841855</v>
      </c>
    </row>
    <row r="729" spans="1:14" s="18" customFormat="1" ht="24" hidden="1" customHeight="1" x14ac:dyDescent="0.3">
      <c r="A729" s="19"/>
      <c r="B729" s="19"/>
      <c r="C729" s="29" t="s">
        <v>105</v>
      </c>
      <c r="D729" s="21"/>
      <c r="E729" s="19"/>
      <c r="F729" s="22"/>
      <c r="G729" s="23"/>
      <c r="H729" s="24">
        <v>100000</v>
      </c>
      <c r="I729" s="23">
        <f>H729*0.1</f>
        <v>10000</v>
      </c>
      <c r="J729" s="23">
        <f>SUM(H729:I729)</f>
        <v>110000</v>
      </c>
      <c r="K729" s="32"/>
      <c r="L729" s="33"/>
      <c r="M729" s="34"/>
      <c r="N729" s="35">
        <f t="shared" si="403"/>
        <v>87951855</v>
      </c>
    </row>
    <row r="730" spans="1:14" s="18" customFormat="1" ht="24" hidden="1" customHeight="1" x14ac:dyDescent="0.3">
      <c r="A730" s="19"/>
      <c r="B730" s="19">
        <v>9</v>
      </c>
      <c r="C730" s="39" t="s">
        <v>288</v>
      </c>
      <c r="D730" s="37"/>
      <c r="E730" s="19"/>
      <c r="F730" s="22"/>
      <c r="G730" s="23"/>
      <c r="H730" s="24"/>
      <c r="I730" s="23"/>
      <c r="J730" s="23"/>
      <c r="K730" s="32"/>
      <c r="L730" s="33"/>
      <c r="M730" s="34"/>
      <c r="N730" s="35">
        <f t="shared" si="403"/>
        <v>87951855</v>
      </c>
    </row>
    <row r="731" spans="1:14" s="18" customFormat="1" ht="24" hidden="1" customHeight="1" x14ac:dyDescent="0.3">
      <c r="A731" s="19"/>
      <c r="B731" s="19"/>
      <c r="C731" s="29" t="s">
        <v>306</v>
      </c>
      <c r="D731" s="21"/>
      <c r="E731" s="19"/>
      <c r="F731" s="22"/>
      <c r="G731" s="23"/>
      <c r="H731" s="24">
        <v>310000</v>
      </c>
      <c r="I731" s="23">
        <f>H731*0.1</f>
        <v>31000</v>
      </c>
      <c r="J731" s="23">
        <f>SUM(H731:I731)</f>
        <v>341000</v>
      </c>
      <c r="K731" s="32"/>
      <c r="L731" s="33"/>
      <c r="M731" s="34"/>
      <c r="N731" s="35">
        <f t="shared" si="403"/>
        <v>88292855</v>
      </c>
    </row>
    <row r="732" spans="1:14" s="18" customFormat="1" ht="24" hidden="1" customHeight="1" x14ac:dyDescent="0.3">
      <c r="A732" s="19"/>
      <c r="B732" s="19">
        <v>10</v>
      </c>
      <c r="C732" s="39" t="s">
        <v>307</v>
      </c>
      <c r="D732" s="21"/>
      <c r="E732" s="19"/>
      <c r="F732" s="22"/>
      <c r="G732" s="23"/>
      <c r="H732" s="24">
        <v>170000</v>
      </c>
      <c r="I732" s="23">
        <f>H732*0.1</f>
        <v>17000</v>
      </c>
      <c r="J732" s="23">
        <f>SUM(H732:I732)</f>
        <v>187000</v>
      </c>
      <c r="K732" s="32"/>
      <c r="L732" s="33"/>
      <c r="M732" s="34"/>
      <c r="N732" s="35">
        <f t="shared" si="403"/>
        <v>88479855</v>
      </c>
    </row>
    <row r="733" spans="1:14" s="18" customFormat="1" ht="24" hidden="1" customHeight="1" x14ac:dyDescent="0.3">
      <c r="A733" s="19"/>
      <c r="B733" s="19"/>
      <c r="C733" s="39" t="s">
        <v>81</v>
      </c>
      <c r="D733" s="21"/>
      <c r="E733" s="19"/>
      <c r="F733" s="22"/>
      <c r="G733" s="23"/>
      <c r="H733" s="24">
        <v>80000</v>
      </c>
      <c r="I733" s="23">
        <f>H733*0.1</f>
        <v>8000</v>
      </c>
      <c r="J733" s="23">
        <f>SUM(H733:I733)</f>
        <v>88000</v>
      </c>
      <c r="K733" s="32"/>
      <c r="L733" s="33"/>
      <c r="M733" s="34"/>
      <c r="N733" s="35">
        <f t="shared" si="403"/>
        <v>88567855</v>
      </c>
    </row>
    <row r="734" spans="1:14" s="18" customFormat="1" ht="24" hidden="1" customHeight="1" x14ac:dyDescent="0.3">
      <c r="A734" s="19"/>
      <c r="B734" s="19">
        <v>10</v>
      </c>
      <c r="C734" s="39" t="s">
        <v>308</v>
      </c>
      <c r="D734" s="21"/>
      <c r="E734" s="19"/>
      <c r="F734" s="22"/>
      <c r="G734" s="23"/>
      <c r="H734" s="24"/>
      <c r="I734" s="23"/>
      <c r="J734" s="23"/>
      <c r="K734" s="32"/>
      <c r="L734" s="33"/>
      <c r="M734" s="34"/>
      <c r="N734" s="35">
        <f t="shared" si="403"/>
        <v>88567855</v>
      </c>
    </row>
    <row r="735" spans="1:14" s="18" customFormat="1" ht="24" hidden="1" customHeight="1" x14ac:dyDescent="0.3">
      <c r="A735" s="19"/>
      <c r="B735" s="19"/>
      <c r="C735" s="36" t="s">
        <v>23</v>
      </c>
      <c r="D735" s="37"/>
      <c r="E735" s="19">
        <v>8</v>
      </c>
      <c r="F735" s="22">
        <v>43.6</v>
      </c>
      <c r="G735" s="23">
        <f>2200+550+1070+250+330</f>
        <v>4400</v>
      </c>
      <c r="H735" s="24">
        <f t="shared" ref="H735:H736" si="420">F735*G735</f>
        <v>191840</v>
      </c>
      <c r="I735" s="23">
        <v>0</v>
      </c>
      <c r="J735" s="23">
        <f t="shared" ref="J735:J736" si="421">SUM(H735:I735)</f>
        <v>191840</v>
      </c>
      <c r="K735" s="32"/>
      <c r="L735" s="33"/>
      <c r="M735" s="34"/>
      <c r="N735" s="35">
        <f t="shared" si="403"/>
        <v>88759695</v>
      </c>
    </row>
    <row r="736" spans="1:14" s="18" customFormat="1" ht="24" hidden="1" customHeight="1" x14ac:dyDescent="0.3">
      <c r="A736" s="19"/>
      <c r="B736" s="19"/>
      <c r="C736" s="36" t="s">
        <v>31</v>
      </c>
      <c r="D736" s="21"/>
      <c r="E736" s="19">
        <v>45</v>
      </c>
      <c r="F736" s="22">
        <v>175.1</v>
      </c>
      <c r="G736" s="23">
        <f>2200+2200-700+550+1070+1070+250+250+330+330</f>
        <v>7550</v>
      </c>
      <c r="H736" s="24">
        <f t="shared" si="420"/>
        <v>1322005</v>
      </c>
      <c r="I736" s="23">
        <v>0</v>
      </c>
      <c r="J736" s="23">
        <f t="shared" si="421"/>
        <v>1322005</v>
      </c>
      <c r="K736" s="32"/>
      <c r="L736" s="33"/>
      <c r="M736" s="34"/>
      <c r="N736" s="35">
        <f t="shared" si="403"/>
        <v>90081700</v>
      </c>
    </row>
    <row r="737" spans="1:14" s="18" customFormat="1" ht="24" hidden="1" customHeight="1" x14ac:dyDescent="0.3">
      <c r="A737" s="19"/>
      <c r="B737" s="19"/>
      <c r="C737" s="29" t="s">
        <v>179</v>
      </c>
      <c r="D737" s="37"/>
      <c r="E737" s="19"/>
      <c r="F737" s="22"/>
      <c r="G737" s="23"/>
      <c r="H737" s="24">
        <v>150000</v>
      </c>
      <c r="I737" s="23">
        <f>H737*0.1</f>
        <v>15000</v>
      </c>
      <c r="J737" s="23">
        <f>SUM(H737:I737)</f>
        <v>165000</v>
      </c>
      <c r="K737" s="32"/>
      <c r="L737" s="33"/>
      <c r="M737" s="34"/>
      <c r="N737" s="35">
        <f t="shared" si="403"/>
        <v>90246700</v>
      </c>
    </row>
    <row r="738" spans="1:14" s="18" customFormat="1" ht="24" hidden="1" customHeight="1" x14ac:dyDescent="0.3">
      <c r="A738" s="19"/>
      <c r="B738" s="19">
        <v>11</v>
      </c>
      <c r="C738" s="39" t="s">
        <v>150</v>
      </c>
      <c r="D738" s="21"/>
      <c r="E738" s="19"/>
      <c r="F738" s="22"/>
      <c r="G738" s="23"/>
      <c r="H738" s="24"/>
      <c r="I738" s="23"/>
      <c r="J738" s="23"/>
      <c r="K738" s="32"/>
      <c r="L738" s="33"/>
      <c r="M738" s="34"/>
      <c r="N738" s="35">
        <f t="shared" si="403"/>
        <v>90246700</v>
      </c>
    </row>
    <row r="739" spans="1:14" s="18" customFormat="1" ht="24" hidden="1" customHeight="1" x14ac:dyDescent="0.3">
      <c r="A739" s="19"/>
      <c r="B739" s="19"/>
      <c r="C739" s="29" t="s">
        <v>100</v>
      </c>
      <c r="D739" s="21"/>
      <c r="E739" s="19">
        <v>3</v>
      </c>
      <c r="F739" s="22">
        <v>16.100000000000001</v>
      </c>
      <c r="G739" s="23">
        <v>1400</v>
      </c>
      <c r="H739" s="24">
        <f t="shared" ref="H739" si="422">F739*G739</f>
        <v>22540.000000000004</v>
      </c>
      <c r="I739" s="23">
        <v>0</v>
      </c>
      <c r="J739" s="23">
        <f t="shared" ref="J739" si="423">SUM(H739:I739)</f>
        <v>22540.000000000004</v>
      </c>
      <c r="K739" s="32"/>
      <c r="L739" s="33"/>
      <c r="M739" s="34"/>
      <c r="N739" s="38">
        <f t="shared" si="403"/>
        <v>90269240</v>
      </c>
    </row>
    <row r="740" spans="1:14" s="18" customFormat="1" ht="24" hidden="1" customHeight="1" x14ac:dyDescent="0.3">
      <c r="A740" s="19"/>
      <c r="B740" s="19">
        <v>11</v>
      </c>
      <c r="C740" s="39" t="s">
        <v>309</v>
      </c>
      <c r="D740" s="21"/>
      <c r="E740" s="19"/>
      <c r="F740" s="22"/>
      <c r="G740" s="23"/>
      <c r="H740" s="24"/>
      <c r="I740" s="23"/>
      <c r="J740" s="23"/>
      <c r="K740" s="32"/>
      <c r="L740" s="33"/>
      <c r="M740" s="34"/>
      <c r="N740" s="38">
        <f t="shared" si="403"/>
        <v>90269240</v>
      </c>
    </row>
    <row r="741" spans="1:14" s="18" customFormat="1" ht="24" hidden="1" customHeight="1" x14ac:dyDescent="0.3">
      <c r="A741" s="19"/>
      <c r="B741" s="19"/>
      <c r="C741" s="36" t="s">
        <v>310</v>
      </c>
      <c r="D741" s="21"/>
      <c r="E741" s="19">
        <v>61</v>
      </c>
      <c r="F741" s="22">
        <v>957.5</v>
      </c>
      <c r="G741" s="23">
        <f>2200+550+1070+250</f>
        <v>4070</v>
      </c>
      <c r="H741" s="24">
        <f t="shared" ref="H741" si="424">F741*G741</f>
        <v>3897025</v>
      </c>
      <c r="I741" s="23">
        <v>0</v>
      </c>
      <c r="J741" s="23">
        <f t="shared" ref="J741" si="425">SUM(H741:I741)</f>
        <v>3897025</v>
      </c>
      <c r="K741" s="32"/>
      <c r="L741" s="33"/>
      <c r="M741" s="34"/>
      <c r="N741" s="38">
        <f t="shared" si="403"/>
        <v>94166265</v>
      </c>
    </row>
    <row r="742" spans="1:14" s="2" customFormat="1" ht="27" hidden="1" customHeight="1" thickBot="1" x14ac:dyDescent="0.35">
      <c r="A742" s="1"/>
      <c r="B742" s="1"/>
      <c r="C742" s="1"/>
      <c r="E742" s="86" t="s">
        <v>0</v>
      </c>
      <c r="F742" s="86"/>
      <c r="G742" s="86"/>
      <c r="H742" s="86"/>
      <c r="I742" s="86"/>
      <c r="J742" s="86"/>
      <c r="K742" s="1"/>
      <c r="L742" s="3"/>
      <c r="M742" s="3"/>
      <c r="N742" s="1"/>
    </row>
    <row r="743" spans="1:14" s="2" customFormat="1" ht="24" hidden="1" customHeight="1" thickTop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3"/>
      <c r="M743" s="3"/>
      <c r="N743" s="1"/>
    </row>
    <row r="744" spans="1:14" s="2" customFormat="1" ht="24" hidden="1" customHeight="1" thickBot="1" x14ac:dyDescent="0.35">
      <c r="A744" s="2" t="s">
        <v>1</v>
      </c>
      <c r="C744" s="4"/>
      <c r="D744" s="4"/>
      <c r="E744" s="5"/>
      <c r="F744" s="6"/>
      <c r="G744" s="7"/>
      <c r="H744" s="7"/>
      <c r="I744" s="7"/>
      <c r="J744" s="8"/>
      <c r="K744" s="9"/>
      <c r="L744" s="10"/>
      <c r="M744" s="11"/>
      <c r="N744" s="12" t="s">
        <v>2</v>
      </c>
    </row>
    <row r="745" spans="1:14" s="18" customFormat="1" ht="24" hidden="1" customHeight="1" thickTop="1" thickBot="1" x14ac:dyDescent="0.35">
      <c r="A745" s="13" t="s">
        <v>3</v>
      </c>
      <c r="B745" s="13" t="s">
        <v>4</v>
      </c>
      <c r="C745" s="87" t="s">
        <v>5</v>
      </c>
      <c r="D745" s="88"/>
      <c r="E745" s="13" t="s">
        <v>6</v>
      </c>
      <c r="F745" s="14" t="s">
        <v>7</v>
      </c>
      <c r="G745" s="15" t="s">
        <v>8</v>
      </c>
      <c r="H745" s="15" t="s">
        <v>9</v>
      </c>
      <c r="I745" s="15" t="s">
        <v>10</v>
      </c>
      <c r="J745" s="15" t="s">
        <v>11</v>
      </c>
      <c r="K745" s="16" t="s">
        <v>12</v>
      </c>
      <c r="L745" s="89" t="s">
        <v>13</v>
      </c>
      <c r="M745" s="90"/>
      <c r="N745" s="17" t="s">
        <v>14</v>
      </c>
    </row>
    <row r="746" spans="1:14" s="18" customFormat="1" ht="24" hidden="1" customHeight="1" thickTop="1" x14ac:dyDescent="0.3">
      <c r="A746" s="41"/>
      <c r="B746" s="41"/>
      <c r="C746" s="70" t="s">
        <v>41</v>
      </c>
      <c r="D746" s="40"/>
      <c r="E746" s="41"/>
      <c r="F746" s="42"/>
      <c r="G746" s="43"/>
      <c r="H746" s="44"/>
      <c r="I746" s="43"/>
      <c r="J746" s="43"/>
      <c r="K746" s="25"/>
      <c r="L746" s="26"/>
      <c r="M746" s="27"/>
      <c r="N746" s="28">
        <f>N741</f>
        <v>94166265</v>
      </c>
    </row>
    <row r="747" spans="1:14" s="18" customFormat="1" ht="24" hidden="1" customHeight="1" x14ac:dyDescent="0.3">
      <c r="A747" s="19">
        <v>4</v>
      </c>
      <c r="B747" s="19">
        <v>11</v>
      </c>
      <c r="C747" s="29" t="s">
        <v>99</v>
      </c>
      <c r="D747" s="21"/>
      <c r="E747" s="19"/>
      <c r="F747" s="22"/>
      <c r="G747" s="23"/>
      <c r="H747" s="24"/>
      <c r="I747" s="23"/>
      <c r="J747" s="23"/>
      <c r="K747" s="32"/>
      <c r="L747" s="33"/>
      <c r="M747" s="34"/>
      <c r="N747" s="35">
        <f>N746+J747+K747</f>
        <v>94166265</v>
      </c>
    </row>
    <row r="748" spans="1:14" s="18" customFormat="1" ht="24" hidden="1" customHeight="1" x14ac:dyDescent="0.3">
      <c r="A748" s="19"/>
      <c r="B748" s="19"/>
      <c r="C748" s="39" t="s">
        <v>30</v>
      </c>
      <c r="D748" s="21"/>
      <c r="E748" s="19">
        <v>1</v>
      </c>
      <c r="F748" s="22">
        <v>8.8000000000000007</v>
      </c>
      <c r="G748" s="23">
        <f>550+1000+980+250</f>
        <v>2780</v>
      </c>
      <c r="H748" s="24">
        <f t="shared" ref="H748" si="426">F748*G748</f>
        <v>24464.000000000004</v>
      </c>
      <c r="I748" s="23">
        <v>0</v>
      </c>
      <c r="J748" s="23">
        <f t="shared" ref="J748" si="427">SUM(H748:I748)</f>
        <v>24464.000000000004</v>
      </c>
      <c r="K748" s="32"/>
      <c r="L748" s="33"/>
      <c r="M748" s="34"/>
      <c r="N748" s="35">
        <f>N747+J748+K748</f>
        <v>94190729</v>
      </c>
    </row>
    <row r="749" spans="1:14" s="18" customFormat="1" ht="24" hidden="1" customHeight="1" x14ac:dyDescent="0.3">
      <c r="A749" s="19"/>
      <c r="B749" s="19">
        <v>11</v>
      </c>
      <c r="C749" s="39" t="s">
        <v>308</v>
      </c>
      <c r="D749" s="21"/>
      <c r="E749" s="19"/>
      <c r="F749" s="22"/>
      <c r="G749" s="23"/>
      <c r="H749" s="24"/>
      <c r="I749" s="23"/>
      <c r="J749" s="23"/>
      <c r="K749" s="32"/>
      <c r="L749" s="33"/>
      <c r="M749" s="34"/>
      <c r="N749" s="35">
        <f t="shared" ref="N749:N780" si="428">N748+J749+K749</f>
        <v>94190729</v>
      </c>
    </row>
    <row r="750" spans="1:14" s="18" customFormat="1" ht="24" hidden="1" customHeight="1" x14ac:dyDescent="0.3">
      <c r="A750" s="19"/>
      <c r="B750" s="19"/>
      <c r="C750" s="36" t="s">
        <v>23</v>
      </c>
      <c r="D750" s="21"/>
      <c r="E750" s="19">
        <v>4</v>
      </c>
      <c r="F750" s="22">
        <v>48.3</v>
      </c>
      <c r="G750" s="23">
        <f>2200+550+1070+250+330</f>
        <v>4400</v>
      </c>
      <c r="H750" s="24">
        <f t="shared" ref="H750" si="429">F750*G750</f>
        <v>212520</v>
      </c>
      <c r="I750" s="23">
        <v>0</v>
      </c>
      <c r="J750" s="23">
        <f t="shared" ref="J750" si="430">SUM(H750:I750)</f>
        <v>212520</v>
      </c>
      <c r="K750" s="32"/>
      <c r="L750" s="33"/>
      <c r="M750" s="34"/>
      <c r="N750" s="35">
        <f t="shared" si="428"/>
        <v>94403249</v>
      </c>
    </row>
    <row r="751" spans="1:14" s="18" customFormat="1" ht="24" hidden="1" customHeight="1" x14ac:dyDescent="0.3">
      <c r="A751" s="19"/>
      <c r="B751" s="19">
        <v>11</v>
      </c>
      <c r="C751" s="39" t="s">
        <v>311</v>
      </c>
      <c r="D751" s="21"/>
      <c r="E751" s="19"/>
      <c r="F751" s="22"/>
      <c r="G751" s="23"/>
      <c r="H751" s="24"/>
      <c r="I751" s="23"/>
      <c r="J751" s="23"/>
      <c r="K751" s="32"/>
      <c r="L751" s="33"/>
      <c r="M751" s="34"/>
      <c r="N751" s="35">
        <f t="shared" si="428"/>
        <v>94403249</v>
      </c>
    </row>
    <row r="752" spans="1:14" s="18" customFormat="1" ht="24" hidden="1" customHeight="1" x14ac:dyDescent="0.3">
      <c r="A752" s="19"/>
      <c r="B752" s="19"/>
      <c r="C752" s="36" t="s">
        <v>312</v>
      </c>
      <c r="D752" s="21"/>
      <c r="E752" s="19">
        <v>36</v>
      </c>
      <c r="F752" s="22">
        <v>376.5</v>
      </c>
      <c r="G752" s="23">
        <f>2200+1070+250+330+4400</f>
        <v>8250</v>
      </c>
      <c r="H752" s="24">
        <f t="shared" ref="H752:H754" si="431">F752*G752</f>
        <v>3106125</v>
      </c>
      <c r="I752" s="23">
        <v>0</v>
      </c>
      <c r="J752" s="23">
        <f t="shared" ref="J752:J754" si="432">SUM(H752:I752)</f>
        <v>3106125</v>
      </c>
      <c r="K752" s="32"/>
      <c r="L752" s="33"/>
      <c r="M752" s="34"/>
      <c r="N752" s="35">
        <f t="shared" si="428"/>
        <v>97509374</v>
      </c>
    </row>
    <row r="753" spans="1:14" s="18" customFormat="1" ht="24" hidden="1" customHeight="1" x14ac:dyDescent="0.3">
      <c r="A753" s="19"/>
      <c r="B753" s="19"/>
      <c r="C753" s="36" t="s">
        <v>21</v>
      </c>
      <c r="D753" s="21"/>
      <c r="E753" s="19">
        <v>31</v>
      </c>
      <c r="F753" s="22">
        <v>354.6</v>
      </c>
      <c r="G753" s="23">
        <f>2200+550+1070+250+330</f>
        <v>4400</v>
      </c>
      <c r="H753" s="24">
        <f t="shared" si="431"/>
        <v>1560240</v>
      </c>
      <c r="I753" s="23">
        <v>0</v>
      </c>
      <c r="J753" s="23">
        <f t="shared" si="432"/>
        <v>1560240</v>
      </c>
      <c r="K753" s="32"/>
      <c r="L753" s="33"/>
      <c r="M753" s="34"/>
      <c r="N753" s="35">
        <f t="shared" si="428"/>
        <v>99069614</v>
      </c>
    </row>
    <row r="754" spans="1:14" s="18" customFormat="1" ht="24" hidden="1" customHeight="1" x14ac:dyDescent="0.3">
      <c r="A754" s="19"/>
      <c r="B754" s="19"/>
      <c r="C754" s="36" t="s">
        <v>86</v>
      </c>
      <c r="D754" s="37"/>
      <c r="E754" s="19">
        <v>2</v>
      </c>
      <c r="F754" s="22">
        <v>14.3</v>
      </c>
      <c r="G754" s="23">
        <f>550+1000+1070+250</f>
        <v>2870</v>
      </c>
      <c r="H754" s="24">
        <f t="shared" si="431"/>
        <v>41041</v>
      </c>
      <c r="I754" s="23">
        <v>0</v>
      </c>
      <c r="J754" s="23">
        <f t="shared" si="432"/>
        <v>41041</v>
      </c>
      <c r="K754" s="32"/>
      <c r="L754" s="33"/>
      <c r="M754" s="34"/>
      <c r="N754" s="35">
        <f t="shared" si="428"/>
        <v>99110655</v>
      </c>
    </row>
    <row r="755" spans="1:14" s="18" customFormat="1" ht="24" hidden="1" customHeight="1" x14ac:dyDescent="0.3">
      <c r="A755" s="19"/>
      <c r="B755" s="19">
        <v>14</v>
      </c>
      <c r="C755" s="39" t="s">
        <v>313</v>
      </c>
      <c r="D755" s="21"/>
      <c r="E755" s="19"/>
      <c r="F755" s="22"/>
      <c r="G755" s="23"/>
      <c r="H755" s="24"/>
      <c r="I755" s="23"/>
      <c r="J755" s="23"/>
      <c r="K755" s="32"/>
      <c r="L755" s="33"/>
      <c r="M755" s="34"/>
      <c r="N755" s="35">
        <f t="shared" si="428"/>
        <v>99110655</v>
      </c>
    </row>
    <row r="756" spans="1:14" s="18" customFormat="1" ht="24" hidden="1" customHeight="1" x14ac:dyDescent="0.3">
      <c r="A756" s="19"/>
      <c r="B756" s="19"/>
      <c r="C756" s="36" t="s">
        <v>33</v>
      </c>
      <c r="D756" s="37"/>
      <c r="E756" s="19">
        <v>2</v>
      </c>
      <c r="F756" s="22">
        <v>6</v>
      </c>
      <c r="G756" s="23">
        <f>2200+550+1070+250+330</f>
        <v>4400</v>
      </c>
      <c r="H756" s="24">
        <f t="shared" ref="H756" si="433">F756*G756</f>
        <v>26400</v>
      </c>
      <c r="I756" s="23">
        <v>0</v>
      </c>
      <c r="J756" s="23">
        <f t="shared" ref="J756" si="434">SUM(H756:I756)</f>
        <v>26400</v>
      </c>
      <c r="K756" s="32"/>
      <c r="L756" s="33"/>
      <c r="M756" s="34"/>
      <c r="N756" s="35">
        <f t="shared" si="428"/>
        <v>99137055</v>
      </c>
    </row>
    <row r="757" spans="1:14" s="18" customFormat="1" ht="24" hidden="1" customHeight="1" x14ac:dyDescent="0.3">
      <c r="A757" s="19"/>
      <c r="B757" s="19">
        <v>14</v>
      </c>
      <c r="C757" s="29" t="s">
        <v>314</v>
      </c>
      <c r="D757" s="21"/>
      <c r="E757" s="19"/>
      <c r="F757" s="22"/>
      <c r="G757" s="23"/>
      <c r="H757" s="24"/>
      <c r="I757" s="23"/>
      <c r="J757" s="23"/>
      <c r="K757" s="32"/>
      <c r="L757" s="33"/>
      <c r="M757" s="34"/>
      <c r="N757" s="35">
        <f t="shared" si="428"/>
        <v>99137055</v>
      </c>
    </row>
    <row r="758" spans="1:14" s="18" customFormat="1" ht="24" hidden="1" customHeight="1" x14ac:dyDescent="0.3">
      <c r="A758" s="19"/>
      <c r="B758" s="19"/>
      <c r="C758" s="36" t="s">
        <v>315</v>
      </c>
      <c r="D758" s="21"/>
      <c r="E758" s="19">
        <v>30</v>
      </c>
      <c r="F758" s="22">
        <v>190.7</v>
      </c>
      <c r="G758" s="23">
        <f>1200+1250+1070+250</f>
        <v>3770</v>
      </c>
      <c r="H758" s="24">
        <f t="shared" ref="H758:H759" si="435">F758*G758</f>
        <v>718939</v>
      </c>
      <c r="I758" s="23">
        <v>0</v>
      </c>
      <c r="J758" s="23">
        <f t="shared" ref="J758:J759" si="436">SUM(H758:I758)</f>
        <v>718939</v>
      </c>
      <c r="K758" s="32"/>
      <c r="L758" s="33"/>
      <c r="M758" s="34"/>
      <c r="N758" s="35">
        <f t="shared" si="428"/>
        <v>99855994</v>
      </c>
    </row>
    <row r="759" spans="1:14" s="18" customFormat="1" ht="24" hidden="1" customHeight="1" x14ac:dyDescent="0.3">
      <c r="A759" s="19"/>
      <c r="B759" s="19"/>
      <c r="C759" s="36" t="s">
        <v>272</v>
      </c>
      <c r="D759" s="21"/>
      <c r="E759" s="19">
        <v>90</v>
      </c>
      <c r="F759" s="22">
        <v>488.7</v>
      </c>
      <c r="G759" s="23">
        <f>900+1250+1070+250</f>
        <v>3470</v>
      </c>
      <c r="H759" s="24">
        <f t="shared" si="435"/>
        <v>1695789</v>
      </c>
      <c r="I759" s="23">
        <v>0</v>
      </c>
      <c r="J759" s="23">
        <f t="shared" si="436"/>
        <v>1695789</v>
      </c>
      <c r="K759" s="32"/>
      <c r="L759" s="33"/>
      <c r="M759" s="34"/>
      <c r="N759" s="35">
        <f t="shared" si="428"/>
        <v>101551783</v>
      </c>
    </row>
    <row r="760" spans="1:14" s="18" customFormat="1" ht="24" hidden="1" customHeight="1" x14ac:dyDescent="0.3">
      <c r="A760" s="19"/>
      <c r="B760" s="19">
        <v>14</v>
      </c>
      <c r="C760" s="29" t="s">
        <v>316</v>
      </c>
      <c r="D760" s="21"/>
      <c r="E760" s="19"/>
      <c r="F760" s="22"/>
      <c r="G760" s="23"/>
      <c r="H760" s="24"/>
      <c r="I760" s="23"/>
      <c r="J760" s="23"/>
      <c r="K760" s="32"/>
      <c r="L760" s="33"/>
      <c r="M760" s="34"/>
      <c r="N760" s="35">
        <f t="shared" si="428"/>
        <v>101551783</v>
      </c>
    </row>
    <row r="761" spans="1:14" s="18" customFormat="1" ht="24" hidden="1" customHeight="1" x14ac:dyDescent="0.3">
      <c r="A761" s="19"/>
      <c r="B761" s="19"/>
      <c r="C761" s="36" t="s">
        <v>315</v>
      </c>
      <c r="D761" s="21"/>
      <c r="E761" s="19">
        <v>9</v>
      </c>
      <c r="F761" s="22">
        <v>83.4</v>
      </c>
      <c r="G761" s="23">
        <f>1200+1250+1070+250</f>
        <v>3770</v>
      </c>
      <c r="H761" s="24">
        <f t="shared" ref="H761:H763" si="437">F761*G761</f>
        <v>314418</v>
      </c>
      <c r="I761" s="23">
        <v>0</v>
      </c>
      <c r="J761" s="23">
        <f t="shared" ref="J761:J763" si="438">SUM(H761:I761)</f>
        <v>314418</v>
      </c>
      <c r="K761" s="32"/>
      <c r="L761" s="33"/>
      <c r="M761" s="34"/>
      <c r="N761" s="35">
        <f t="shared" si="428"/>
        <v>101866201</v>
      </c>
    </row>
    <row r="762" spans="1:14" s="18" customFormat="1" ht="24" hidden="1" customHeight="1" x14ac:dyDescent="0.3">
      <c r="A762" s="19"/>
      <c r="B762" s="19"/>
      <c r="C762" s="36" t="s">
        <v>317</v>
      </c>
      <c r="D762" s="21"/>
      <c r="E762" s="19">
        <v>4</v>
      </c>
      <c r="F762" s="22">
        <v>24.7</v>
      </c>
      <c r="G762" s="23">
        <f>1200+1250+980+250</f>
        <v>3680</v>
      </c>
      <c r="H762" s="24">
        <f t="shared" si="437"/>
        <v>90896</v>
      </c>
      <c r="I762" s="23">
        <v>0</v>
      </c>
      <c r="J762" s="23">
        <f t="shared" si="438"/>
        <v>90896</v>
      </c>
      <c r="K762" s="32"/>
      <c r="L762" s="33"/>
      <c r="M762" s="34"/>
      <c r="N762" s="35">
        <f t="shared" si="428"/>
        <v>101957097</v>
      </c>
    </row>
    <row r="763" spans="1:14" s="18" customFormat="1" ht="24" hidden="1" customHeight="1" x14ac:dyDescent="0.3">
      <c r="A763" s="19"/>
      <c r="B763" s="19"/>
      <c r="C763" s="36" t="s">
        <v>272</v>
      </c>
      <c r="D763" s="37"/>
      <c r="E763" s="19">
        <v>58</v>
      </c>
      <c r="F763" s="22">
        <v>701.9</v>
      </c>
      <c r="G763" s="23">
        <f>900+1250+1070+250</f>
        <v>3470</v>
      </c>
      <c r="H763" s="24">
        <f t="shared" si="437"/>
        <v>2435593</v>
      </c>
      <c r="I763" s="23">
        <v>0</v>
      </c>
      <c r="J763" s="23">
        <f t="shared" si="438"/>
        <v>2435593</v>
      </c>
      <c r="K763" s="32"/>
      <c r="L763" s="33"/>
      <c r="M763" s="34"/>
      <c r="N763" s="35">
        <f t="shared" si="428"/>
        <v>104392690</v>
      </c>
    </row>
    <row r="764" spans="1:14" s="18" customFormat="1" ht="24" hidden="1" customHeight="1" x14ac:dyDescent="0.3">
      <c r="A764" s="19"/>
      <c r="B764" s="19">
        <v>14</v>
      </c>
      <c r="C764" s="39" t="s">
        <v>303</v>
      </c>
      <c r="D764" s="21"/>
      <c r="E764" s="19"/>
      <c r="F764" s="22"/>
      <c r="G764" s="23"/>
      <c r="H764" s="24"/>
      <c r="I764" s="23"/>
      <c r="J764" s="23"/>
      <c r="K764" s="32"/>
      <c r="L764" s="33"/>
      <c r="M764" s="34"/>
      <c r="N764" s="35">
        <f t="shared" si="428"/>
        <v>104392690</v>
      </c>
    </row>
    <row r="765" spans="1:14" s="18" customFormat="1" ht="24" hidden="1" customHeight="1" x14ac:dyDescent="0.3">
      <c r="A765" s="19"/>
      <c r="B765" s="19"/>
      <c r="C765" s="36" t="s">
        <v>23</v>
      </c>
      <c r="D765" s="21"/>
      <c r="E765" s="19">
        <v>173</v>
      </c>
      <c r="F765" s="22">
        <v>1252.0999999999999</v>
      </c>
      <c r="G765" s="23">
        <f>2200+550+1070+250+330</f>
        <v>4400</v>
      </c>
      <c r="H765" s="24">
        <f t="shared" ref="H765" si="439">F765*G765</f>
        <v>5509240</v>
      </c>
      <c r="I765" s="23">
        <v>0</v>
      </c>
      <c r="J765" s="23">
        <f t="shared" ref="J765" si="440">SUM(H765:I765)</f>
        <v>5509240</v>
      </c>
      <c r="K765" s="32"/>
      <c r="L765" s="33"/>
      <c r="M765" s="34"/>
      <c r="N765" s="35">
        <f t="shared" si="428"/>
        <v>109901930</v>
      </c>
    </row>
    <row r="766" spans="1:14" s="18" customFormat="1" ht="24" hidden="1" customHeight="1" x14ac:dyDescent="0.3">
      <c r="A766" s="19"/>
      <c r="B766" s="19">
        <v>14</v>
      </c>
      <c r="C766" s="39" t="s">
        <v>303</v>
      </c>
      <c r="D766" s="21"/>
      <c r="E766" s="19"/>
      <c r="F766" s="22"/>
      <c r="G766" s="23"/>
      <c r="H766" s="24"/>
      <c r="I766" s="23"/>
      <c r="J766" s="23"/>
      <c r="K766" s="32"/>
      <c r="L766" s="33"/>
      <c r="M766" s="34"/>
      <c r="N766" s="35">
        <f t="shared" si="428"/>
        <v>109901930</v>
      </c>
    </row>
    <row r="767" spans="1:14" s="18" customFormat="1" ht="24" hidden="1" customHeight="1" x14ac:dyDescent="0.3">
      <c r="A767" s="19"/>
      <c r="B767" s="19"/>
      <c r="C767" s="36" t="s">
        <v>23</v>
      </c>
      <c r="D767" s="21"/>
      <c r="E767" s="19">
        <v>10</v>
      </c>
      <c r="F767" s="22">
        <v>88</v>
      </c>
      <c r="G767" s="23">
        <f>2200+550+1070+250+330</f>
        <v>4400</v>
      </c>
      <c r="H767" s="24">
        <f t="shared" ref="H767" si="441">F767*G767</f>
        <v>387200</v>
      </c>
      <c r="I767" s="23">
        <v>0</v>
      </c>
      <c r="J767" s="23">
        <f t="shared" ref="J767" si="442">SUM(H767:I767)</f>
        <v>387200</v>
      </c>
      <c r="K767" s="32"/>
      <c r="L767" s="33"/>
      <c r="M767" s="34"/>
      <c r="N767" s="35">
        <f t="shared" si="428"/>
        <v>110289130</v>
      </c>
    </row>
    <row r="768" spans="1:14" s="18" customFormat="1" ht="24" hidden="1" customHeight="1" x14ac:dyDescent="0.3">
      <c r="A768" s="19"/>
      <c r="B768" s="19">
        <v>14</v>
      </c>
      <c r="C768" s="39" t="s">
        <v>184</v>
      </c>
      <c r="D768" s="21"/>
      <c r="E768" s="19"/>
      <c r="F768" s="22"/>
      <c r="G768" s="23"/>
      <c r="H768" s="24"/>
      <c r="I768" s="23"/>
      <c r="J768" s="23"/>
      <c r="K768" s="32"/>
      <c r="L768" s="33"/>
      <c r="M768" s="34"/>
      <c r="N768" s="35">
        <f t="shared" si="428"/>
        <v>110289130</v>
      </c>
    </row>
    <row r="769" spans="1:14" s="18" customFormat="1" ht="24" hidden="1" customHeight="1" x14ac:dyDescent="0.3">
      <c r="A769" s="19"/>
      <c r="B769" s="19"/>
      <c r="C769" s="36" t="s">
        <v>226</v>
      </c>
      <c r="D769" s="37"/>
      <c r="E769" s="19">
        <v>2</v>
      </c>
      <c r="F769" s="22">
        <v>15</v>
      </c>
      <c r="G769" s="23">
        <f>2200+2200+1200+1070+1070+250+250+330+330</f>
        <v>8900</v>
      </c>
      <c r="H769" s="24">
        <f t="shared" ref="H769:H770" si="443">F769*G769</f>
        <v>133500</v>
      </c>
      <c r="I769" s="23">
        <v>0</v>
      </c>
      <c r="J769" s="23">
        <f t="shared" ref="J769:J770" si="444">SUM(H769:I769)</f>
        <v>133500</v>
      </c>
      <c r="K769" s="32"/>
      <c r="L769" s="33"/>
      <c r="M769" s="34"/>
      <c r="N769" s="35">
        <f t="shared" si="428"/>
        <v>110422630</v>
      </c>
    </row>
    <row r="770" spans="1:14" s="18" customFormat="1" ht="24" hidden="1" customHeight="1" x14ac:dyDescent="0.3">
      <c r="A770" s="19"/>
      <c r="B770" s="19"/>
      <c r="C770" s="36" t="s">
        <v>139</v>
      </c>
      <c r="D770" s="21"/>
      <c r="E770" s="19">
        <v>4</v>
      </c>
      <c r="F770" s="22">
        <v>72.599999999999994</v>
      </c>
      <c r="G770" s="23">
        <f>2200+550+1070+250+330</f>
        <v>4400</v>
      </c>
      <c r="H770" s="24">
        <f t="shared" si="443"/>
        <v>319440</v>
      </c>
      <c r="I770" s="23">
        <v>0</v>
      </c>
      <c r="J770" s="23">
        <f t="shared" si="444"/>
        <v>319440</v>
      </c>
      <c r="K770" s="32"/>
      <c r="L770" s="33"/>
      <c r="M770" s="34"/>
      <c r="N770" s="35">
        <f t="shared" si="428"/>
        <v>110742070</v>
      </c>
    </row>
    <row r="771" spans="1:14" s="18" customFormat="1" ht="24" hidden="1" customHeight="1" x14ac:dyDescent="0.3">
      <c r="A771" s="19"/>
      <c r="B771" s="19">
        <v>14</v>
      </c>
      <c r="C771" s="29" t="s">
        <v>254</v>
      </c>
      <c r="D771" s="21"/>
      <c r="E771" s="19"/>
      <c r="F771" s="22"/>
      <c r="G771" s="23"/>
      <c r="H771" s="24"/>
      <c r="I771" s="23"/>
      <c r="J771" s="23"/>
      <c r="K771" s="32"/>
      <c r="L771" s="33"/>
      <c r="M771" s="34"/>
      <c r="N771" s="35">
        <f t="shared" si="428"/>
        <v>110742070</v>
      </c>
    </row>
    <row r="772" spans="1:14" s="18" customFormat="1" ht="24" hidden="1" customHeight="1" x14ac:dyDescent="0.3">
      <c r="A772" s="19"/>
      <c r="B772" s="19"/>
      <c r="C772" s="36" t="s">
        <v>23</v>
      </c>
      <c r="D772" s="21"/>
      <c r="E772" s="19">
        <v>137</v>
      </c>
      <c r="F772" s="22">
        <v>1417.1</v>
      </c>
      <c r="G772" s="23">
        <f>2200+550+1070+250+330</f>
        <v>4400</v>
      </c>
      <c r="H772" s="24">
        <f t="shared" ref="H772" si="445">F772*G772</f>
        <v>6235240</v>
      </c>
      <c r="I772" s="23">
        <v>0</v>
      </c>
      <c r="J772" s="23">
        <f t="shared" ref="J772" si="446">SUM(H772:I772)</f>
        <v>6235240</v>
      </c>
      <c r="K772" s="32"/>
      <c r="L772" s="33"/>
      <c r="M772" s="34"/>
      <c r="N772" s="35">
        <f t="shared" si="428"/>
        <v>116977310</v>
      </c>
    </row>
    <row r="773" spans="1:14" s="18" customFormat="1" ht="24" hidden="1" customHeight="1" x14ac:dyDescent="0.3">
      <c r="A773" s="19"/>
      <c r="B773" s="19">
        <v>15</v>
      </c>
      <c r="C773" s="29" t="s">
        <v>318</v>
      </c>
      <c r="D773" s="21"/>
      <c r="E773" s="19"/>
      <c r="F773" s="22"/>
      <c r="G773" s="23"/>
      <c r="H773" s="24"/>
      <c r="I773" s="23"/>
      <c r="J773" s="23"/>
      <c r="K773" s="32"/>
      <c r="L773" s="33"/>
      <c r="M773" s="34"/>
      <c r="N773" s="35">
        <f t="shared" si="428"/>
        <v>116977310</v>
      </c>
    </row>
    <row r="774" spans="1:14" s="18" customFormat="1" ht="24" hidden="1" customHeight="1" x14ac:dyDescent="0.3">
      <c r="A774" s="19"/>
      <c r="B774" s="19"/>
      <c r="C774" s="29" t="s">
        <v>115</v>
      </c>
      <c r="D774" s="37"/>
      <c r="E774" s="19">
        <v>24</v>
      </c>
      <c r="F774" s="22">
        <v>177.2</v>
      </c>
      <c r="G774" s="23">
        <f>550+550+980</f>
        <v>2080</v>
      </c>
      <c r="H774" s="24">
        <f t="shared" ref="H774" si="447">F774*G774</f>
        <v>368576</v>
      </c>
      <c r="I774" s="23">
        <v>0</v>
      </c>
      <c r="J774" s="23">
        <f t="shared" ref="J774" si="448">SUM(H774:I774)</f>
        <v>368576</v>
      </c>
      <c r="K774" s="32"/>
      <c r="L774" s="33"/>
      <c r="M774" s="34"/>
      <c r="N774" s="35">
        <f t="shared" si="428"/>
        <v>117345886</v>
      </c>
    </row>
    <row r="775" spans="1:14" s="18" customFormat="1" ht="24" hidden="1" customHeight="1" x14ac:dyDescent="0.3">
      <c r="A775" s="19"/>
      <c r="B775" s="19">
        <v>15</v>
      </c>
      <c r="C775" s="39" t="s">
        <v>319</v>
      </c>
      <c r="D775" s="21"/>
      <c r="E775" s="19"/>
      <c r="F775" s="22"/>
      <c r="G775" s="23"/>
      <c r="H775" s="24"/>
      <c r="I775" s="23"/>
      <c r="J775" s="23"/>
      <c r="K775" s="32"/>
      <c r="L775" s="33"/>
      <c r="M775" s="34"/>
      <c r="N775" s="35">
        <f t="shared" si="428"/>
        <v>117345886</v>
      </c>
    </row>
    <row r="776" spans="1:14" s="18" customFormat="1" ht="24" hidden="1" customHeight="1" x14ac:dyDescent="0.3">
      <c r="A776" s="19"/>
      <c r="B776" s="19"/>
      <c r="C776" s="36" t="s">
        <v>21</v>
      </c>
      <c r="D776" s="37"/>
      <c r="E776" s="19">
        <v>1</v>
      </c>
      <c r="F776" s="22">
        <v>8.1999999999999993</v>
      </c>
      <c r="G776" s="23">
        <v>4400</v>
      </c>
      <c r="H776" s="24">
        <f t="shared" ref="H776" si="449">F776*G776</f>
        <v>36080</v>
      </c>
      <c r="I776" s="23">
        <v>0</v>
      </c>
      <c r="J776" s="23">
        <f t="shared" ref="J776" si="450">SUM(H776:I776)</f>
        <v>36080</v>
      </c>
      <c r="K776" s="32"/>
      <c r="L776" s="33"/>
      <c r="M776" s="34"/>
      <c r="N776" s="35">
        <f t="shared" si="428"/>
        <v>117381966</v>
      </c>
    </row>
    <row r="777" spans="1:14" s="18" customFormat="1" ht="24" hidden="1" customHeight="1" x14ac:dyDescent="0.3">
      <c r="A777" s="19"/>
      <c r="B777" s="19">
        <v>15</v>
      </c>
      <c r="C777" s="39" t="s">
        <v>270</v>
      </c>
      <c r="D777" s="21"/>
      <c r="E777" s="19"/>
      <c r="F777" s="22"/>
      <c r="G777" s="23"/>
      <c r="H777" s="24"/>
      <c r="I777" s="23"/>
      <c r="J777" s="23"/>
      <c r="K777" s="32"/>
      <c r="L777" s="33"/>
      <c r="M777" s="34"/>
      <c r="N777" s="35">
        <f t="shared" si="428"/>
        <v>117381966</v>
      </c>
    </row>
    <row r="778" spans="1:14" s="18" customFormat="1" ht="24" hidden="1" customHeight="1" x14ac:dyDescent="0.3">
      <c r="A778" s="19"/>
      <c r="B778" s="19"/>
      <c r="C778" s="36" t="s">
        <v>86</v>
      </c>
      <c r="D778" s="21"/>
      <c r="E778" s="19">
        <v>25</v>
      </c>
      <c r="F778" s="22">
        <v>184.7</v>
      </c>
      <c r="G778" s="23">
        <f>550+1000+1070+250</f>
        <v>2870</v>
      </c>
      <c r="H778" s="24">
        <f t="shared" ref="H778" si="451">F778*G778</f>
        <v>530089</v>
      </c>
      <c r="I778" s="23">
        <v>0</v>
      </c>
      <c r="J778" s="23">
        <f t="shared" ref="J778" si="452">SUM(H778:I778)</f>
        <v>530089</v>
      </c>
      <c r="K778" s="32"/>
      <c r="L778" s="33"/>
      <c r="M778" s="34"/>
      <c r="N778" s="38">
        <f t="shared" si="428"/>
        <v>117912055</v>
      </c>
    </row>
    <row r="779" spans="1:14" s="18" customFormat="1" ht="24" hidden="1" customHeight="1" x14ac:dyDescent="0.3">
      <c r="A779" s="19"/>
      <c r="B779" s="19">
        <v>16</v>
      </c>
      <c r="C779" s="39" t="s">
        <v>320</v>
      </c>
      <c r="D779" s="21"/>
      <c r="E779" s="19"/>
      <c r="F779" s="22"/>
      <c r="G779" s="23"/>
      <c r="H779" s="24"/>
      <c r="I779" s="23"/>
      <c r="J779" s="23"/>
      <c r="K779" s="32"/>
      <c r="L779" s="33"/>
      <c r="M779" s="34"/>
      <c r="N779" s="38">
        <f t="shared" si="428"/>
        <v>117912055</v>
      </c>
    </row>
    <row r="780" spans="1:14" s="18" customFormat="1" ht="24" hidden="1" customHeight="1" x14ac:dyDescent="0.3">
      <c r="A780" s="19"/>
      <c r="B780" s="19"/>
      <c r="C780" s="36" t="s">
        <v>21</v>
      </c>
      <c r="D780" s="21"/>
      <c r="E780" s="19">
        <v>1</v>
      </c>
      <c r="F780" s="22">
        <v>15.2</v>
      </c>
      <c r="G780" s="23">
        <f>2200+550+1070+250+330</f>
        <v>4400</v>
      </c>
      <c r="H780" s="24">
        <f t="shared" ref="H780" si="453">F780*G780</f>
        <v>66880</v>
      </c>
      <c r="I780" s="23">
        <v>0</v>
      </c>
      <c r="J780" s="23">
        <f t="shared" ref="J780" si="454">SUM(H780:I780)</f>
        <v>66880</v>
      </c>
      <c r="K780" s="32"/>
      <c r="L780" s="33"/>
      <c r="M780" s="34"/>
      <c r="N780" s="38">
        <f t="shared" si="428"/>
        <v>117978935</v>
      </c>
    </row>
    <row r="781" spans="1:14" s="2" customFormat="1" ht="27" hidden="1" customHeight="1" thickBot="1" x14ac:dyDescent="0.35">
      <c r="A781" s="1"/>
      <c r="B781" s="1"/>
      <c r="C781" s="1"/>
      <c r="E781" s="86" t="s">
        <v>0</v>
      </c>
      <c r="F781" s="86"/>
      <c r="G781" s="86"/>
      <c r="H781" s="86"/>
      <c r="I781" s="86"/>
      <c r="J781" s="86"/>
      <c r="K781" s="1"/>
      <c r="L781" s="3"/>
      <c r="M781" s="3"/>
      <c r="N781" s="1"/>
    </row>
    <row r="782" spans="1:14" s="2" customFormat="1" ht="24" hidden="1" customHeight="1" thickTop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3"/>
      <c r="M782" s="3"/>
      <c r="N782" s="1"/>
    </row>
    <row r="783" spans="1:14" s="2" customFormat="1" ht="24" hidden="1" customHeight="1" thickBot="1" x14ac:dyDescent="0.35">
      <c r="A783" s="2" t="s">
        <v>1</v>
      </c>
      <c r="C783" s="4"/>
      <c r="D783" s="4"/>
      <c r="E783" s="5"/>
      <c r="F783" s="6"/>
      <c r="G783" s="7"/>
      <c r="H783" s="7"/>
      <c r="I783" s="7"/>
      <c r="J783" s="8"/>
      <c r="K783" s="9"/>
      <c r="L783" s="10"/>
      <c r="M783" s="11"/>
      <c r="N783" s="12" t="s">
        <v>2</v>
      </c>
    </row>
    <row r="784" spans="1:14" s="18" customFormat="1" ht="24" hidden="1" customHeight="1" thickTop="1" thickBot="1" x14ac:dyDescent="0.35">
      <c r="A784" s="13" t="s">
        <v>3</v>
      </c>
      <c r="B784" s="13" t="s">
        <v>4</v>
      </c>
      <c r="C784" s="87" t="s">
        <v>5</v>
      </c>
      <c r="D784" s="88"/>
      <c r="E784" s="13" t="s">
        <v>6</v>
      </c>
      <c r="F784" s="14" t="s">
        <v>7</v>
      </c>
      <c r="G784" s="15" t="s">
        <v>8</v>
      </c>
      <c r="H784" s="15" t="s">
        <v>9</v>
      </c>
      <c r="I784" s="15" t="s">
        <v>10</v>
      </c>
      <c r="J784" s="15" t="s">
        <v>11</v>
      </c>
      <c r="K784" s="16" t="s">
        <v>12</v>
      </c>
      <c r="L784" s="89" t="s">
        <v>13</v>
      </c>
      <c r="M784" s="90"/>
      <c r="N784" s="17" t="s">
        <v>14</v>
      </c>
    </row>
    <row r="785" spans="1:14" s="18" customFormat="1" ht="24" hidden="1" customHeight="1" thickTop="1" x14ac:dyDescent="0.3">
      <c r="A785" s="41"/>
      <c r="B785" s="41"/>
      <c r="C785" s="70" t="s">
        <v>41</v>
      </c>
      <c r="D785" s="40"/>
      <c r="E785" s="41"/>
      <c r="F785" s="42"/>
      <c r="G785" s="43"/>
      <c r="H785" s="44"/>
      <c r="I785" s="43"/>
      <c r="J785" s="43"/>
      <c r="K785" s="25"/>
      <c r="L785" s="26"/>
      <c r="M785" s="27"/>
      <c r="N785" s="28">
        <f>N780</f>
        <v>117978935</v>
      </c>
    </row>
    <row r="786" spans="1:14" s="18" customFormat="1" ht="24" hidden="1" customHeight="1" x14ac:dyDescent="0.3">
      <c r="A786" s="19">
        <v>4</v>
      </c>
      <c r="B786" s="19">
        <v>16</v>
      </c>
      <c r="C786" s="29" t="s">
        <v>321</v>
      </c>
      <c r="D786" s="21"/>
      <c r="E786" s="19"/>
      <c r="F786" s="22"/>
      <c r="G786" s="23"/>
      <c r="H786" s="24"/>
      <c r="I786" s="23"/>
      <c r="J786" s="23"/>
      <c r="K786" s="32"/>
      <c r="L786" s="33"/>
      <c r="M786" s="34"/>
      <c r="N786" s="35">
        <f>N785+J786+K786</f>
        <v>117978935</v>
      </c>
    </row>
    <row r="787" spans="1:14" s="18" customFormat="1" ht="24" hidden="1" customHeight="1" x14ac:dyDescent="0.3">
      <c r="A787" s="19"/>
      <c r="B787" s="19"/>
      <c r="C787" s="36" t="s">
        <v>212</v>
      </c>
      <c r="D787" s="21"/>
      <c r="E787" s="19">
        <v>23</v>
      </c>
      <c r="F787" s="22">
        <v>616</v>
      </c>
      <c r="G787" s="23">
        <f>800+1000+1070+250</f>
        <v>3120</v>
      </c>
      <c r="H787" s="24">
        <f t="shared" ref="H787" si="455">F787*G787</f>
        <v>1921920</v>
      </c>
      <c r="I787" s="23">
        <v>0</v>
      </c>
      <c r="J787" s="23">
        <f t="shared" ref="J787" si="456">SUM(H787:I787)</f>
        <v>1921920</v>
      </c>
      <c r="K787" s="32"/>
      <c r="L787" s="33"/>
      <c r="M787" s="34"/>
      <c r="N787" s="35">
        <f>N786+J787+K787</f>
        <v>119900855</v>
      </c>
    </row>
    <row r="788" spans="1:14" s="18" customFormat="1" ht="24" hidden="1" customHeight="1" x14ac:dyDescent="0.3">
      <c r="A788" s="19"/>
      <c r="B788" s="19">
        <v>16</v>
      </c>
      <c r="C788" s="39" t="s">
        <v>270</v>
      </c>
      <c r="D788" s="21"/>
      <c r="E788" s="19"/>
      <c r="F788" s="22"/>
      <c r="G788" s="23"/>
      <c r="H788" s="24"/>
      <c r="I788" s="23"/>
      <c r="J788" s="23"/>
      <c r="K788" s="32"/>
      <c r="L788" s="33"/>
      <c r="M788" s="34"/>
      <c r="N788" s="35">
        <f t="shared" ref="N788:N819" si="457">N787+J788+K788</f>
        <v>119900855</v>
      </c>
    </row>
    <row r="789" spans="1:14" s="18" customFormat="1" ht="24" hidden="1" customHeight="1" x14ac:dyDescent="0.3">
      <c r="A789" s="19"/>
      <c r="B789" s="19"/>
      <c r="C789" s="36" t="s">
        <v>86</v>
      </c>
      <c r="D789" s="21"/>
      <c r="E789" s="19">
        <v>2</v>
      </c>
      <c r="F789" s="22">
        <v>10.8</v>
      </c>
      <c r="G789" s="23">
        <f>550+1000+1070+250</f>
        <v>2870</v>
      </c>
      <c r="H789" s="24">
        <f t="shared" ref="H789" si="458">F789*G789</f>
        <v>30996.000000000004</v>
      </c>
      <c r="I789" s="23">
        <v>0</v>
      </c>
      <c r="J789" s="23">
        <f t="shared" ref="J789" si="459">SUM(H789:I789)</f>
        <v>30996.000000000004</v>
      </c>
      <c r="K789" s="32"/>
      <c r="L789" s="33"/>
      <c r="M789" s="34"/>
      <c r="N789" s="35">
        <f t="shared" si="457"/>
        <v>119931851</v>
      </c>
    </row>
    <row r="790" spans="1:14" s="18" customFormat="1" ht="24" hidden="1" customHeight="1" x14ac:dyDescent="0.3">
      <c r="A790" s="19"/>
      <c r="B790" s="19">
        <v>16</v>
      </c>
      <c r="C790" s="39" t="s">
        <v>297</v>
      </c>
      <c r="D790" s="21"/>
      <c r="E790" s="19"/>
      <c r="F790" s="22"/>
      <c r="G790" s="23"/>
      <c r="H790" s="24"/>
      <c r="I790" s="23"/>
      <c r="J790" s="23"/>
      <c r="K790" s="32"/>
      <c r="L790" s="33"/>
      <c r="M790" s="34"/>
      <c r="N790" s="35">
        <f t="shared" si="457"/>
        <v>119931851</v>
      </c>
    </row>
    <row r="791" spans="1:14" s="18" customFormat="1" ht="24" hidden="1" customHeight="1" x14ac:dyDescent="0.3">
      <c r="A791" s="19"/>
      <c r="B791" s="19"/>
      <c r="C791" s="39" t="s">
        <v>46</v>
      </c>
      <c r="D791" s="21"/>
      <c r="E791" s="19">
        <v>2</v>
      </c>
      <c r="F791" s="22">
        <v>25.5</v>
      </c>
      <c r="G791" s="23">
        <v>2100</v>
      </c>
      <c r="H791" s="24">
        <f t="shared" ref="H791" si="460">F791*G791</f>
        <v>53550</v>
      </c>
      <c r="I791" s="23">
        <v>0</v>
      </c>
      <c r="J791" s="23">
        <f t="shared" ref="J791" si="461">SUM(H791:I791)</f>
        <v>53550</v>
      </c>
      <c r="K791" s="32"/>
      <c r="L791" s="33"/>
      <c r="M791" s="34"/>
      <c r="N791" s="35">
        <f t="shared" si="457"/>
        <v>119985401</v>
      </c>
    </row>
    <row r="792" spans="1:14" s="18" customFormat="1" ht="24" hidden="1" customHeight="1" x14ac:dyDescent="0.3">
      <c r="A792" s="19"/>
      <c r="B792" s="19">
        <v>16</v>
      </c>
      <c r="C792" s="39" t="s">
        <v>322</v>
      </c>
      <c r="D792" s="21"/>
      <c r="E792" s="19"/>
      <c r="F792" s="22"/>
      <c r="G792" s="23"/>
      <c r="H792" s="24"/>
      <c r="I792" s="23"/>
      <c r="J792" s="23"/>
      <c r="K792" s="32"/>
      <c r="L792" s="33"/>
      <c r="M792" s="34"/>
      <c r="N792" s="35">
        <f t="shared" si="457"/>
        <v>119985401</v>
      </c>
    </row>
    <row r="793" spans="1:14" s="18" customFormat="1" ht="24" hidden="1" customHeight="1" x14ac:dyDescent="0.3">
      <c r="A793" s="19"/>
      <c r="B793" s="19"/>
      <c r="C793" s="36" t="s">
        <v>21</v>
      </c>
      <c r="D793" s="37"/>
      <c r="E793" s="19">
        <v>1</v>
      </c>
      <c r="F793" s="22">
        <v>7.8</v>
      </c>
      <c r="G793" s="23">
        <f>2200+550+1070+250+330</f>
        <v>4400</v>
      </c>
      <c r="H793" s="24">
        <f t="shared" ref="H793" si="462">F793*G793</f>
        <v>34320</v>
      </c>
      <c r="I793" s="23">
        <v>0</v>
      </c>
      <c r="J793" s="23">
        <f t="shared" ref="J793" si="463">SUM(H793:I793)</f>
        <v>34320</v>
      </c>
      <c r="K793" s="32"/>
      <c r="L793" s="33"/>
      <c r="M793" s="34"/>
      <c r="N793" s="35">
        <f t="shared" si="457"/>
        <v>120019721</v>
      </c>
    </row>
    <row r="794" spans="1:14" s="18" customFormat="1" ht="24" hidden="1" customHeight="1" x14ac:dyDescent="0.3">
      <c r="A794" s="19"/>
      <c r="B794" s="19">
        <v>16</v>
      </c>
      <c r="C794" s="29" t="s">
        <v>308</v>
      </c>
      <c r="D794" s="37"/>
      <c r="E794" s="19"/>
      <c r="F794" s="22"/>
      <c r="G794" s="23"/>
      <c r="H794" s="24"/>
      <c r="I794" s="23"/>
      <c r="J794" s="23"/>
      <c r="K794" s="32"/>
      <c r="L794" s="33"/>
      <c r="M794" s="34"/>
      <c r="N794" s="35">
        <f t="shared" si="457"/>
        <v>120019721</v>
      </c>
    </row>
    <row r="795" spans="1:14" s="18" customFormat="1" ht="24" hidden="1" customHeight="1" x14ac:dyDescent="0.3">
      <c r="A795" s="19"/>
      <c r="B795" s="19"/>
      <c r="C795" s="39" t="s">
        <v>323</v>
      </c>
      <c r="D795" s="21"/>
      <c r="E795" s="19"/>
      <c r="F795" s="22"/>
      <c r="G795" s="23"/>
      <c r="H795" s="24">
        <v>100000</v>
      </c>
      <c r="I795" s="23">
        <f>H795*0.1</f>
        <v>10000</v>
      </c>
      <c r="J795" s="23">
        <f>SUM(H795:I795)</f>
        <v>110000</v>
      </c>
      <c r="K795" s="32"/>
      <c r="L795" s="33"/>
      <c r="M795" s="34"/>
      <c r="N795" s="35">
        <f t="shared" si="457"/>
        <v>120129721</v>
      </c>
    </row>
    <row r="796" spans="1:14" s="18" customFormat="1" ht="24" hidden="1" customHeight="1" x14ac:dyDescent="0.3">
      <c r="A796" s="19"/>
      <c r="B796" s="19">
        <v>17</v>
      </c>
      <c r="C796" s="39" t="s">
        <v>324</v>
      </c>
      <c r="D796" s="21"/>
      <c r="E796" s="19">
        <v>1</v>
      </c>
      <c r="F796" s="22">
        <v>15.5</v>
      </c>
      <c r="G796" s="23">
        <v>1800</v>
      </c>
      <c r="H796" s="24">
        <f t="shared" ref="H796" si="464">F796*G796</f>
        <v>27900</v>
      </c>
      <c r="I796" s="23">
        <v>0</v>
      </c>
      <c r="J796" s="23">
        <f t="shared" ref="J796" si="465">SUM(H796:I796)</f>
        <v>27900</v>
      </c>
      <c r="K796" s="32"/>
      <c r="L796" s="33"/>
      <c r="M796" s="34"/>
      <c r="N796" s="35">
        <f t="shared" si="457"/>
        <v>120157621</v>
      </c>
    </row>
    <row r="797" spans="1:14" s="18" customFormat="1" ht="24" hidden="1" customHeight="1" x14ac:dyDescent="0.3">
      <c r="A797" s="19"/>
      <c r="B797" s="19">
        <v>18</v>
      </c>
      <c r="C797" s="39" t="s">
        <v>308</v>
      </c>
      <c r="D797" s="21"/>
      <c r="E797" s="19"/>
      <c r="F797" s="22"/>
      <c r="G797" s="23"/>
      <c r="H797" s="24"/>
      <c r="I797" s="23"/>
      <c r="J797" s="23"/>
      <c r="K797" s="32"/>
      <c r="L797" s="33"/>
      <c r="M797" s="34"/>
      <c r="N797" s="35">
        <f t="shared" si="457"/>
        <v>120157621</v>
      </c>
    </row>
    <row r="798" spans="1:14" s="18" customFormat="1" ht="24" hidden="1" customHeight="1" x14ac:dyDescent="0.3">
      <c r="A798" s="19"/>
      <c r="B798" s="19"/>
      <c r="C798" s="36" t="s">
        <v>31</v>
      </c>
      <c r="D798" s="21"/>
      <c r="E798" s="19">
        <v>3</v>
      </c>
      <c r="F798" s="22">
        <v>19.5</v>
      </c>
      <c r="G798" s="23">
        <f>2200+2200-700+550+1070+1070+250+250+330+330</f>
        <v>7550</v>
      </c>
      <c r="H798" s="24">
        <f t="shared" ref="H798" si="466">F798*G798</f>
        <v>147225</v>
      </c>
      <c r="I798" s="23">
        <v>0</v>
      </c>
      <c r="J798" s="23">
        <f t="shared" ref="J798" si="467">SUM(H798:I798)</f>
        <v>147225</v>
      </c>
      <c r="K798" s="32"/>
      <c r="L798" s="33"/>
      <c r="M798" s="34"/>
      <c r="N798" s="35">
        <f t="shared" si="457"/>
        <v>120304846</v>
      </c>
    </row>
    <row r="799" spans="1:14" s="18" customFormat="1" ht="24" hidden="1" customHeight="1" x14ac:dyDescent="0.3">
      <c r="A799" s="19"/>
      <c r="B799" s="19">
        <v>18</v>
      </c>
      <c r="C799" s="39" t="s">
        <v>325</v>
      </c>
      <c r="D799" s="21"/>
      <c r="E799" s="19"/>
      <c r="F799" s="22"/>
      <c r="G799" s="23"/>
      <c r="H799" s="24"/>
      <c r="I799" s="23"/>
      <c r="J799" s="23"/>
      <c r="K799" s="32"/>
      <c r="L799" s="33"/>
      <c r="M799" s="34"/>
      <c r="N799" s="35">
        <f t="shared" si="457"/>
        <v>120304846</v>
      </c>
    </row>
    <row r="800" spans="1:14" s="18" customFormat="1" ht="24" hidden="1" customHeight="1" x14ac:dyDescent="0.3">
      <c r="A800" s="19"/>
      <c r="B800" s="19"/>
      <c r="C800" s="36" t="s">
        <v>23</v>
      </c>
      <c r="D800" s="21"/>
      <c r="E800" s="19">
        <v>227</v>
      </c>
      <c r="F800" s="22">
        <v>1710.3</v>
      </c>
      <c r="G800" s="23">
        <f>2200+550+1070+250+330</f>
        <v>4400</v>
      </c>
      <c r="H800" s="24">
        <f t="shared" ref="H800:H801" si="468">F800*G800</f>
        <v>7525320</v>
      </c>
      <c r="I800" s="23">
        <v>0</v>
      </c>
      <c r="J800" s="23">
        <f t="shared" ref="J800" si="469">SUM(H800:I800)</f>
        <v>7525320</v>
      </c>
      <c r="K800" s="32"/>
      <c r="L800" s="33"/>
      <c r="M800" s="34"/>
      <c r="N800" s="35">
        <f t="shared" si="457"/>
        <v>127830166</v>
      </c>
    </row>
    <row r="801" spans="1:14" s="18" customFormat="1" ht="24" hidden="1" customHeight="1" x14ac:dyDescent="0.3">
      <c r="A801" s="19"/>
      <c r="B801" s="19"/>
      <c r="C801" s="39" t="s">
        <v>326</v>
      </c>
      <c r="D801" s="21"/>
      <c r="E801" s="19">
        <v>8</v>
      </c>
      <c r="F801" s="22">
        <v>32.4</v>
      </c>
      <c r="G801" s="23">
        <v>2200</v>
      </c>
      <c r="H801" s="24">
        <f t="shared" si="468"/>
        <v>71280</v>
      </c>
      <c r="I801" s="23">
        <v>0</v>
      </c>
      <c r="J801" s="23">
        <f t="shared" ref="J801" si="470">SUM(H801:I801)</f>
        <v>71280</v>
      </c>
      <c r="K801" s="32"/>
      <c r="L801" s="33"/>
      <c r="M801" s="34"/>
      <c r="N801" s="35">
        <f t="shared" si="457"/>
        <v>127901446</v>
      </c>
    </row>
    <row r="802" spans="1:14" s="18" customFormat="1" ht="24" hidden="1" customHeight="1" x14ac:dyDescent="0.3">
      <c r="A802" s="19"/>
      <c r="B802" s="19">
        <v>21</v>
      </c>
      <c r="C802" s="39" t="s">
        <v>327</v>
      </c>
      <c r="D802" s="37"/>
      <c r="E802" s="19"/>
      <c r="F802" s="22"/>
      <c r="G802" s="23"/>
      <c r="H802" s="24"/>
      <c r="I802" s="23"/>
      <c r="J802" s="23"/>
      <c r="K802" s="32"/>
      <c r="L802" s="33"/>
      <c r="M802" s="34"/>
      <c r="N802" s="35">
        <f t="shared" si="457"/>
        <v>127901446</v>
      </c>
    </row>
    <row r="803" spans="1:14" s="18" customFormat="1" ht="24" hidden="1" customHeight="1" x14ac:dyDescent="0.3">
      <c r="A803" s="19"/>
      <c r="B803" s="19"/>
      <c r="C803" s="36" t="s">
        <v>86</v>
      </c>
      <c r="D803" s="21"/>
      <c r="E803" s="19">
        <v>211</v>
      </c>
      <c r="F803" s="22">
        <v>1980.9</v>
      </c>
      <c r="G803" s="23">
        <f>550+1000+1070+250</f>
        <v>2870</v>
      </c>
      <c r="H803" s="24">
        <f t="shared" ref="H803" si="471">F803*G803</f>
        <v>5685183</v>
      </c>
      <c r="I803" s="23">
        <v>0</v>
      </c>
      <c r="J803" s="23">
        <f t="shared" ref="J803" si="472">SUM(H803:I803)</f>
        <v>5685183</v>
      </c>
      <c r="K803" s="32"/>
      <c r="L803" s="33"/>
      <c r="M803" s="34"/>
      <c r="N803" s="35">
        <f t="shared" si="457"/>
        <v>133586629</v>
      </c>
    </row>
    <row r="804" spans="1:14" s="18" customFormat="1" ht="24" hidden="1" customHeight="1" x14ac:dyDescent="0.3">
      <c r="A804" s="19"/>
      <c r="B804" s="19">
        <v>21</v>
      </c>
      <c r="C804" s="29" t="s">
        <v>303</v>
      </c>
      <c r="D804" s="21"/>
      <c r="E804" s="19"/>
      <c r="F804" s="22"/>
      <c r="G804" s="23"/>
      <c r="H804" s="24"/>
      <c r="I804" s="23"/>
      <c r="J804" s="23"/>
      <c r="K804" s="32"/>
      <c r="L804" s="33"/>
      <c r="M804" s="34"/>
      <c r="N804" s="35">
        <f t="shared" si="457"/>
        <v>133586629</v>
      </c>
    </row>
    <row r="805" spans="1:14" s="18" customFormat="1" ht="24" hidden="1" customHeight="1" x14ac:dyDescent="0.3">
      <c r="A805" s="19"/>
      <c r="B805" s="19"/>
      <c r="C805" s="36" t="s">
        <v>23</v>
      </c>
      <c r="D805" s="37"/>
      <c r="E805" s="19">
        <v>1</v>
      </c>
      <c r="F805" s="22">
        <v>13.6</v>
      </c>
      <c r="G805" s="23">
        <f>2200+550+1070+250+330</f>
        <v>4400</v>
      </c>
      <c r="H805" s="24">
        <f t="shared" ref="H805" si="473">F805*G805</f>
        <v>59840</v>
      </c>
      <c r="I805" s="23">
        <v>0</v>
      </c>
      <c r="J805" s="23">
        <f t="shared" ref="J805" si="474">SUM(H805:I805)</f>
        <v>59840</v>
      </c>
      <c r="K805" s="32"/>
      <c r="L805" s="33"/>
      <c r="M805" s="34"/>
      <c r="N805" s="35">
        <f t="shared" si="457"/>
        <v>133646469</v>
      </c>
    </row>
    <row r="806" spans="1:14" s="18" customFormat="1" ht="24" hidden="1" customHeight="1" x14ac:dyDescent="0.3">
      <c r="A806" s="19"/>
      <c r="B806" s="19">
        <v>21</v>
      </c>
      <c r="C806" s="29" t="s">
        <v>303</v>
      </c>
      <c r="D806" s="21"/>
      <c r="E806" s="19"/>
      <c r="F806" s="22"/>
      <c r="G806" s="23"/>
      <c r="H806" s="24"/>
      <c r="I806" s="23"/>
      <c r="J806" s="23"/>
      <c r="K806" s="32"/>
      <c r="L806" s="33"/>
      <c r="M806" s="34"/>
      <c r="N806" s="35">
        <f t="shared" si="457"/>
        <v>133646469</v>
      </c>
    </row>
    <row r="807" spans="1:14" s="18" customFormat="1" ht="24" hidden="1" customHeight="1" x14ac:dyDescent="0.3">
      <c r="A807" s="19"/>
      <c r="B807" s="19"/>
      <c r="C807" s="36" t="s">
        <v>23</v>
      </c>
      <c r="D807" s="21"/>
      <c r="E807" s="19">
        <v>172</v>
      </c>
      <c r="F807" s="22">
        <v>1463</v>
      </c>
      <c r="G807" s="23">
        <f>2200+550+1070+250+330</f>
        <v>4400</v>
      </c>
      <c r="H807" s="24">
        <f t="shared" ref="H807" si="475">F807*G807</f>
        <v>6437200</v>
      </c>
      <c r="I807" s="23">
        <v>0</v>
      </c>
      <c r="J807" s="23">
        <f t="shared" ref="J807" si="476">SUM(H807:I807)</f>
        <v>6437200</v>
      </c>
      <c r="K807" s="32"/>
      <c r="L807" s="33"/>
      <c r="M807" s="34"/>
      <c r="N807" s="35">
        <f t="shared" si="457"/>
        <v>140083669</v>
      </c>
    </row>
    <row r="808" spans="1:14" s="18" customFormat="1" ht="24" hidden="1" customHeight="1" x14ac:dyDescent="0.3">
      <c r="A808" s="19"/>
      <c r="B808" s="19">
        <v>22</v>
      </c>
      <c r="C808" s="29" t="s">
        <v>303</v>
      </c>
      <c r="D808" s="21"/>
      <c r="E808" s="19"/>
      <c r="F808" s="22"/>
      <c r="G808" s="23"/>
      <c r="H808" s="24"/>
      <c r="I808" s="23"/>
      <c r="J808" s="23"/>
      <c r="K808" s="32"/>
      <c r="L808" s="33"/>
      <c r="M808" s="34"/>
      <c r="N808" s="35">
        <f t="shared" si="457"/>
        <v>140083669</v>
      </c>
    </row>
    <row r="809" spans="1:14" s="18" customFormat="1" ht="24" hidden="1" customHeight="1" x14ac:dyDescent="0.3">
      <c r="A809" s="19"/>
      <c r="B809" s="19"/>
      <c r="C809" s="36" t="s">
        <v>23</v>
      </c>
      <c r="D809" s="21"/>
      <c r="E809" s="19">
        <v>1</v>
      </c>
      <c r="F809" s="22">
        <v>14.3</v>
      </c>
      <c r="G809" s="23">
        <f>2200+550+1070+250+330</f>
        <v>4400</v>
      </c>
      <c r="H809" s="24">
        <f t="shared" ref="H809" si="477">F809*G809</f>
        <v>62920</v>
      </c>
      <c r="I809" s="23">
        <v>0</v>
      </c>
      <c r="J809" s="23">
        <f t="shared" ref="J809" si="478">SUM(H809:I809)</f>
        <v>62920</v>
      </c>
      <c r="K809" s="32"/>
      <c r="L809" s="33"/>
      <c r="M809" s="34"/>
      <c r="N809" s="35">
        <f t="shared" si="457"/>
        <v>140146589</v>
      </c>
    </row>
    <row r="810" spans="1:14" s="18" customFormat="1" ht="24" hidden="1" customHeight="1" x14ac:dyDescent="0.3">
      <c r="A810" s="19"/>
      <c r="B810" s="19">
        <v>23</v>
      </c>
      <c r="C810" s="29" t="s">
        <v>303</v>
      </c>
      <c r="D810" s="21"/>
      <c r="E810" s="19"/>
      <c r="F810" s="22"/>
      <c r="G810" s="23"/>
      <c r="H810" s="24"/>
      <c r="I810" s="23"/>
      <c r="J810" s="23"/>
      <c r="K810" s="32"/>
      <c r="L810" s="33"/>
      <c r="M810" s="34"/>
      <c r="N810" s="35">
        <f t="shared" si="457"/>
        <v>140146589</v>
      </c>
    </row>
    <row r="811" spans="1:14" s="18" customFormat="1" ht="24" hidden="1" customHeight="1" x14ac:dyDescent="0.3">
      <c r="A811" s="19"/>
      <c r="B811" s="19"/>
      <c r="C811" s="36" t="s">
        <v>23</v>
      </c>
      <c r="D811" s="21"/>
      <c r="E811" s="19">
        <v>1</v>
      </c>
      <c r="F811" s="22">
        <v>7.6</v>
      </c>
      <c r="G811" s="23">
        <f>2200+550+1070+250+330</f>
        <v>4400</v>
      </c>
      <c r="H811" s="24">
        <f t="shared" ref="H811" si="479">F811*G811</f>
        <v>33440</v>
      </c>
      <c r="I811" s="23">
        <v>0</v>
      </c>
      <c r="J811" s="23">
        <f t="shared" ref="J811" si="480">SUM(H811:I811)</f>
        <v>33440</v>
      </c>
      <c r="K811" s="32"/>
      <c r="L811" s="33"/>
      <c r="M811" s="34"/>
      <c r="N811" s="35">
        <f t="shared" si="457"/>
        <v>140180029</v>
      </c>
    </row>
    <row r="812" spans="1:14" s="18" customFormat="1" ht="24" hidden="1" customHeight="1" x14ac:dyDescent="0.3">
      <c r="A812" s="19"/>
      <c r="B812" s="19">
        <v>23</v>
      </c>
      <c r="C812" s="29" t="s">
        <v>328</v>
      </c>
      <c r="D812" s="21"/>
      <c r="E812" s="19"/>
      <c r="F812" s="22"/>
      <c r="G812" s="23"/>
      <c r="H812" s="24"/>
      <c r="I812" s="23"/>
      <c r="J812" s="23"/>
      <c r="K812" s="32"/>
      <c r="L812" s="33"/>
      <c r="M812" s="34"/>
      <c r="N812" s="35">
        <f t="shared" si="457"/>
        <v>140180029</v>
      </c>
    </row>
    <row r="813" spans="1:14" s="18" customFormat="1" ht="24" hidden="1" customHeight="1" x14ac:dyDescent="0.3">
      <c r="A813" s="19"/>
      <c r="B813" s="19"/>
      <c r="C813" s="39" t="s">
        <v>222</v>
      </c>
      <c r="D813" s="37"/>
      <c r="E813" s="19"/>
      <c r="F813" s="22"/>
      <c r="G813" s="23"/>
      <c r="H813" s="24">
        <v>234000</v>
      </c>
      <c r="I813" s="23">
        <f>H813*0.1</f>
        <v>23400</v>
      </c>
      <c r="J813" s="23">
        <f>SUM(H813:I813)</f>
        <v>257400</v>
      </c>
      <c r="K813" s="32"/>
      <c r="L813" s="33"/>
      <c r="M813" s="34"/>
      <c r="N813" s="35">
        <f t="shared" si="457"/>
        <v>140437429</v>
      </c>
    </row>
    <row r="814" spans="1:14" s="18" customFormat="1" ht="24" hidden="1" customHeight="1" x14ac:dyDescent="0.3">
      <c r="A814" s="19"/>
      <c r="B814" s="19">
        <v>24</v>
      </c>
      <c r="C814" s="29" t="s">
        <v>329</v>
      </c>
      <c r="D814" s="21"/>
      <c r="E814" s="19"/>
      <c r="F814" s="22"/>
      <c r="G814" s="23"/>
      <c r="H814" s="24"/>
      <c r="I814" s="23"/>
      <c r="J814" s="23"/>
      <c r="K814" s="32"/>
      <c r="L814" s="33"/>
      <c r="M814" s="34"/>
      <c r="N814" s="35">
        <f t="shared" si="457"/>
        <v>140437429</v>
      </c>
    </row>
    <row r="815" spans="1:14" s="18" customFormat="1" ht="24" hidden="1" customHeight="1" x14ac:dyDescent="0.3">
      <c r="A815" s="19"/>
      <c r="B815" s="19"/>
      <c r="C815" s="36" t="s">
        <v>61</v>
      </c>
      <c r="D815" s="21"/>
      <c r="E815" s="19">
        <v>166</v>
      </c>
      <c r="F815" s="22">
        <v>1222.5999999999999</v>
      </c>
      <c r="G815" s="23">
        <f>2200+2200+550+1070+1070+250+250+330+330</f>
        <v>8250</v>
      </c>
      <c r="H815" s="24">
        <f t="shared" ref="H815:H818" si="481">F815*G815</f>
        <v>10086450</v>
      </c>
      <c r="I815" s="23">
        <v>0</v>
      </c>
      <c r="J815" s="23">
        <f t="shared" ref="J815:J818" si="482">SUM(H815:I815)</f>
        <v>10086450</v>
      </c>
      <c r="K815" s="32"/>
      <c r="L815" s="33"/>
      <c r="M815" s="34"/>
      <c r="N815" s="35">
        <f t="shared" si="457"/>
        <v>150523879</v>
      </c>
    </row>
    <row r="816" spans="1:14" s="18" customFormat="1" ht="24" hidden="1" customHeight="1" x14ac:dyDescent="0.3">
      <c r="A816" s="19"/>
      <c r="B816" s="19"/>
      <c r="C816" s="36" t="s">
        <v>330</v>
      </c>
      <c r="D816" s="21"/>
      <c r="E816" s="19">
        <v>4</v>
      </c>
      <c r="F816" s="22">
        <v>19.5</v>
      </c>
      <c r="G816" s="23">
        <f>2200+2200+550+980+980+250+250+280+280</f>
        <v>7970</v>
      </c>
      <c r="H816" s="24">
        <f t="shared" si="481"/>
        <v>155415</v>
      </c>
      <c r="I816" s="23">
        <v>0</v>
      </c>
      <c r="J816" s="23">
        <f t="shared" si="482"/>
        <v>155415</v>
      </c>
      <c r="K816" s="32"/>
      <c r="L816" s="33"/>
      <c r="M816" s="34"/>
      <c r="N816" s="35">
        <f t="shared" si="457"/>
        <v>150679294</v>
      </c>
    </row>
    <row r="817" spans="1:14" s="18" customFormat="1" ht="24" hidden="1" customHeight="1" x14ac:dyDescent="0.3">
      <c r="A817" s="19"/>
      <c r="B817" s="19"/>
      <c r="C817" s="36" t="s">
        <v>21</v>
      </c>
      <c r="D817" s="21"/>
      <c r="E817" s="19">
        <v>12</v>
      </c>
      <c r="F817" s="22">
        <v>172</v>
      </c>
      <c r="G817" s="23">
        <f>2200+550+1070+250+330</f>
        <v>4400</v>
      </c>
      <c r="H817" s="24">
        <f t="shared" si="481"/>
        <v>756800</v>
      </c>
      <c r="I817" s="23">
        <v>0</v>
      </c>
      <c r="J817" s="23">
        <f t="shared" si="482"/>
        <v>756800</v>
      </c>
      <c r="K817" s="32"/>
      <c r="L817" s="33"/>
      <c r="M817" s="34"/>
      <c r="N817" s="38">
        <f t="shared" si="457"/>
        <v>151436094</v>
      </c>
    </row>
    <row r="818" spans="1:14" s="18" customFormat="1" ht="24" hidden="1" customHeight="1" x14ac:dyDescent="0.3">
      <c r="A818" s="19"/>
      <c r="B818" s="19"/>
      <c r="C818" s="29" t="s">
        <v>36</v>
      </c>
      <c r="D818" s="21"/>
      <c r="E818" s="19">
        <v>6</v>
      </c>
      <c r="F818" s="22">
        <v>53.9</v>
      </c>
      <c r="G818" s="23">
        <v>3300</v>
      </c>
      <c r="H818" s="24">
        <f t="shared" si="481"/>
        <v>177870</v>
      </c>
      <c r="I818" s="23">
        <v>0</v>
      </c>
      <c r="J818" s="23">
        <f t="shared" si="482"/>
        <v>177870</v>
      </c>
      <c r="K818" s="32"/>
      <c r="L818" s="33"/>
      <c r="M818" s="34"/>
      <c r="N818" s="38">
        <f t="shared" si="457"/>
        <v>151613964</v>
      </c>
    </row>
    <row r="819" spans="1:14" s="18" customFormat="1" ht="24" hidden="1" customHeight="1" x14ac:dyDescent="0.3">
      <c r="A819" s="19"/>
      <c r="B819" s="19"/>
      <c r="C819" s="39"/>
      <c r="D819" s="21"/>
      <c r="E819" s="19"/>
      <c r="F819" s="22"/>
      <c r="G819" s="23"/>
      <c r="H819" s="24"/>
      <c r="I819" s="23"/>
      <c r="J819" s="23"/>
      <c r="K819" s="32"/>
      <c r="L819" s="33"/>
      <c r="M819" s="34"/>
      <c r="N819" s="38">
        <f t="shared" si="457"/>
        <v>151613964</v>
      </c>
    </row>
    <row r="820" spans="1:14" s="2" customFormat="1" ht="27" hidden="1" customHeight="1" thickBot="1" x14ac:dyDescent="0.35">
      <c r="A820" s="1"/>
      <c r="B820" s="1"/>
      <c r="C820" s="1"/>
      <c r="E820" s="86" t="s">
        <v>0</v>
      </c>
      <c r="F820" s="86"/>
      <c r="G820" s="86"/>
      <c r="H820" s="86"/>
      <c r="I820" s="86"/>
      <c r="J820" s="86"/>
      <c r="K820" s="1"/>
      <c r="L820" s="3"/>
      <c r="M820" s="3"/>
      <c r="N820" s="1"/>
    </row>
    <row r="821" spans="1:14" s="2" customFormat="1" ht="24" hidden="1" customHeight="1" thickTop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3"/>
      <c r="M821" s="3"/>
      <c r="N821" s="1"/>
    </row>
    <row r="822" spans="1:14" s="2" customFormat="1" ht="24" hidden="1" customHeight="1" thickBot="1" x14ac:dyDescent="0.35">
      <c r="A822" s="2" t="s">
        <v>1</v>
      </c>
      <c r="C822" s="4"/>
      <c r="D822" s="4"/>
      <c r="E822" s="5"/>
      <c r="F822" s="6"/>
      <c r="G822" s="7"/>
      <c r="H822" s="7"/>
      <c r="I822" s="7"/>
      <c r="J822" s="8"/>
      <c r="K822" s="9"/>
      <c r="L822" s="10"/>
      <c r="M822" s="11"/>
      <c r="N822" s="12" t="s">
        <v>2</v>
      </c>
    </row>
    <row r="823" spans="1:14" s="18" customFormat="1" ht="24" hidden="1" customHeight="1" thickTop="1" thickBot="1" x14ac:dyDescent="0.35">
      <c r="A823" s="13" t="s">
        <v>3</v>
      </c>
      <c r="B823" s="13" t="s">
        <v>4</v>
      </c>
      <c r="C823" s="87" t="s">
        <v>5</v>
      </c>
      <c r="D823" s="88"/>
      <c r="E823" s="13" t="s">
        <v>6</v>
      </c>
      <c r="F823" s="14" t="s">
        <v>7</v>
      </c>
      <c r="G823" s="15" t="s">
        <v>8</v>
      </c>
      <c r="H823" s="15" t="s">
        <v>9</v>
      </c>
      <c r="I823" s="15" t="s">
        <v>10</v>
      </c>
      <c r="J823" s="15" t="s">
        <v>11</v>
      </c>
      <c r="K823" s="16" t="s">
        <v>12</v>
      </c>
      <c r="L823" s="89" t="s">
        <v>13</v>
      </c>
      <c r="M823" s="90"/>
      <c r="N823" s="17" t="s">
        <v>14</v>
      </c>
    </row>
    <row r="824" spans="1:14" s="18" customFormat="1" ht="24" hidden="1" customHeight="1" thickTop="1" x14ac:dyDescent="0.3">
      <c r="A824" s="41"/>
      <c r="B824" s="41"/>
      <c r="C824" s="70" t="s">
        <v>41</v>
      </c>
      <c r="D824" s="40"/>
      <c r="E824" s="41"/>
      <c r="F824" s="42"/>
      <c r="G824" s="43"/>
      <c r="H824" s="44"/>
      <c r="I824" s="43"/>
      <c r="J824" s="43"/>
      <c r="K824" s="25"/>
      <c r="L824" s="26"/>
      <c r="M824" s="27"/>
      <c r="N824" s="28">
        <f>N819</f>
        <v>151613964</v>
      </c>
    </row>
    <row r="825" spans="1:14" s="18" customFormat="1" ht="24" hidden="1" customHeight="1" x14ac:dyDescent="0.3">
      <c r="A825" s="19">
        <v>4</v>
      </c>
      <c r="B825" s="19">
        <v>24</v>
      </c>
      <c r="C825" s="39" t="s">
        <v>331</v>
      </c>
      <c r="D825" s="21"/>
      <c r="E825" s="19"/>
      <c r="F825" s="22"/>
      <c r="G825" s="23"/>
      <c r="H825" s="24"/>
      <c r="I825" s="23"/>
      <c r="J825" s="23"/>
      <c r="K825" s="32"/>
      <c r="L825" s="33"/>
      <c r="M825" s="34"/>
      <c r="N825" s="35">
        <f>N824+J825+K825</f>
        <v>151613964</v>
      </c>
    </row>
    <row r="826" spans="1:14" s="18" customFormat="1" ht="24" hidden="1" customHeight="1" x14ac:dyDescent="0.3">
      <c r="A826" s="19"/>
      <c r="B826" s="19"/>
      <c r="C826" s="36" t="s">
        <v>317</v>
      </c>
      <c r="D826" s="37"/>
      <c r="E826" s="19">
        <v>1</v>
      </c>
      <c r="F826" s="22">
        <v>3</v>
      </c>
      <c r="G826" s="23">
        <f>1200+1250+980+250</f>
        <v>3680</v>
      </c>
      <c r="H826" s="24">
        <f t="shared" ref="H826" si="483">F826*G826</f>
        <v>11040</v>
      </c>
      <c r="I826" s="23">
        <v>0</v>
      </c>
      <c r="J826" s="23">
        <f t="shared" ref="J826" si="484">SUM(H826:I826)</f>
        <v>11040</v>
      </c>
      <c r="K826" s="32"/>
      <c r="L826" s="33"/>
      <c r="M826" s="34"/>
      <c r="N826" s="35">
        <f>N825+J826+K826</f>
        <v>151625004</v>
      </c>
    </row>
    <row r="827" spans="1:14" s="18" customFormat="1" ht="24" hidden="1" customHeight="1" x14ac:dyDescent="0.3">
      <c r="A827" s="19"/>
      <c r="B827" s="19">
        <v>24</v>
      </c>
      <c r="C827" s="39" t="s">
        <v>308</v>
      </c>
      <c r="D827" s="21"/>
      <c r="E827" s="19"/>
      <c r="F827" s="22"/>
      <c r="G827" s="23"/>
      <c r="H827" s="24"/>
      <c r="I827" s="23"/>
      <c r="J827" s="23"/>
      <c r="K827" s="32"/>
      <c r="L827" s="33"/>
      <c r="M827" s="34"/>
      <c r="N827" s="35">
        <f t="shared" ref="N827:N858" si="485">N826+J827+K827</f>
        <v>151625004</v>
      </c>
    </row>
    <row r="828" spans="1:14" s="18" customFormat="1" ht="24" hidden="1" customHeight="1" x14ac:dyDescent="0.3">
      <c r="A828" s="19"/>
      <c r="B828" s="19"/>
      <c r="C828" s="36" t="s">
        <v>332</v>
      </c>
      <c r="D828" s="21"/>
      <c r="E828" s="19">
        <v>5</v>
      </c>
      <c r="F828" s="22">
        <v>15</v>
      </c>
      <c r="G828" s="23">
        <f>2200-700+550+1070+250+330</f>
        <v>3700</v>
      </c>
      <c r="H828" s="24">
        <f t="shared" ref="H828" si="486">F828*G828</f>
        <v>55500</v>
      </c>
      <c r="I828" s="23">
        <v>0</v>
      </c>
      <c r="J828" s="23">
        <f t="shared" ref="J828" si="487">SUM(H828:I828)</f>
        <v>55500</v>
      </c>
      <c r="K828" s="32"/>
      <c r="L828" s="33"/>
      <c r="M828" s="34"/>
      <c r="N828" s="35">
        <f t="shared" si="485"/>
        <v>151680504</v>
      </c>
    </row>
    <row r="829" spans="1:14" s="18" customFormat="1" ht="24" hidden="1" customHeight="1" x14ac:dyDescent="0.3">
      <c r="A829" s="19"/>
      <c r="B829" s="19">
        <v>24</v>
      </c>
      <c r="C829" s="29" t="s">
        <v>331</v>
      </c>
      <c r="D829" s="21"/>
      <c r="E829" s="19"/>
      <c r="F829" s="22"/>
      <c r="G829" s="23"/>
      <c r="H829" s="24"/>
      <c r="I829" s="23"/>
      <c r="J829" s="23"/>
      <c r="K829" s="32"/>
      <c r="L829" s="33"/>
      <c r="M829" s="34"/>
      <c r="N829" s="35">
        <f t="shared" si="485"/>
        <v>151680504</v>
      </c>
    </row>
    <row r="830" spans="1:14" s="18" customFormat="1" ht="24" hidden="1" customHeight="1" x14ac:dyDescent="0.3">
      <c r="A830" s="19"/>
      <c r="B830" s="19"/>
      <c r="C830" s="36" t="s">
        <v>317</v>
      </c>
      <c r="D830" s="21"/>
      <c r="E830" s="19">
        <v>1</v>
      </c>
      <c r="F830" s="22">
        <v>11</v>
      </c>
      <c r="G830" s="23">
        <f>1200+1250+980+250</f>
        <v>3680</v>
      </c>
      <c r="H830" s="24">
        <f t="shared" ref="H830" si="488">F830*G830</f>
        <v>40480</v>
      </c>
      <c r="I830" s="23">
        <v>0</v>
      </c>
      <c r="J830" s="23">
        <f t="shared" ref="J830" si="489">SUM(H830:I830)</f>
        <v>40480</v>
      </c>
      <c r="K830" s="32"/>
      <c r="L830" s="33"/>
      <c r="M830" s="34"/>
      <c r="N830" s="35">
        <f t="shared" si="485"/>
        <v>151720984</v>
      </c>
    </row>
    <row r="831" spans="1:14" s="18" customFormat="1" ht="24" hidden="1" customHeight="1" x14ac:dyDescent="0.3">
      <c r="A831" s="19"/>
      <c r="B831" s="19">
        <v>24</v>
      </c>
      <c r="C831" s="39" t="s">
        <v>308</v>
      </c>
      <c r="D831" s="37"/>
      <c r="E831" s="19"/>
      <c r="F831" s="22"/>
      <c r="G831" s="23"/>
      <c r="H831" s="24"/>
      <c r="I831" s="23"/>
      <c r="J831" s="23"/>
      <c r="K831" s="32"/>
      <c r="L831" s="33"/>
      <c r="M831" s="34"/>
      <c r="N831" s="35">
        <f t="shared" si="485"/>
        <v>151720984</v>
      </c>
    </row>
    <row r="832" spans="1:14" s="18" customFormat="1" ht="24" hidden="1" customHeight="1" x14ac:dyDescent="0.3">
      <c r="A832" s="19"/>
      <c r="B832" s="19"/>
      <c r="C832" s="36" t="s">
        <v>23</v>
      </c>
      <c r="D832" s="37"/>
      <c r="E832" s="19">
        <v>1</v>
      </c>
      <c r="F832" s="22">
        <v>3</v>
      </c>
      <c r="G832" s="23">
        <f>2200+550+1070+250+330</f>
        <v>4400</v>
      </c>
      <c r="H832" s="24">
        <f t="shared" ref="H832" si="490">F832*G832</f>
        <v>13200</v>
      </c>
      <c r="I832" s="23">
        <v>0</v>
      </c>
      <c r="J832" s="23">
        <f t="shared" ref="J832" si="491">SUM(H832:I832)</f>
        <v>13200</v>
      </c>
      <c r="K832" s="32"/>
      <c r="L832" s="33"/>
      <c r="M832" s="34"/>
      <c r="N832" s="35">
        <f t="shared" si="485"/>
        <v>151734184</v>
      </c>
    </row>
    <row r="833" spans="1:14" s="18" customFormat="1" ht="24" hidden="1" customHeight="1" x14ac:dyDescent="0.3">
      <c r="A833" s="19"/>
      <c r="B833" s="19">
        <v>24</v>
      </c>
      <c r="C833" s="39" t="s">
        <v>327</v>
      </c>
      <c r="D833" s="37"/>
      <c r="E833" s="19"/>
      <c r="F833" s="22"/>
      <c r="G833" s="23"/>
      <c r="H833" s="24"/>
      <c r="I833" s="23"/>
      <c r="J833" s="23"/>
      <c r="K833" s="32"/>
      <c r="L833" s="33"/>
      <c r="M833" s="34"/>
      <c r="N833" s="35">
        <f t="shared" si="485"/>
        <v>151734184</v>
      </c>
    </row>
    <row r="834" spans="1:14" s="18" customFormat="1" ht="24" hidden="1" customHeight="1" x14ac:dyDescent="0.3">
      <c r="A834" s="19"/>
      <c r="B834" s="19"/>
      <c r="C834" s="29" t="s">
        <v>45</v>
      </c>
      <c r="D834" s="21"/>
      <c r="E834" s="19"/>
      <c r="F834" s="22"/>
      <c r="G834" s="23"/>
      <c r="H834" s="24">
        <v>120000</v>
      </c>
      <c r="I834" s="23">
        <f>H834*0.1</f>
        <v>12000</v>
      </c>
      <c r="J834" s="23">
        <f>SUM(H834:I834)</f>
        <v>132000</v>
      </c>
      <c r="K834" s="32"/>
      <c r="L834" s="33"/>
      <c r="M834" s="34"/>
      <c r="N834" s="35">
        <f t="shared" si="485"/>
        <v>151866184</v>
      </c>
    </row>
    <row r="835" spans="1:14" s="18" customFormat="1" ht="24" hidden="1" customHeight="1" x14ac:dyDescent="0.3">
      <c r="A835" s="19"/>
      <c r="B835" s="19">
        <v>24</v>
      </c>
      <c r="C835" s="39" t="s">
        <v>308</v>
      </c>
      <c r="D835" s="21"/>
      <c r="E835" s="19"/>
      <c r="F835" s="22"/>
      <c r="G835" s="23"/>
      <c r="H835" s="24"/>
      <c r="I835" s="23"/>
      <c r="J835" s="23"/>
      <c r="K835" s="32"/>
      <c r="L835" s="33"/>
      <c r="M835" s="34"/>
      <c r="N835" s="35">
        <f t="shared" si="485"/>
        <v>151866184</v>
      </c>
    </row>
    <row r="836" spans="1:14" s="18" customFormat="1" ht="24" hidden="1" customHeight="1" x14ac:dyDescent="0.3">
      <c r="A836" s="19"/>
      <c r="B836" s="19"/>
      <c r="C836" s="29" t="s">
        <v>179</v>
      </c>
      <c r="D836" s="21"/>
      <c r="E836" s="19"/>
      <c r="F836" s="22"/>
      <c r="G836" s="23"/>
      <c r="H836" s="24">
        <v>150000</v>
      </c>
      <c r="I836" s="23">
        <f>H836*0.1</f>
        <v>15000</v>
      </c>
      <c r="J836" s="23">
        <f>SUM(H836:I836)</f>
        <v>165000</v>
      </c>
      <c r="K836" s="32"/>
      <c r="L836" s="33"/>
      <c r="M836" s="34"/>
      <c r="N836" s="35">
        <f t="shared" si="485"/>
        <v>152031184</v>
      </c>
    </row>
    <row r="837" spans="1:14" s="18" customFormat="1" ht="24" hidden="1" customHeight="1" x14ac:dyDescent="0.3">
      <c r="A837" s="19"/>
      <c r="B837" s="19">
        <v>28</v>
      </c>
      <c r="C837" s="39" t="s">
        <v>184</v>
      </c>
      <c r="D837" s="21"/>
      <c r="E837" s="19"/>
      <c r="F837" s="22"/>
      <c r="G837" s="23"/>
      <c r="H837" s="24"/>
      <c r="I837" s="23"/>
      <c r="J837" s="23"/>
      <c r="K837" s="32"/>
      <c r="L837" s="33"/>
      <c r="M837" s="34"/>
      <c r="N837" s="35">
        <f t="shared" si="485"/>
        <v>152031184</v>
      </c>
    </row>
    <row r="838" spans="1:14" s="18" customFormat="1" ht="24" hidden="1" customHeight="1" x14ac:dyDescent="0.3">
      <c r="A838" s="19"/>
      <c r="B838" s="19"/>
      <c r="C838" s="36" t="s">
        <v>226</v>
      </c>
      <c r="D838" s="21"/>
      <c r="E838" s="19">
        <v>2</v>
      </c>
      <c r="F838" s="22">
        <v>17.2</v>
      </c>
      <c r="G838" s="23">
        <f>2200+2200+1200+1070+1070+250+250+330+330</f>
        <v>8900</v>
      </c>
      <c r="H838" s="24">
        <f t="shared" ref="H838:H839" si="492">F838*G838</f>
        <v>153080</v>
      </c>
      <c r="I838" s="23">
        <v>0</v>
      </c>
      <c r="J838" s="23">
        <f t="shared" ref="J838:J839" si="493">SUM(H838:I838)</f>
        <v>153080</v>
      </c>
      <c r="K838" s="32"/>
      <c r="L838" s="33"/>
      <c r="M838" s="34"/>
      <c r="N838" s="35">
        <f t="shared" si="485"/>
        <v>152184264</v>
      </c>
    </row>
    <row r="839" spans="1:14" s="18" customFormat="1" ht="24" hidden="1" customHeight="1" x14ac:dyDescent="0.3">
      <c r="A839" s="19"/>
      <c r="B839" s="19"/>
      <c r="C839" s="36" t="s">
        <v>139</v>
      </c>
      <c r="D839" s="21"/>
      <c r="E839" s="19">
        <v>1</v>
      </c>
      <c r="F839" s="22">
        <v>12.9</v>
      </c>
      <c r="G839" s="23">
        <f>2200+550+1070+250+330</f>
        <v>4400</v>
      </c>
      <c r="H839" s="24">
        <f t="shared" si="492"/>
        <v>56760</v>
      </c>
      <c r="I839" s="23">
        <v>0</v>
      </c>
      <c r="J839" s="23">
        <f t="shared" si="493"/>
        <v>56760</v>
      </c>
      <c r="K839" s="32"/>
      <c r="L839" s="33"/>
      <c r="M839" s="34"/>
      <c r="N839" s="35">
        <f t="shared" si="485"/>
        <v>152241024</v>
      </c>
    </row>
    <row r="840" spans="1:14" s="18" customFormat="1" ht="24" hidden="1" customHeight="1" x14ac:dyDescent="0.3">
      <c r="A840" s="19"/>
      <c r="B840" s="19">
        <v>28</v>
      </c>
      <c r="C840" s="39" t="s">
        <v>254</v>
      </c>
      <c r="D840" s="21"/>
      <c r="E840" s="19"/>
      <c r="F840" s="22"/>
      <c r="G840" s="23"/>
      <c r="H840" s="24"/>
      <c r="I840" s="23"/>
      <c r="J840" s="23"/>
      <c r="K840" s="32"/>
      <c r="L840" s="33"/>
      <c r="M840" s="34"/>
      <c r="N840" s="35">
        <f t="shared" si="485"/>
        <v>152241024</v>
      </c>
    </row>
    <row r="841" spans="1:14" s="18" customFormat="1" ht="24" hidden="1" customHeight="1" x14ac:dyDescent="0.3">
      <c r="A841" s="19"/>
      <c r="B841" s="19"/>
      <c r="C841" s="36" t="s">
        <v>23</v>
      </c>
      <c r="D841" s="37"/>
      <c r="E841" s="19">
        <v>128</v>
      </c>
      <c r="F841" s="22">
        <v>1557.9</v>
      </c>
      <c r="G841" s="23">
        <f>2200+550+1070+250+330</f>
        <v>4400</v>
      </c>
      <c r="H841" s="24">
        <f t="shared" ref="H841" si="494">F841*G841</f>
        <v>6854760</v>
      </c>
      <c r="I841" s="23">
        <v>0</v>
      </c>
      <c r="J841" s="23">
        <f t="shared" ref="J841" si="495">SUM(H841:I841)</f>
        <v>6854760</v>
      </c>
      <c r="K841" s="32"/>
      <c r="L841" s="33"/>
      <c r="M841" s="34"/>
      <c r="N841" s="35">
        <f t="shared" si="485"/>
        <v>159095784</v>
      </c>
    </row>
    <row r="842" spans="1:14" s="18" customFormat="1" ht="24" hidden="1" customHeight="1" x14ac:dyDescent="0.3">
      <c r="A842" s="19"/>
      <c r="B842" s="19">
        <v>28</v>
      </c>
      <c r="C842" s="39" t="s">
        <v>327</v>
      </c>
      <c r="D842" s="21"/>
      <c r="E842" s="19"/>
      <c r="F842" s="22"/>
      <c r="G842" s="23"/>
      <c r="H842" s="24"/>
      <c r="I842" s="23"/>
      <c r="J842" s="23"/>
      <c r="K842" s="32"/>
      <c r="L842" s="33"/>
      <c r="M842" s="34"/>
      <c r="N842" s="35">
        <f t="shared" si="485"/>
        <v>159095784</v>
      </c>
    </row>
    <row r="843" spans="1:14" s="18" customFormat="1" ht="24" hidden="1" customHeight="1" x14ac:dyDescent="0.3">
      <c r="A843" s="19"/>
      <c r="B843" s="19"/>
      <c r="C843" s="36" t="s">
        <v>86</v>
      </c>
      <c r="D843" s="21"/>
      <c r="E843" s="19">
        <v>33</v>
      </c>
      <c r="F843" s="22">
        <v>151.4</v>
      </c>
      <c r="G843" s="23">
        <f>550+1000+1070+250</f>
        <v>2870</v>
      </c>
      <c r="H843" s="24">
        <f t="shared" ref="H843" si="496">F843*G843</f>
        <v>434518</v>
      </c>
      <c r="I843" s="23">
        <v>0</v>
      </c>
      <c r="J843" s="23">
        <f t="shared" ref="J843" si="497">SUM(H843:I843)</f>
        <v>434518</v>
      </c>
      <c r="K843" s="32"/>
      <c r="L843" s="33"/>
      <c r="M843" s="34"/>
      <c r="N843" s="35">
        <f t="shared" si="485"/>
        <v>159530302</v>
      </c>
    </row>
    <row r="844" spans="1:14" s="18" customFormat="1" ht="24" hidden="1" customHeight="1" x14ac:dyDescent="0.3">
      <c r="A844" s="19"/>
      <c r="B844" s="19">
        <v>28</v>
      </c>
      <c r="C844" s="29" t="s">
        <v>333</v>
      </c>
      <c r="D844" s="37"/>
      <c r="E844" s="19"/>
      <c r="F844" s="22"/>
      <c r="G844" s="23"/>
      <c r="H844" s="24"/>
      <c r="I844" s="23"/>
      <c r="J844" s="23"/>
      <c r="K844" s="32"/>
      <c r="L844" s="33"/>
      <c r="M844" s="34"/>
      <c r="N844" s="35">
        <f t="shared" si="485"/>
        <v>159530302</v>
      </c>
    </row>
    <row r="845" spans="1:14" s="18" customFormat="1" ht="24" hidden="1" customHeight="1" x14ac:dyDescent="0.3">
      <c r="A845" s="19"/>
      <c r="B845" s="19"/>
      <c r="C845" s="36" t="s">
        <v>86</v>
      </c>
      <c r="D845" s="21"/>
      <c r="E845" s="19">
        <v>104</v>
      </c>
      <c r="F845" s="22">
        <v>834.5</v>
      </c>
      <c r="G845" s="23">
        <f>550+1000+1070+250</f>
        <v>2870</v>
      </c>
      <c r="H845" s="24">
        <f t="shared" ref="H845" si="498">F845*G845</f>
        <v>2395015</v>
      </c>
      <c r="I845" s="23">
        <v>0</v>
      </c>
      <c r="J845" s="23">
        <f t="shared" ref="J845" si="499">SUM(H845:I845)</f>
        <v>2395015</v>
      </c>
      <c r="K845" s="32"/>
      <c r="L845" s="33"/>
      <c r="M845" s="34"/>
      <c r="N845" s="35">
        <f t="shared" si="485"/>
        <v>161925317</v>
      </c>
    </row>
    <row r="846" spans="1:14" s="18" customFormat="1" ht="24" hidden="1" customHeight="1" x14ac:dyDescent="0.3">
      <c r="A846" s="19"/>
      <c r="B846" s="19">
        <v>28</v>
      </c>
      <c r="C846" s="39" t="s">
        <v>311</v>
      </c>
      <c r="D846" s="21"/>
      <c r="E846" s="19"/>
      <c r="F846" s="22"/>
      <c r="G846" s="23"/>
      <c r="H846" s="24"/>
      <c r="I846" s="23"/>
      <c r="J846" s="23"/>
      <c r="K846" s="32"/>
      <c r="L846" s="33"/>
      <c r="M846" s="34"/>
      <c r="N846" s="35">
        <f t="shared" si="485"/>
        <v>161925317</v>
      </c>
    </row>
    <row r="847" spans="1:14" s="18" customFormat="1" ht="24" hidden="1" customHeight="1" x14ac:dyDescent="0.3">
      <c r="A847" s="19"/>
      <c r="B847" s="19"/>
      <c r="C847" s="74" t="s">
        <v>212</v>
      </c>
      <c r="D847" s="21"/>
      <c r="E847" s="19">
        <v>2</v>
      </c>
      <c r="F847" s="22">
        <v>11.8</v>
      </c>
      <c r="G847" s="23">
        <f>800+1000+1070+250</f>
        <v>3120</v>
      </c>
      <c r="H847" s="24">
        <f t="shared" ref="H847:H848" si="500">F847*G847</f>
        <v>36816</v>
      </c>
      <c r="I847" s="23">
        <v>0</v>
      </c>
      <c r="J847" s="23">
        <f t="shared" ref="J847:J848" si="501">SUM(H847:I847)</f>
        <v>36816</v>
      </c>
      <c r="K847" s="32"/>
      <c r="L847" s="33"/>
      <c r="M847" s="34"/>
      <c r="N847" s="35">
        <f t="shared" si="485"/>
        <v>161962133</v>
      </c>
    </row>
    <row r="848" spans="1:14" s="18" customFormat="1" ht="24" hidden="1" customHeight="1" x14ac:dyDescent="0.3">
      <c r="A848" s="19"/>
      <c r="B848" s="19"/>
      <c r="C848" s="36" t="s">
        <v>334</v>
      </c>
      <c r="D848" s="21"/>
      <c r="E848" s="19">
        <v>6</v>
      </c>
      <c r="F848" s="22">
        <v>36.4</v>
      </c>
      <c r="G848" s="23">
        <f>1100+2100+980+250</f>
        <v>4430</v>
      </c>
      <c r="H848" s="24">
        <f t="shared" si="500"/>
        <v>161252</v>
      </c>
      <c r="I848" s="23">
        <v>0</v>
      </c>
      <c r="J848" s="23">
        <f t="shared" si="501"/>
        <v>161252</v>
      </c>
      <c r="K848" s="32"/>
      <c r="L848" s="33"/>
      <c r="M848" s="34"/>
      <c r="N848" s="35">
        <f t="shared" si="485"/>
        <v>162123385</v>
      </c>
    </row>
    <row r="849" spans="1:14" s="18" customFormat="1" ht="24" hidden="1" customHeight="1" x14ac:dyDescent="0.3">
      <c r="A849" s="19"/>
      <c r="B849" s="19">
        <v>28</v>
      </c>
      <c r="C849" s="39" t="s">
        <v>331</v>
      </c>
      <c r="D849" s="21"/>
      <c r="E849" s="19"/>
      <c r="F849" s="22"/>
      <c r="G849" s="23"/>
      <c r="H849" s="24"/>
      <c r="I849" s="23"/>
      <c r="J849" s="23"/>
      <c r="K849" s="32"/>
      <c r="L849" s="33"/>
      <c r="M849" s="34"/>
      <c r="N849" s="35">
        <f t="shared" si="485"/>
        <v>162123385</v>
      </c>
    </row>
    <row r="850" spans="1:14" s="18" customFormat="1" ht="24" hidden="1" customHeight="1" x14ac:dyDescent="0.3">
      <c r="A850" s="19"/>
      <c r="B850" s="19"/>
      <c r="C850" s="29" t="s">
        <v>46</v>
      </c>
      <c r="D850" s="21"/>
      <c r="E850" s="19">
        <v>16</v>
      </c>
      <c r="F850" s="22">
        <v>186.2</v>
      </c>
      <c r="G850" s="23">
        <v>2100</v>
      </c>
      <c r="H850" s="24">
        <f t="shared" ref="H850" si="502">F850*G850</f>
        <v>391020</v>
      </c>
      <c r="I850" s="23">
        <v>0</v>
      </c>
      <c r="J850" s="23">
        <f t="shared" ref="J850" si="503">SUM(H850:I850)</f>
        <v>391020</v>
      </c>
      <c r="K850" s="32"/>
      <c r="L850" s="33"/>
      <c r="M850" s="34"/>
      <c r="N850" s="35">
        <f t="shared" si="485"/>
        <v>162514405</v>
      </c>
    </row>
    <row r="851" spans="1:14" s="18" customFormat="1" ht="24" hidden="1" customHeight="1" x14ac:dyDescent="0.3">
      <c r="A851" s="19"/>
      <c r="B851" s="19">
        <v>29</v>
      </c>
      <c r="C851" s="29" t="s">
        <v>303</v>
      </c>
      <c r="D851" s="21"/>
      <c r="E851" s="19"/>
      <c r="F851" s="22"/>
      <c r="G851" s="23"/>
      <c r="H851" s="24"/>
      <c r="I851" s="23"/>
      <c r="J851" s="23"/>
      <c r="K851" s="32"/>
      <c r="L851" s="33"/>
      <c r="M851" s="34"/>
      <c r="N851" s="35">
        <f t="shared" si="485"/>
        <v>162514405</v>
      </c>
    </row>
    <row r="852" spans="1:14" s="18" customFormat="1" ht="24" hidden="1" customHeight="1" x14ac:dyDescent="0.3">
      <c r="A852" s="19"/>
      <c r="B852" s="19"/>
      <c r="C852" s="39" t="s">
        <v>179</v>
      </c>
      <c r="D852" s="37"/>
      <c r="E852" s="19"/>
      <c r="F852" s="22"/>
      <c r="G852" s="23"/>
      <c r="H852" s="24">
        <v>280000</v>
      </c>
      <c r="I852" s="23">
        <f>H852*0.1</f>
        <v>28000</v>
      </c>
      <c r="J852" s="23">
        <f>SUM(H852:I852)</f>
        <v>308000</v>
      </c>
      <c r="K852" s="32"/>
      <c r="L852" s="33"/>
      <c r="M852" s="34"/>
      <c r="N852" s="35">
        <f t="shared" si="485"/>
        <v>162822405</v>
      </c>
    </row>
    <row r="853" spans="1:14" s="18" customFormat="1" ht="24" hidden="1" customHeight="1" x14ac:dyDescent="0.3">
      <c r="A853" s="19"/>
      <c r="B853" s="19"/>
      <c r="C853" s="29"/>
      <c r="D853" s="21" t="s">
        <v>152</v>
      </c>
      <c r="E853" s="19"/>
      <c r="F853" s="22"/>
      <c r="G853" s="23"/>
      <c r="H853" s="24"/>
      <c r="I853" s="23"/>
      <c r="J853" s="47">
        <v>-9822405</v>
      </c>
      <c r="K853" s="32"/>
      <c r="L853" s="33"/>
      <c r="M853" s="34"/>
      <c r="N853" s="35">
        <f t="shared" si="485"/>
        <v>153000000</v>
      </c>
    </row>
    <row r="854" spans="1:14" s="18" customFormat="1" ht="24" hidden="1" customHeight="1" thickBot="1" x14ac:dyDescent="0.35">
      <c r="A854" s="49">
        <v>4</v>
      </c>
      <c r="B854" s="49">
        <v>30</v>
      </c>
      <c r="C854" s="72"/>
      <c r="D854" s="51" t="s">
        <v>153</v>
      </c>
      <c r="E854" s="49"/>
      <c r="F854" s="52"/>
      <c r="G854" s="53"/>
      <c r="H854" s="54"/>
      <c r="I854" s="53"/>
      <c r="J854" s="53"/>
      <c r="K854" s="55">
        <v>-153000000</v>
      </c>
      <c r="L854" s="56">
        <v>45777</v>
      </c>
      <c r="M854" s="57">
        <v>153000000</v>
      </c>
      <c r="N854" s="58">
        <f t="shared" si="485"/>
        <v>0</v>
      </c>
    </row>
    <row r="855" spans="1:14" s="18" customFormat="1" ht="24" hidden="1" customHeight="1" thickTop="1" x14ac:dyDescent="0.3">
      <c r="A855" s="59"/>
      <c r="B855" s="59"/>
      <c r="C855" s="75"/>
      <c r="D855" s="61"/>
      <c r="E855" s="59"/>
      <c r="F855" s="62"/>
      <c r="G855" s="63"/>
      <c r="H855" s="64"/>
      <c r="I855" s="63"/>
      <c r="J855" s="63"/>
      <c r="K855" s="65"/>
      <c r="L855" s="66"/>
      <c r="M855" s="67"/>
      <c r="N855" s="68">
        <f t="shared" si="485"/>
        <v>0</v>
      </c>
    </row>
    <row r="856" spans="1:14" s="18" customFormat="1" ht="24" hidden="1" customHeight="1" x14ac:dyDescent="0.3">
      <c r="A856" s="19"/>
      <c r="B856" s="19"/>
      <c r="C856" s="29"/>
      <c r="D856" s="21"/>
      <c r="E856" s="19"/>
      <c r="F856" s="22"/>
      <c r="G856" s="23"/>
      <c r="H856" s="24"/>
      <c r="I856" s="23"/>
      <c r="J856" s="23"/>
      <c r="K856" s="32"/>
      <c r="L856" s="33"/>
      <c r="M856" s="34"/>
      <c r="N856" s="38">
        <f t="shared" si="485"/>
        <v>0</v>
      </c>
    </row>
    <row r="857" spans="1:14" s="18" customFormat="1" ht="24" hidden="1" customHeight="1" x14ac:dyDescent="0.3">
      <c r="A857" s="19"/>
      <c r="B857" s="19"/>
      <c r="C857" s="39"/>
      <c r="D857" s="21"/>
      <c r="E857" s="19"/>
      <c r="F857" s="22"/>
      <c r="G857" s="23"/>
      <c r="H857" s="24"/>
      <c r="I857" s="23"/>
      <c r="J857" s="23"/>
      <c r="K857" s="32"/>
      <c r="L857" s="33"/>
      <c r="M857" s="34"/>
      <c r="N857" s="38">
        <f t="shared" si="485"/>
        <v>0</v>
      </c>
    </row>
    <row r="858" spans="1:14" s="18" customFormat="1" ht="24" hidden="1" customHeight="1" x14ac:dyDescent="0.3">
      <c r="A858" s="19"/>
      <c r="B858" s="19"/>
      <c r="C858" s="39"/>
      <c r="D858" s="21"/>
      <c r="E858" s="19"/>
      <c r="F858" s="22"/>
      <c r="G858" s="23"/>
      <c r="H858" s="24"/>
      <c r="I858" s="23"/>
      <c r="J858" s="23"/>
      <c r="K858" s="32"/>
      <c r="L858" s="33"/>
      <c r="M858" s="34"/>
      <c r="N858" s="38">
        <f t="shared" si="485"/>
        <v>0</v>
      </c>
    </row>
    <row r="859" spans="1:14" s="2" customFormat="1" ht="27" hidden="1" customHeight="1" thickBot="1" x14ac:dyDescent="0.35">
      <c r="A859" s="1"/>
      <c r="B859" s="1"/>
      <c r="C859" s="1"/>
      <c r="E859" s="86" t="s">
        <v>0</v>
      </c>
      <c r="F859" s="86"/>
      <c r="G859" s="86"/>
      <c r="H859" s="86"/>
      <c r="I859" s="86"/>
      <c r="J859" s="86"/>
      <c r="K859" s="1"/>
      <c r="L859" s="3"/>
      <c r="M859" s="3"/>
      <c r="N859" s="1"/>
    </row>
    <row r="860" spans="1:14" s="2" customFormat="1" ht="24" hidden="1" customHeight="1" thickTop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3"/>
      <c r="M860" s="3"/>
      <c r="N860" s="1"/>
    </row>
    <row r="861" spans="1:14" s="2" customFormat="1" ht="24" hidden="1" customHeight="1" thickBot="1" x14ac:dyDescent="0.35">
      <c r="A861" s="2" t="s">
        <v>1</v>
      </c>
      <c r="C861" s="4"/>
      <c r="D861" s="4"/>
      <c r="E861" s="5"/>
      <c r="F861" s="6"/>
      <c r="G861" s="7"/>
      <c r="H861" s="7"/>
      <c r="I861" s="7"/>
      <c r="J861" s="8"/>
      <c r="K861" s="9"/>
      <c r="L861" s="10"/>
      <c r="M861" s="11"/>
      <c r="N861" s="12" t="s">
        <v>2</v>
      </c>
    </row>
    <row r="862" spans="1:14" s="18" customFormat="1" ht="24" hidden="1" customHeight="1" thickTop="1" thickBot="1" x14ac:dyDescent="0.35">
      <c r="A862" s="13" t="s">
        <v>3</v>
      </c>
      <c r="B862" s="13" t="s">
        <v>4</v>
      </c>
      <c r="C862" s="87" t="s">
        <v>5</v>
      </c>
      <c r="D862" s="88"/>
      <c r="E862" s="13" t="s">
        <v>6</v>
      </c>
      <c r="F862" s="14" t="s">
        <v>7</v>
      </c>
      <c r="G862" s="15" t="s">
        <v>8</v>
      </c>
      <c r="H862" s="15" t="s">
        <v>9</v>
      </c>
      <c r="I862" s="15" t="s">
        <v>10</v>
      </c>
      <c r="J862" s="15" t="s">
        <v>11</v>
      </c>
      <c r="K862" s="16" t="s">
        <v>12</v>
      </c>
      <c r="L862" s="89" t="s">
        <v>13</v>
      </c>
      <c r="M862" s="90"/>
      <c r="N862" s="17" t="s">
        <v>14</v>
      </c>
    </row>
    <row r="863" spans="1:14" s="18" customFormat="1" ht="24" hidden="1" customHeight="1" thickTop="1" x14ac:dyDescent="0.3">
      <c r="A863" s="41">
        <v>4</v>
      </c>
      <c r="B863" s="41">
        <v>29</v>
      </c>
      <c r="C863" s="70" t="s">
        <v>200</v>
      </c>
      <c r="D863" s="40"/>
      <c r="E863" s="41"/>
      <c r="F863" s="42"/>
      <c r="G863" s="43"/>
      <c r="H863" s="44"/>
      <c r="I863" s="43"/>
      <c r="J863" s="43"/>
      <c r="K863" s="25"/>
      <c r="L863" s="26"/>
      <c r="M863" s="27"/>
      <c r="N863" s="28">
        <f>N858</f>
        <v>0</v>
      </c>
    </row>
    <row r="864" spans="1:14" s="18" customFormat="1" ht="24" hidden="1" customHeight="1" x14ac:dyDescent="0.3">
      <c r="A864" s="19"/>
      <c r="B864" s="19"/>
      <c r="C864" s="36" t="s">
        <v>335</v>
      </c>
      <c r="D864" s="21"/>
      <c r="E864" s="19">
        <v>1</v>
      </c>
      <c r="F864" s="22">
        <v>6.7</v>
      </c>
      <c r="G864" s="23">
        <f>1000+550+550+980+980+250+250</f>
        <v>4560</v>
      </c>
      <c r="H864" s="24">
        <f t="shared" ref="H864" si="504">F864*G864</f>
        <v>30552</v>
      </c>
      <c r="I864" s="23">
        <v>0</v>
      </c>
      <c r="J864" s="23">
        <f t="shared" ref="J864" si="505">SUM(H864:I864)</f>
        <v>30552</v>
      </c>
      <c r="K864" s="32"/>
      <c r="L864" s="33"/>
      <c r="M864" s="34"/>
      <c r="N864" s="35">
        <f>N863+J864+K864</f>
        <v>30552</v>
      </c>
    </row>
    <row r="865" spans="1:14" s="18" customFormat="1" ht="24" hidden="1" customHeight="1" x14ac:dyDescent="0.3">
      <c r="A865" s="19"/>
      <c r="B865" s="19">
        <v>29</v>
      </c>
      <c r="C865" s="39" t="s">
        <v>254</v>
      </c>
      <c r="D865" s="37"/>
      <c r="E865" s="19"/>
      <c r="F865" s="22"/>
      <c r="G865" s="23"/>
      <c r="H865" s="24"/>
      <c r="I865" s="23"/>
      <c r="J865" s="23"/>
      <c r="K865" s="32"/>
      <c r="L865" s="33"/>
      <c r="M865" s="34"/>
      <c r="N865" s="35">
        <f>N864+J865+K865</f>
        <v>30552</v>
      </c>
    </row>
    <row r="866" spans="1:14" s="18" customFormat="1" ht="24" hidden="1" customHeight="1" x14ac:dyDescent="0.3">
      <c r="A866" s="19"/>
      <c r="B866" s="19"/>
      <c r="C866" s="36" t="s">
        <v>23</v>
      </c>
      <c r="D866" s="21"/>
      <c r="E866" s="19">
        <v>2</v>
      </c>
      <c r="F866" s="22">
        <v>52.7</v>
      </c>
      <c r="G866" s="23">
        <f>2200+550+1070+250+330</f>
        <v>4400</v>
      </c>
      <c r="H866" s="24">
        <f t="shared" ref="H866" si="506">F866*G866</f>
        <v>231880</v>
      </c>
      <c r="I866" s="23">
        <v>0</v>
      </c>
      <c r="J866" s="23">
        <f t="shared" ref="J866" si="507">SUM(H866:I866)</f>
        <v>231880</v>
      </c>
      <c r="K866" s="32"/>
      <c r="L866" s="33"/>
      <c r="M866" s="34"/>
      <c r="N866" s="35">
        <f t="shared" ref="N866:N897" si="508">N865+J866+K866</f>
        <v>262432</v>
      </c>
    </row>
    <row r="867" spans="1:14" s="18" customFormat="1" ht="24" hidden="1" customHeight="1" x14ac:dyDescent="0.3">
      <c r="A867" s="19"/>
      <c r="B867" s="19">
        <v>30</v>
      </c>
      <c r="C867" s="29" t="s">
        <v>336</v>
      </c>
      <c r="D867" s="21"/>
      <c r="E867" s="19"/>
      <c r="F867" s="22"/>
      <c r="G867" s="23"/>
      <c r="H867" s="24"/>
      <c r="I867" s="23"/>
      <c r="J867" s="23"/>
      <c r="K867" s="32"/>
      <c r="L867" s="33"/>
      <c r="M867" s="34"/>
      <c r="N867" s="35">
        <f t="shared" si="508"/>
        <v>262432</v>
      </c>
    </row>
    <row r="868" spans="1:14" s="18" customFormat="1" ht="24" hidden="1" customHeight="1" x14ac:dyDescent="0.3">
      <c r="A868" s="19"/>
      <c r="B868" s="19"/>
      <c r="C868" s="29" t="s">
        <v>89</v>
      </c>
      <c r="D868" s="21"/>
      <c r="E868" s="19">
        <v>276</v>
      </c>
      <c r="F868" s="22">
        <v>2622.9</v>
      </c>
      <c r="G868" s="23">
        <f>550+55</f>
        <v>605</v>
      </c>
      <c r="H868" s="24">
        <f t="shared" ref="H868" si="509">F868*G868</f>
        <v>1586854.5</v>
      </c>
      <c r="I868" s="23">
        <v>0</v>
      </c>
      <c r="J868" s="23">
        <f t="shared" ref="J868" si="510">SUM(H868:I868)</f>
        <v>1586854.5</v>
      </c>
      <c r="K868" s="32"/>
      <c r="L868" s="33"/>
      <c r="M868" s="34"/>
      <c r="N868" s="35">
        <f t="shared" si="508"/>
        <v>1849286.5</v>
      </c>
    </row>
    <row r="869" spans="1:14" s="18" customFormat="1" ht="24" hidden="1" customHeight="1" x14ac:dyDescent="0.3">
      <c r="A869" s="19">
        <v>5</v>
      </c>
      <c r="B869" s="19">
        <v>7</v>
      </c>
      <c r="C869" s="29" t="s">
        <v>300</v>
      </c>
      <c r="D869" s="21"/>
      <c r="E869" s="19"/>
      <c r="F869" s="22"/>
      <c r="G869" s="23"/>
      <c r="H869" s="24"/>
      <c r="I869" s="23"/>
      <c r="J869" s="23"/>
      <c r="K869" s="32"/>
      <c r="L869" s="33"/>
      <c r="M869" s="34"/>
      <c r="N869" s="35">
        <f t="shared" si="508"/>
        <v>1849286.5</v>
      </c>
    </row>
    <row r="870" spans="1:14" s="18" customFormat="1" ht="24" hidden="1" customHeight="1" x14ac:dyDescent="0.3">
      <c r="A870" s="19"/>
      <c r="B870" s="19"/>
      <c r="C870" s="39" t="s">
        <v>89</v>
      </c>
      <c r="D870" s="37"/>
      <c r="E870" s="19">
        <v>2</v>
      </c>
      <c r="F870" s="22">
        <v>30.2</v>
      </c>
      <c r="G870" s="23">
        <f>550+55</f>
        <v>605</v>
      </c>
      <c r="H870" s="24">
        <f t="shared" ref="H870" si="511">F870*G870</f>
        <v>18271</v>
      </c>
      <c r="I870" s="23">
        <v>0</v>
      </c>
      <c r="J870" s="23">
        <f t="shared" ref="J870" si="512">SUM(H870:I870)</f>
        <v>18271</v>
      </c>
      <c r="K870" s="32"/>
      <c r="L870" s="33"/>
      <c r="M870" s="34"/>
      <c r="N870" s="35">
        <f t="shared" si="508"/>
        <v>1867557.5</v>
      </c>
    </row>
    <row r="871" spans="1:14" s="18" customFormat="1" ht="24" hidden="1" customHeight="1" x14ac:dyDescent="0.3">
      <c r="A871" s="19"/>
      <c r="B871" s="19">
        <v>7</v>
      </c>
      <c r="C871" s="39" t="s">
        <v>311</v>
      </c>
      <c r="D871" s="37"/>
      <c r="E871" s="19"/>
      <c r="F871" s="22"/>
      <c r="G871" s="23"/>
      <c r="H871" s="24"/>
      <c r="I871" s="23"/>
      <c r="J871" s="23"/>
      <c r="K871" s="32"/>
      <c r="L871" s="33"/>
      <c r="M871" s="34"/>
      <c r="N871" s="35">
        <f t="shared" si="508"/>
        <v>1867557.5</v>
      </c>
    </row>
    <row r="872" spans="1:14" s="18" customFormat="1" ht="24" hidden="1" customHeight="1" x14ac:dyDescent="0.3">
      <c r="A872" s="19"/>
      <c r="B872" s="19"/>
      <c r="C872" s="36" t="s">
        <v>212</v>
      </c>
      <c r="D872" s="37"/>
      <c r="E872" s="19">
        <v>1</v>
      </c>
      <c r="F872" s="22">
        <v>3</v>
      </c>
      <c r="G872" s="23">
        <f>800+1000+1070+250</f>
        <v>3120</v>
      </c>
      <c r="H872" s="24">
        <f t="shared" ref="H872" si="513">F872*G872</f>
        <v>9360</v>
      </c>
      <c r="I872" s="23">
        <v>0</v>
      </c>
      <c r="J872" s="23">
        <f t="shared" ref="J872" si="514">SUM(H872:I872)</f>
        <v>9360</v>
      </c>
      <c r="K872" s="32"/>
      <c r="L872" s="33"/>
      <c r="M872" s="34"/>
      <c r="N872" s="35">
        <f t="shared" si="508"/>
        <v>1876917.5</v>
      </c>
    </row>
    <row r="873" spans="1:14" s="18" customFormat="1" ht="24" hidden="1" customHeight="1" x14ac:dyDescent="0.3">
      <c r="A873" s="19"/>
      <c r="B873" s="19">
        <v>7</v>
      </c>
      <c r="C873" s="29" t="s">
        <v>337</v>
      </c>
      <c r="D873" s="21"/>
      <c r="E873" s="19"/>
      <c r="F873" s="22"/>
      <c r="G873" s="23"/>
      <c r="H873" s="24"/>
      <c r="I873" s="23"/>
      <c r="J873" s="23"/>
      <c r="K873" s="32"/>
      <c r="L873" s="33"/>
      <c r="M873" s="34"/>
      <c r="N873" s="35">
        <f t="shared" si="508"/>
        <v>1876917.5</v>
      </c>
    </row>
    <row r="874" spans="1:14" s="18" customFormat="1" ht="24" hidden="1" customHeight="1" x14ac:dyDescent="0.3">
      <c r="A874" s="19"/>
      <c r="B874" s="19"/>
      <c r="C874" s="36" t="s">
        <v>21</v>
      </c>
      <c r="D874" s="21"/>
      <c r="E874" s="19">
        <v>87</v>
      </c>
      <c r="F874" s="22">
        <v>811.3</v>
      </c>
      <c r="G874" s="23">
        <f>2200+550+1070+250+330</f>
        <v>4400</v>
      </c>
      <c r="H874" s="24">
        <f t="shared" ref="H874:H875" si="515">F874*G874</f>
        <v>3569720</v>
      </c>
      <c r="I874" s="23">
        <v>0</v>
      </c>
      <c r="J874" s="23">
        <f t="shared" ref="J874:J875" si="516">SUM(H874:I874)</f>
        <v>3569720</v>
      </c>
      <c r="K874" s="32"/>
      <c r="L874" s="33"/>
      <c r="M874" s="34"/>
      <c r="N874" s="35">
        <f t="shared" si="508"/>
        <v>5446637.5</v>
      </c>
    </row>
    <row r="875" spans="1:14" s="18" customFormat="1" ht="24" hidden="1" customHeight="1" x14ac:dyDescent="0.3">
      <c r="A875" s="19"/>
      <c r="B875" s="19"/>
      <c r="C875" s="29" t="s">
        <v>107</v>
      </c>
      <c r="D875" s="21"/>
      <c r="E875" s="19">
        <v>9</v>
      </c>
      <c r="F875" s="22">
        <v>58.8</v>
      </c>
      <c r="G875" s="23">
        <f>550+550+740</f>
        <v>1840</v>
      </c>
      <c r="H875" s="24">
        <f t="shared" si="515"/>
        <v>108192</v>
      </c>
      <c r="I875" s="23">
        <v>0</v>
      </c>
      <c r="J875" s="23">
        <f t="shared" si="516"/>
        <v>108192</v>
      </c>
      <c r="K875" s="32"/>
      <c r="L875" s="33"/>
      <c r="M875" s="34"/>
      <c r="N875" s="35">
        <f t="shared" si="508"/>
        <v>5554829.5</v>
      </c>
    </row>
    <row r="876" spans="1:14" s="18" customFormat="1" ht="24" hidden="1" customHeight="1" x14ac:dyDescent="0.3">
      <c r="A876" s="19"/>
      <c r="B876" s="19">
        <v>7</v>
      </c>
      <c r="C876" s="39" t="s">
        <v>338</v>
      </c>
      <c r="D876" s="21"/>
      <c r="E876" s="19"/>
      <c r="F876" s="22"/>
      <c r="G876" s="23"/>
      <c r="H876" s="24"/>
      <c r="I876" s="23"/>
      <c r="J876" s="23"/>
      <c r="K876" s="32"/>
      <c r="L876" s="33"/>
      <c r="M876" s="34"/>
      <c r="N876" s="35">
        <f t="shared" si="508"/>
        <v>5554829.5</v>
      </c>
    </row>
    <row r="877" spans="1:14" s="18" customFormat="1" ht="24" hidden="1" customHeight="1" x14ac:dyDescent="0.3">
      <c r="A877" s="19"/>
      <c r="B877" s="19"/>
      <c r="C877" s="36" t="s">
        <v>48</v>
      </c>
      <c r="D877" s="21"/>
      <c r="E877" s="19">
        <v>3</v>
      </c>
      <c r="F877" s="22">
        <v>78.7</v>
      </c>
      <c r="G877" s="23">
        <f>2200+550+1070+250</f>
        <v>4070</v>
      </c>
      <c r="H877" s="24">
        <f t="shared" ref="H877" si="517">F877*G877</f>
        <v>320309</v>
      </c>
      <c r="I877" s="23">
        <v>0</v>
      </c>
      <c r="J877" s="23">
        <f t="shared" ref="J877" si="518">SUM(H877:I877)</f>
        <v>320309</v>
      </c>
      <c r="K877" s="32"/>
      <c r="L877" s="33"/>
      <c r="M877" s="34"/>
      <c r="N877" s="35">
        <f t="shared" si="508"/>
        <v>5875138.5</v>
      </c>
    </row>
    <row r="878" spans="1:14" s="18" customFormat="1" ht="24" hidden="1" customHeight="1" x14ac:dyDescent="0.3">
      <c r="A878" s="19"/>
      <c r="B878" s="19">
        <v>7</v>
      </c>
      <c r="C878" s="39" t="s">
        <v>254</v>
      </c>
      <c r="D878" s="21"/>
      <c r="E878" s="19"/>
      <c r="F878" s="22"/>
      <c r="G878" s="23"/>
      <c r="H878" s="24"/>
      <c r="I878" s="23"/>
      <c r="J878" s="23"/>
      <c r="K878" s="32"/>
      <c r="L878" s="33"/>
      <c r="M878" s="34"/>
      <c r="N878" s="35">
        <f t="shared" si="508"/>
        <v>5875138.5</v>
      </c>
    </row>
    <row r="879" spans="1:14" s="18" customFormat="1" ht="24" hidden="1" customHeight="1" x14ac:dyDescent="0.3">
      <c r="A879" s="19"/>
      <c r="B879" s="19"/>
      <c r="C879" s="36" t="s">
        <v>23</v>
      </c>
      <c r="D879" s="21"/>
      <c r="E879" s="19">
        <v>2</v>
      </c>
      <c r="F879" s="22">
        <v>50.1</v>
      </c>
      <c r="G879" s="23">
        <f>2200+550+1070+250+330</f>
        <v>4400</v>
      </c>
      <c r="H879" s="24">
        <f t="shared" ref="H879:H880" si="519">F879*G879</f>
        <v>220440</v>
      </c>
      <c r="I879" s="23">
        <v>0</v>
      </c>
      <c r="J879" s="23">
        <f t="shared" ref="J879:J880" si="520">SUM(H879:I879)</f>
        <v>220440</v>
      </c>
      <c r="K879" s="32"/>
      <c r="L879" s="33"/>
      <c r="M879" s="34"/>
      <c r="N879" s="35">
        <f t="shared" si="508"/>
        <v>6095578.5</v>
      </c>
    </row>
    <row r="880" spans="1:14" s="18" customFormat="1" ht="24" hidden="1" customHeight="1" x14ac:dyDescent="0.3">
      <c r="A880" s="19"/>
      <c r="B880" s="19"/>
      <c r="C880" s="36" t="s">
        <v>272</v>
      </c>
      <c r="D880" s="37"/>
      <c r="E880" s="19">
        <v>23</v>
      </c>
      <c r="F880" s="22">
        <v>339.9</v>
      </c>
      <c r="G880" s="23">
        <f>900+1250+1070+250</f>
        <v>3470</v>
      </c>
      <c r="H880" s="24">
        <f t="shared" si="519"/>
        <v>1179453</v>
      </c>
      <c r="I880" s="23">
        <v>0</v>
      </c>
      <c r="J880" s="23">
        <f t="shared" si="520"/>
        <v>1179453</v>
      </c>
      <c r="K880" s="32"/>
      <c r="L880" s="33"/>
      <c r="M880" s="34"/>
      <c r="N880" s="35">
        <f t="shared" si="508"/>
        <v>7275031.5</v>
      </c>
    </row>
    <row r="881" spans="1:14" s="18" customFormat="1" ht="24" hidden="1" customHeight="1" x14ac:dyDescent="0.3">
      <c r="A881" s="19"/>
      <c r="B881" s="19">
        <v>7</v>
      </c>
      <c r="C881" s="29" t="s">
        <v>339</v>
      </c>
      <c r="D881" s="21"/>
      <c r="E881" s="19"/>
      <c r="F881" s="22"/>
      <c r="G881" s="23"/>
      <c r="H881" s="24"/>
      <c r="I881" s="23"/>
      <c r="J881" s="23"/>
      <c r="K881" s="32"/>
      <c r="L881" s="33"/>
      <c r="M881" s="34"/>
      <c r="N881" s="35">
        <f t="shared" si="508"/>
        <v>7275031.5</v>
      </c>
    </row>
    <row r="882" spans="1:14" s="18" customFormat="1" ht="24" hidden="1" customHeight="1" x14ac:dyDescent="0.3">
      <c r="A882" s="19"/>
      <c r="B882" s="19"/>
      <c r="C882" s="36" t="s">
        <v>23</v>
      </c>
      <c r="D882" s="21"/>
      <c r="E882" s="19">
        <v>921</v>
      </c>
      <c r="F882" s="22">
        <v>8736.7000000000007</v>
      </c>
      <c r="G882" s="23">
        <f>2200+550+1070+250+330</f>
        <v>4400</v>
      </c>
      <c r="H882" s="24">
        <f t="shared" ref="H882" si="521">F882*G882</f>
        <v>38441480</v>
      </c>
      <c r="I882" s="23">
        <v>0</v>
      </c>
      <c r="J882" s="23">
        <f t="shared" ref="J882" si="522">SUM(H882:I882)</f>
        <v>38441480</v>
      </c>
      <c r="K882" s="32"/>
      <c r="L882" s="33"/>
      <c r="M882" s="34"/>
      <c r="N882" s="35">
        <f t="shared" si="508"/>
        <v>45716511.5</v>
      </c>
    </row>
    <row r="883" spans="1:14" s="18" customFormat="1" ht="24" hidden="1" customHeight="1" x14ac:dyDescent="0.3">
      <c r="A883" s="19"/>
      <c r="B883" s="19">
        <v>7</v>
      </c>
      <c r="C883" s="39" t="s">
        <v>340</v>
      </c>
      <c r="D883" s="37"/>
      <c r="E883" s="19"/>
      <c r="F883" s="22"/>
      <c r="G883" s="23"/>
      <c r="H883" s="24"/>
      <c r="I883" s="23"/>
      <c r="J883" s="23"/>
      <c r="K883" s="32"/>
      <c r="L883" s="33"/>
      <c r="M883" s="34"/>
      <c r="N883" s="35">
        <f t="shared" si="508"/>
        <v>45716511.5</v>
      </c>
    </row>
    <row r="884" spans="1:14" s="18" customFormat="1" ht="24" hidden="1" customHeight="1" x14ac:dyDescent="0.3">
      <c r="A884" s="19"/>
      <c r="B884" s="19"/>
      <c r="C884" s="36" t="s">
        <v>48</v>
      </c>
      <c r="D884" s="21"/>
      <c r="E884" s="19">
        <v>88</v>
      </c>
      <c r="F884" s="22">
        <v>1079.4000000000001</v>
      </c>
      <c r="G884" s="23">
        <f>2200+550+1070+250</f>
        <v>4070</v>
      </c>
      <c r="H884" s="24">
        <f t="shared" ref="H884" si="523">F884*G884</f>
        <v>4393158</v>
      </c>
      <c r="I884" s="23">
        <v>0</v>
      </c>
      <c r="J884" s="23">
        <f t="shared" ref="J884" si="524">SUM(H884:I884)</f>
        <v>4393158</v>
      </c>
      <c r="K884" s="32"/>
      <c r="L884" s="33"/>
      <c r="M884" s="34"/>
      <c r="N884" s="35">
        <f t="shared" si="508"/>
        <v>50109669.5</v>
      </c>
    </row>
    <row r="885" spans="1:14" s="18" customFormat="1" ht="24" hidden="1" customHeight="1" x14ac:dyDescent="0.3">
      <c r="A885" s="19"/>
      <c r="B885" s="19">
        <v>7</v>
      </c>
      <c r="C885" s="29" t="s">
        <v>341</v>
      </c>
      <c r="D885" s="21"/>
      <c r="E885" s="19"/>
      <c r="F885" s="22"/>
      <c r="G885" s="23"/>
      <c r="H885" s="24"/>
      <c r="I885" s="23"/>
      <c r="J885" s="23"/>
      <c r="K885" s="32"/>
      <c r="L885" s="33"/>
      <c r="M885" s="34"/>
      <c r="N885" s="35">
        <f t="shared" si="508"/>
        <v>50109669.5</v>
      </c>
    </row>
    <row r="886" spans="1:14" s="18" customFormat="1" ht="24" hidden="1" customHeight="1" x14ac:dyDescent="0.3">
      <c r="A886" s="19"/>
      <c r="B886" s="19"/>
      <c r="C886" s="36" t="s">
        <v>342</v>
      </c>
      <c r="D886" s="21"/>
      <c r="E886" s="19">
        <v>49</v>
      </c>
      <c r="F886" s="22">
        <v>1234.0999999999999</v>
      </c>
      <c r="G886" s="23">
        <v>6910</v>
      </c>
      <c r="H886" s="24">
        <f t="shared" ref="H886" si="525">F886*G886</f>
        <v>8527631</v>
      </c>
      <c r="I886" s="23">
        <v>0</v>
      </c>
      <c r="J886" s="23">
        <f t="shared" ref="J886" si="526">SUM(H886:I886)</f>
        <v>8527631</v>
      </c>
      <c r="K886" s="32"/>
      <c r="L886" s="33"/>
      <c r="M886" s="34"/>
      <c r="N886" s="35">
        <f t="shared" si="508"/>
        <v>58637300.5</v>
      </c>
    </row>
    <row r="887" spans="1:14" s="18" customFormat="1" ht="24" hidden="1" customHeight="1" x14ac:dyDescent="0.3">
      <c r="A887" s="19"/>
      <c r="B887" s="19">
        <v>8</v>
      </c>
      <c r="C887" s="39" t="s">
        <v>343</v>
      </c>
      <c r="D887" s="21"/>
      <c r="E887" s="19"/>
      <c r="F887" s="22"/>
      <c r="G887" s="23"/>
      <c r="H887" s="24"/>
      <c r="I887" s="23"/>
      <c r="J887" s="23"/>
      <c r="K887" s="32"/>
      <c r="L887" s="33"/>
      <c r="M887" s="34"/>
      <c r="N887" s="35">
        <f t="shared" si="508"/>
        <v>58637300.5</v>
      </c>
    </row>
    <row r="888" spans="1:14" s="18" customFormat="1" ht="24" hidden="1" customHeight="1" x14ac:dyDescent="0.3">
      <c r="A888" s="19"/>
      <c r="B888" s="19"/>
      <c r="C888" s="36" t="s">
        <v>23</v>
      </c>
      <c r="D888" s="21"/>
      <c r="E888" s="19">
        <v>15</v>
      </c>
      <c r="F888" s="22">
        <v>141.19999999999999</v>
      </c>
      <c r="G888" s="23">
        <f>2200+550+1070+250+330</f>
        <v>4400</v>
      </c>
      <c r="H888" s="24">
        <f t="shared" ref="H888:H890" si="527">F888*G888</f>
        <v>621280</v>
      </c>
      <c r="I888" s="23">
        <v>0</v>
      </c>
      <c r="J888" s="23">
        <f t="shared" ref="J888:J890" si="528">SUM(H888:I888)</f>
        <v>621280</v>
      </c>
      <c r="K888" s="32"/>
      <c r="L888" s="33"/>
      <c r="M888" s="34"/>
      <c r="N888" s="35">
        <f t="shared" si="508"/>
        <v>59258580.5</v>
      </c>
    </row>
    <row r="889" spans="1:14" s="18" customFormat="1" ht="24" hidden="1" customHeight="1" x14ac:dyDescent="0.3">
      <c r="A889" s="19"/>
      <c r="B889" s="19"/>
      <c r="C889" s="29" t="s">
        <v>107</v>
      </c>
      <c r="D889" s="21"/>
      <c r="E889" s="19">
        <v>10</v>
      </c>
      <c r="F889" s="22">
        <v>133.1</v>
      </c>
      <c r="G889" s="23">
        <f>550+550+740</f>
        <v>1840</v>
      </c>
      <c r="H889" s="24">
        <f t="shared" si="527"/>
        <v>244904</v>
      </c>
      <c r="I889" s="23">
        <v>0</v>
      </c>
      <c r="J889" s="23">
        <f t="shared" si="528"/>
        <v>244904</v>
      </c>
      <c r="K889" s="32"/>
      <c r="L889" s="33"/>
      <c r="M889" s="34"/>
      <c r="N889" s="35">
        <f t="shared" si="508"/>
        <v>59503484.5</v>
      </c>
    </row>
    <row r="890" spans="1:14" s="18" customFormat="1" ht="24" hidden="1" customHeight="1" x14ac:dyDescent="0.3">
      <c r="A890" s="19"/>
      <c r="B890" s="19"/>
      <c r="C890" s="39" t="s">
        <v>75</v>
      </c>
      <c r="D890" s="21"/>
      <c r="E890" s="19">
        <v>1</v>
      </c>
      <c r="F890" s="22">
        <v>11.7</v>
      </c>
      <c r="G890" s="23">
        <v>2540</v>
      </c>
      <c r="H890" s="24">
        <f t="shared" si="527"/>
        <v>29718</v>
      </c>
      <c r="I890" s="23">
        <v>0</v>
      </c>
      <c r="J890" s="23">
        <f t="shared" si="528"/>
        <v>29718</v>
      </c>
      <c r="K890" s="32"/>
      <c r="L890" s="33"/>
      <c r="M890" s="34"/>
      <c r="N890" s="35">
        <f t="shared" si="508"/>
        <v>59533202.5</v>
      </c>
    </row>
    <row r="891" spans="1:14" s="18" customFormat="1" ht="24" hidden="1" customHeight="1" x14ac:dyDescent="0.3">
      <c r="A891" s="19"/>
      <c r="B891" s="19">
        <v>8</v>
      </c>
      <c r="C891" s="39" t="s">
        <v>338</v>
      </c>
      <c r="D891" s="37"/>
      <c r="E891" s="19"/>
      <c r="F891" s="22"/>
      <c r="G891" s="23"/>
      <c r="H891" s="24"/>
      <c r="I891" s="23"/>
      <c r="J891" s="23"/>
      <c r="K891" s="32"/>
      <c r="L891" s="33"/>
      <c r="M891" s="34"/>
      <c r="N891" s="35">
        <f t="shared" si="508"/>
        <v>59533202.5</v>
      </c>
    </row>
    <row r="892" spans="1:14" s="18" customFormat="1" ht="24" hidden="1" customHeight="1" x14ac:dyDescent="0.3">
      <c r="A892" s="19"/>
      <c r="B892" s="19"/>
      <c r="C892" s="39" t="s">
        <v>105</v>
      </c>
      <c r="D892" s="21"/>
      <c r="E892" s="19"/>
      <c r="F892" s="22"/>
      <c r="G892" s="23"/>
      <c r="H892" s="24">
        <v>108000</v>
      </c>
      <c r="I892" s="23">
        <f>H892*0.1</f>
        <v>10800</v>
      </c>
      <c r="J892" s="23">
        <f>SUM(H892:I892)</f>
        <v>118800</v>
      </c>
      <c r="K892" s="32"/>
      <c r="L892" s="33"/>
      <c r="M892" s="34"/>
      <c r="N892" s="35">
        <f t="shared" si="508"/>
        <v>59652002.5</v>
      </c>
    </row>
    <row r="893" spans="1:14" s="18" customFormat="1" ht="24" hidden="1" customHeight="1" x14ac:dyDescent="0.3">
      <c r="A893" s="19"/>
      <c r="B893" s="19">
        <v>10</v>
      </c>
      <c r="C893" s="39" t="s">
        <v>254</v>
      </c>
      <c r="D893" s="37"/>
      <c r="E893" s="19"/>
      <c r="F893" s="22"/>
      <c r="G893" s="23"/>
      <c r="H893" s="24"/>
      <c r="I893" s="23"/>
      <c r="J893" s="23"/>
      <c r="K893" s="32"/>
      <c r="L893" s="33"/>
      <c r="M893" s="34"/>
      <c r="N893" s="35">
        <f t="shared" si="508"/>
        <v>59652002.5</v>
      </c>
    </row>
    <row r="894" spans="1:14" s="18" customFormat="1" ht="24" hidden="1" customHeight="1" x14ac:dyDescent="0.3">
      <c r="A894" s="19"/>
      <c r="B894" s="19"/>
      <c r="C894" s="39" t="s">
        <v>105</v>
      </c>
      <c r="D894" s="21"/>
      <c r="E894" s="19"/>
      <c r="F894" s="22"/>
      <c r="G894" s="23"/>
      <c r="H894" s="24">
        <v>108000</v>
      </c>
      <c r="I894" s="23">
        <f>H894*0.1</f>
        <v>10800</v>
      </c>
      <c r="J894" s="23">
        <f>SUM(H894:I894)</f>
        <v>118800</v>
      </c>
      <c r="K894" s="32"/>
      <c r="L894" s="33"/>
      <c r="M894" s="34"/>
      <c r="N894" s="35">
        <f t="shared" si="508"/>
        <v>59770802.5</v>
      </c>
    </row>
    <row r="895" spans="1:14" s="18" customFormat="1" ht="24" hidden="1" customHeight="1" x14ac:dyDescent="0.3">
      <c r="A895" s="19"/>
      <c r="B895" s="19">
        <v>12</v>
      </c>
      <c r="C895" s="29" t="s">
        <v>344</v>
      </c>
      <c r="D895" s="21"/>
      <c r="E895" s="19"/>
      <c r="F895" s="22"/>
      <c r="G895" s="23"/>
      <c r="H895" s="24"/>
      <c r="I895" s="23"/>
      <c r="J895" s="23"/>
      <c r="K895" s="32"/>
      <c r="L895" s="33"/>
      <c r="M895" s="34"/>
      <c r="N895" s="38">
        <f t="shared" si="508"/>
        <v>59770802.5</v>
      </c>
    </row>
    <row r="896" spans="1:14" s="18" customFormat="1" ht="24" hidden="1" customHeight="1" x14ac:dyDescent="0.3">
      <c r="A896" s="19"/>
      <c r="B896" s="19"/>
      <c r="C896" s="36" t="s">
        <v>212</v>
      </c>
      <c r="D896" s="21"/>
      <c r="E896" s="19">
        <v>7</v>
      </c>
      <c r="F896" s="22">
        <v>159.9</v>
      </c>
      <c r="G896" s="23">
        <f>800+1000+1070+250</f>
        <v>3120</v>
      </c>
      <c r="H896" s="24">
        <f t="shared" ref="H896" si="529">F896*G896</f>
        <v>498888</v>
      </c>
      <c r="I896" s="23">
        <v>0</v>
      </c>
      <c r="J896" s="23">
        <f t="shared" ref="J896" si="530">SUM(H896:I896)</f>
        <v>498888</v>
      </c>
      <c r="K896" s="32"/>
      <c r="L896" s="33"/>
      <c r="M896" s="34"/>
      <c r="N896" s="38">
        <f t="shared" si="508"/>
        <v>60269690.5</v>
      </c>
    </row>
    <row r="897" spans="1:14" s="18" customFormat="1" ht="24" hidden="1" customHeight="1" x14ac:dyDescent="0.3">
      <c r="A897" s="19"/>
      <c r="B897" s="19"/>
      <c r="C897" s="39"/>
      <c r="D897" s="21"/>
      <c r="E897" s="19"/>
      <c r="F897" s="22"/>
      <c r="G897" s="23"/>
      <c r="H897" s="24"/>
      <c r="I897" s="23"/>
      <c r="J897" s="23"/>
      <c r="K897" s="32"/>
      <c r="L897" s="33"/>
      <c r="M897" s="34"/>
      <c r="N897" s="38">
        <f t="shared" si="508"/>
        <v>60269690.5</v>
      </c>
    </row>
    <row r="898" spans="1:14" s="2" customFormat="1" ht="27" hidden="1" customHeight="1" thickBot="1" x14ac:dyDescent="0.35">
      <c r="A898" s="1"/>
      <c r="B898" s="1"/>
      <c r="C898" s="1"/>
      <c r="E898" s="86" t="s">
        <v>0</v>
      </c>
      <c r="F898" s="86"/>
      <c r="G898" s="86"/>
      <c r="H898" s="86"/>
      <c r="I898" s="86"/>
      <c r="J898" s="86"/>
      <c r="K898" s="1"/>
      <c r="L898" s="3"/>
      <c r="M898" s="3"/>
      <c r="N898" s="1"/>
    </row>
    <row r="899" spans="1:14" s="2" customFormat="1" ht="24" hidden="1" customHeight="1" thickTop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3"/>
      <c r="M899" s="3"/>
      <c r="N899" s="1"/>
    </row>
    <row r="900" spans="1:14" s="2" customFormat="1" ht="24" hidden="1" customHeight="1" thickBot="1" x14ac:dyDescent="0.35">
      <c r="A900" s="2" t="s">
        <v>1</v>
      </c>
      <c r="C900" s="4"/>
      <c r="D900" s="4"/>
      <c r="E900" s="5"/>
      <c r="F900" s="6"/>
      <c r="G900" s="7"/>
      <c r="H900" s="7"/>
      <c r="I900" s="7"/>
      <c r="J900" s="8"/>
      <c r="K900" s="9"/>
      <c r="L900" s="10"/>
      <c r="M900" s="11"/>
      <c r="N900" s="12" t="s">
        <v>2</v>
      </c>
    </row>
    <row r="901" spans="1:14" s="18" customFormat="1" ht="24" hidden="1" customHeight="1" thickTop="1" thickBot="1" x14ac:dyDescent="0.35">
      <c r="A901" s="13" t="s">
        <v>3</v>
      </c>
      <c r="B901" s="13" t="s">
        <v>4</v>
      </c>
      <c r="C901" s="87" t="s">
        <v>5</v>
      </c>
      <c r="D901" s="88"/>
      <c r="E901" s="13" t="s">
        <v>6</v>
      </c>
      <c r="F901" s="14" t="s">
        <v>7</v>
      </c>
      <c r="G901" s="15" t="s">
        <v>8</v>
      </c>
      <c r="H901" s="15" t="s">
        <v>9</v>
      </c>
      <c r="I901" s="15" t="s">
        <v>10</v>
      </c>
      <c r="J901" s="15" t="s">
        <v>11</v>
      </c>
      <c r="K901" s="16" t="s">
        <v>12</v>
      </c>
      <c r="L901" s="89" t="s">
        <v>13</v>
      </c>
      <c r="M901" s="90"/>
      <c r="N901" s="17" t="s">
        <v>14</v>
      </c>
    </row>
    <row r="902" spans="1:14" s="18" customFormat="1" ht="24" hidden="1" customHeight="1" thickTop="1" x14ac:dyDescent="0.3">
      <c r="A902" s="41"/>
      <c r="B902" s="41"/>
      <c r="C902" s="70" t="s">
        <v>41</v>
      </c>
      <c r="D902" s="40"/>
      <c r="E902" s="41"/>
      <c r="F902" s="42"/>
      <c r="G902" s="43"/>
      <c r="H902" s="44"/>
      <c r="I902" s="43"/>
      <c r="J902" s="43"/>
      <c r="K902" s="25"/>
      <c r="L902" s="26"/>
      <c r="M902" s="27"/>
      <c r="N902" s="28">
        <f>N897</f>
        <v>60269690.5</v>
      </c>
    </row>
    <row r="903" spans="1:14" s="18" customFormat="1" ht="24" hidden="1" customHeight="1" x14ac:dyDescent="0.3">
      <c r="A903" s="19">
        <v>5</v>
      </c>
      <c r="B903" s="19">
        <v>12</v>
      </c>
      <c r="C903" s="29" t="s">
        <v>345</v>
      </c>
      <c r="D903" s="21"/>
      <c r="E903" s="19"/>
      <c r="F903" s="22"/>
      <c r="G903" s="23"/>
      <c r="H903" s="24"/>
      <c r="I903" s="23"/>
      <c r="J903" s="23"/>
      <c r="K903" s="32"/>
      <c r="L903" s="33"/>
      <c r="M903" s="34"/>
      <c r="N903" s="35">
        <f>N902+J903+K903</f>
        <v>60269690.5</v>
      </c>
    </row>
    <row r="904" spans="1:14" s="18" customFormat="1" ht="24" hidden="1" customHeight="1" x14ac:dyDescent="0.3">
      <c r="A904" s="19"/>
      <c r="B904" s="19"/>
      <c r="C904" s="36" t="s">
        <v>272</v>
      </c>
      <c r="D904" s="37"/>
      <c r="E904" s="19">
        <v>12</v>
      </c>
      <c r="F904" s="22">
        <v>160.6</v>
      </c>
      <c r="G904" s="23">
        <f>900+1250+1070+250</f>
        <v>3470</v>
      </c>
      <c r="H904" s="24">
        <f t="shared" ref="H904:H905" si="531">F904*G904</f>
        <v>557282</v>
      </c>
      <c r="I904" s="23">
        <v>0</v>
      </c>
      <c r="J904" s="23">
        <f t="shared" ref="J904:J905" si="532">SUM(H904:I904)</f>
        <v>557282</v>
      </c>
      <c r="K904" s="32"/>
      <c r="L904" s="33"/>
      <c r="M904" s="34"/>
      <c r="N904" s="35">
        <f>N903+J904+K904</f>
        <v>60826972.5</v>
      </c>
    </row>
    <row r="905" spans="1:14" s="18" customFormat="1" ht="24" hidden="1" customHeight="1" x14ac:dyDescent="0.3">
      <c r="A905" s="19"/>
      <c r="B905" s="19"/>
      <c r="C905" s="36" t="s">
        <v>241</v>
      </c>
      <c r="D905" s="21"/>
      <c r="E905" s="19">
        <v>20</v>
      </c>
      <c r="F905" s="22">
        <v>281.5</v>
      </c>
      <c r="G905" s="23">
        <f>900+1250+980+250</f>
        <v>3380</v>
      </c>
      <c r="H905" s="24">
        <f t="shared" si="531"/>
        <v>951470</v>
      </c>
      <c r="I905" s="23">
        <v>0</v>
      </c>
      <c r="J905" s="23">
        <f t="shared" si="532"/>
        <v>951470</v>
      </c>
      <c r="K905" s="32"/>
      <c r="L905" s="33"/>
      <c r="M905" s="34"/>
      <c r="N905" s="35">
        <f t="shared" ref="N905:N936" si="533">N904+J905+K905</f>
        <v>61778442.5</v>
      </c>
    </row>
    <row r="906" spans="1:14" s="18" customFormat="1" ht="24" hidden="1" customHeight="1" x14ac:dyDescent="0.3">
      <c r="A906" s="19"/>
      <c r="B906" s="19">
        <v>12</v>
      </c>
      <c r="C906" s="39" t="s">
        <v>270</v>
      </c>
      <c r="D906" s="21"/>
      <c r="E906" s="19"/>
      <c r="F906" s="22"/>
      <c r="G906" s="23"/>
      <c r="H906" s="24"/>
      <c r="I906" s="23"/>
      <c r="J906" s="23"/>
      <c r="K906" s="32"/>
      <c r="L906" s="33"/>
      <c r="M906" s="34"/>
      <c r="N906" s="35">
        <f t="shared" si="533"/>
        <v>61778442.5</v>
      </c>
    </row>
    <row r="907" spans="1:14" s="18" customFormat="1" ht="24" hidden="1" customHeight="1" x14ac:dyDescent="0.3">
      <c r="A907" s="19"/>
      <c r="B907" s="19"/>
      <c r="C907" s="36" t="s">
        <v>86</v>
      </c>
      <c r="D907" s="21"/>
      <c r="E907" s="19">
        <v>1</v>
      </c>
      <c r="F907" s="22">
        <v>8.6999999999999993</v>
      </c>
      <c r="G907" s="23">
        <f>550+1000+1070+250</f>
        <v>2870</v>
      </c>
      <c r="H907" s="24">
        <f t="shared" ref="H907" si="534">F907*G907</f>
        <v>24968.999999999996</v>
      </c>
      <c r="I907" s="23">
        <v>0</v>
      </c>
      <c r="J907" s="23">
        <f t="shared" ref="J907" si="535">SUM(H907:I907)</f>
        <v>24968.999999999996</v>
      </c>
      <c r="K907" s="32"/>
      <c r="L907" s="33"/>
      <c r="M907" s="34"/>
      <c r="N907" s="35">
        <f t="shared" si="533"/>
        <v>61803411.5</v>
      </c>
    </row>
    <row r="908" spans="1:14" s="18" customFormat="1" ht="24" hidden="1" customHeight="1" x14ac:dyDescent="0.3">
      <c r="A908" s="19"/>
      <c r="B908" s="19">
        <v>12</v>
      </c>
      <c r="C908" s="39" t="s">
        <v>327</v>
      </c>
      <c r="D908" s="21"/>
      <c r="E908" s="19"/>
      <c r="F908" s="22"/>
      <c r="G908" s="23"/>
      <c r="H908" s="24"/>
      <c r="I908" s="23"/>
      <c r="J908" s="23"/>
      <c r="K908" s="32"/>
      <c r="L908" s="33"/>
      <c r="M908" s="34"/>
      <c r="N908" s="35">
        <f t="shared" si="533"/>
        <v>61803411.5</v>
      </c>
    </row>
    <row r="909" spans="1:14" s="18" customFormat="1" ht="24" hidden="1" customHeight="1" x14ac:dyDescent="0.3">
      <c r="A909" s="19"/>
      <c r="B909" s="19"/>
      <c r="C909" s="36" t="s">
        <v>86</v>
      </c>
      <c r="D909" s="21"/>
      <c r="E909" s="19">
        <v>96</v>
      </c>
      <c r="F909" s="22">
        <v>643.29999999999995</v>
      </c>
      <c r="G909" s="23">
        <f>550+1000+1070+250</f>
        <v>2870</v>
      </c>
      <c r="H909" s="24">
        <f t="shared" ref="H909" si="536">F909*G909</f>
        <v>1846270.9999999998</v>
      </c>
      <c r="I909" s="23">
        <v>0</v>
      </c>
      <c r="J909" s="23">
        <f t="shared" ref="J909" si="537">SUM(H909:I909)</f>
        <v>1846270.9999999998</v>
      </c>
      <c r="K909" s="32"/>
      <c r="L909" s="33"/>
      <c r="M909" s="34"/>
      <c r="N909" s="35">
        <f t="shared" si="533"/>
        <v>63649682.5</v>
      </c>
    </row>
    <row r="910" spans="1:14" s="18" customFormat="1" ht="24" hidden="1" customHeight="1" x14ac:dyDescent="0.3">
      <c r="A910" s="19"/>
      <c r="B910" s="19">
        <v>13</v>
      </c>
      <c r="C910" s="39" t="s">
        <v>327</v>
      </c>
      <c r="D910" s="37"/>
      <c r="E910" s="19"/>
      <c r="F910" s="22"/>
      <c r="G910" s="23"/>
      <c r="H910" s="24"/>
      <c r="I910" s="23"/>
      <c r="J910" s="23"/>
      <c r="K910" s="32"/>
      <c r="L910" s="33"/>
      <c r="M910" s="34"/>
      <c r="N910" s="35">
        <f t="shared" si="533"/>
        <v>63649682.5</v>
      </c>
    </row>
    <row r="911" spans="1:14" s="18" customFormat="1" ht="24" hidden="1" customHeight="1" x14ac:dyDescent="0.3">
      <c r="A911" s="19"/>
      <c r="B911" s="19"/>
      <c r="C911" s="39" t="s">
        <v>222</v>
      </c>
      <c r="D911" s="37"/>
      <c r="E911" s="19"/>
      <c r="F911" s="22"/>
      <c r="G911" s="23"/>
      <c r="H911" s="24">
        <v>234000</v>
      </c>
      <c r="I911" s="23">
        <f>H911*0.1</f>
        <v>23400</v>
      </c>
      <c r="J911" s="23">
        <f>SUM(H911:I911)</f>
        <v>257400</v>
      </c>
      <c r="K911" s="32"/>
      <c r="L911" s="33"/>
      <c r="M911" s="34"/>
      <c r="N911" s="35">
        <f t="shared" si="533"/>
        <v>63907082.5</v>
      </c>
    </row>
    <row r="912" spans="1:14" s="18" customFormat="1" ht="24" hidden="1" customHeight="1" x14ac:dyDescent="0.3">
      <c r="A912" s="19"/>
      <c r="B912" s="19">
        <v>13</v>
      </c>
      <c r="C912" s="29" t="s">
        <v>346</v>
      </c>
      <c r="D912" s="21"/>
      <c r="E912" s="19"/>
      <c r="F912" s="22"/>
      <c r="G912" s="23"/>
      <c r="H912" s="24"/>
      <c r="I912" s="23"/>
      <c r="J912" s="23"/>
      <c r="K912" s="32"/>
      <c r="L912" s="33"/>
      <c r="M912" s="34"/>
      <c r="N912" s="35">
        <f t="shared" si="533"/>
        <v>63907082.5</v>
      </c>
    </row>
    <row r="913" spans="1:14" s="18" customFormat="1" ht="24" hidden="1" customHeight="1" x14ac:dyDescent="0.3">
      <c r="A913" s="19"/>
      <c r="B913" s="19"/>
      <c r="C913" s="36" t="s">
        <v>347</v>
      </c>
      <c r="D913" s="21"/>
      <c r="E913" s="19">
        <v>248</v>
      </c>
      <c r="F913" s="22">
        <v>2308.1999999999998</v>
      </c>
      <c r="G913" s="23">
        <f>2200+550+1070+250</f>
        <v>4070</v>
      </c>
      <c r="H913" s="24">
        <f t="shared" ref="H913" si="538">F913*G913</f>
        <v>9394374</v>
      </c>
      <c r="I913" s="23">
        <v>0</v>
      </c>
      <c r="J913" s="23">
        <f t="shared" ref="J913" si="539">SUM(H913:I913)</f>
        <v>9394374</v>
      </c>
      <c r="K913" s="32"/>
      <c r="L913" s="33"/>
      <c r="M913" s="34"/>
      <c r="N913" s="35">
        <f t="shared" si="533"/>
        <v>73301456.5</v>
      </c>
    </row>
    <row r="914" spans="1:14" s="18" customFormat="1" ht="24" hidden="1" customHeight="1" x14ac:dyDescent="0.3">
      <c r="A914" s="19"/>
      <c r="B914" s="19">
        <v>13</v>
      </c>
      <c r="C914" s="29" t="s">
        <v>348</v>
      </c>
      <c r="D914" s="21"/>
      <c r="E914" s="19"/>
      <c r="F914" s="22"/>
      <c r="G914" s="23"/>
      <c r="H914" s="24"/>
      <c r="I914" s="23"/>
      <c r="J914" s="23"/>
      <c r="K914" s="32"/>
      <c r="L914" s="33"/>
      <c r="M914" s="34"/>
      <c r="N914" s="35">
        <f t="shared" si="533"/>
        <v>73301456.5</v>
      </c>
    </row>
    <row r="915" spans="1:14" s="18" customFormat="1" ht="24" hidden="1" customHeight="1" x14ac:dyDescent="0.3">
      <c r="A915" s="19"/>
      <c r="B915" s="19"/>
      <c r="C915" s="36" t="s">
        <v>347</v>
      </c>
      <c r="D915" s="21"/>
      <c r="E915" s="19">
        <v>361</v>
      </c>
      <c r="F915" s="22">
        <v>3600.8</v>
      </c>
      <c r="G915" s="23">
        <f>2200+550+1070+250</f>
        <v>4070</v>
      </c>
      <c r="H915" s="24">
        <f t="shared" ref="H915" si="540">F915*G915</f>
        <v>14655256</v>
      </c>
      <c r="I915" s="23">
        <v>0</v>
      </c>
      <c r="J915" s="23">
        <f t="shared" ref="J915" si="541">SUM(H915:I915)</f>
        <v>14655256</v>
      </c>
      <c r="K915" s="32"/>
      <c r="L915" s="33"/>
      <c r="M915" s="34"/>
      <c r="N915" s="35">
        <f t="shared" si="533"/>
        <v>87956712.5</v>
      </c>
    </row>
    <row r="916" spans="1:14" s="18" customFormat="1" ht="24" hidden="1" customHeight="1" x14ac:dyDescent="0.3">
      <c r="A916" s="19"/>
      <c r="B916" s="19">
        <v>13</v>
      </c>
      <c r="C916" s="39" t="s">
        <v>349</v>
      </c>
      <c r="D916" s="21"/>
      <c r="E916" s="19"/>
      <c r="F916" s="22"/>
      <c r="G916" s="23"/>
      <c r="H916" s="24"/>
      <c r="I916" s="23"/>
      <c r="J916" s="23"/>
      <c r="K916" s="32"/>
      <c r="L916" s="33"/>
      <c r="M916" s="34"/>
      <c r="N916" s="35">
        <f t="shared" si="533"/>
        <v>87956712.5</v>
      </c>
    </row>
    <row r="917" spans="1:14" s="18" customFormat="1" ht="24" hidden="1" customHeight="1" x14ac:dyDescent="0.3">
      <c r="A917" s="19"/>
      <c r="B917" s="19"/>
      <c r="C917" s="36" t="s">
        <v>350</v>
      </c>
      <c r="D917" s="21"/>
      <c r="E917" s="19">
        <v>70</v>
      </c>
      <c r="F917" s="22">
        <v>878.6</v>
      </c>
      <c r="G917" s="23">
        <f>2200+1000+1070+250+330</f>
        <v>4850</v>
      </c>
      <c r="H917" s="24">
        <f t="shared" ref="H917:H919" si="542">F917*G917</f>
        <v>4261210</v>
      </c>
      <c r="I917" s="23">
        <v>0</v>
      </c>
      <c r="J917" s="23">
        <f t="shared" ref="J917:J918" si="543">SUM(H917:I917)</f>
        <v>4261210</v>
      </c>
      <c r="K917" s="32"/>
      <c r="L917" s="33"/>
      <c r="M917" s="34"/>
      <c r="N917" s="35">
        <f t="shared" si="533"/>
        <v>92217922.5</v>
      </c>
    </row>
    <row r="918" spans="1:14" s="18" customFormat="1" ht="24" hidden="1" customHeight="1" x14ac:dyDescent="0.3">
      <c r="A918" s="19"/>
      <c r="B918" s="19"/>
      <c r="C918" s="36" t="s">
        <v>351</v>
      </c>
      <c r="D918" s="21"/>
      <c r="E918" s="19">
        <v>130</v>
      </c>
      <c r="F918" s="22">
        <v>641.6</v>
      </c>
      <c r="G918" s="23">
        <f>2200+2200+550+1070+1070+250+250+330+330</f>
        <v>8250</v>
      </c>
      <c r="H918" s="24">
        <f t="shared" si="542"/>
        <v>5293200</v>
      </c>
      <c r="I918" s="23">
        <v>0</v>
      </c>
      <c r="J918" s="23">
        <f t="shared" si="543"/>
        <v>5293200</v>
      </c>
      <c r="K918" s="32"/>
      <c r="L918" s="33"/>
      <c r="M918" s="34"/>
      <c r="N918" s="35">
        <f t="shared" si="533"/>
        <v>97511122.5</v>
      </c>
    </row>
    <row r="919" spans="1:14" s="18" customFormat="1" ht="24" hidden="1" customHeight="1" x14ac:dyDescent="0.3">
      <c r="A919" s="19"/>
      <c r="B919" s="19"/>
      <c r="C919" s="36" t="s">
        <v>352</v>
      </c>
      <c r="D919" s="21"/>
      <c r="E919" s="19">
        <v>28</v>
      </c>
      <c r="F919" s="22">
        <v>84</v>
      </c>
      <c r="G919" s="23">
        <f>2200+2200+550+1070+1070+250+250+330+330-700-700</f>
        <v>6850</v>
      </c>
      <c r="H919" s="24">
        <f t="shared" si="542"/>
        <v>575400</v>
      </c>
      <c r="I919" s="23">
        <v>0</v>
      </c>
      <c r="J919" s="23">
        <f t="shared" ref="J919" si="544">SUM(H919:I919)</f>
        <v>575400</v>
      </c>
      <c r="K919" s="32"/>
      <c r="L919" s="33"/>
      <c r="M919" s="34"/>
      <c r="N919" s="35">
        <f t="shared" si="533"/>
        <v>98086522.5</v>
      </c>
    </row>
    <row r="920" spans="1:14" s="18" customFormat="1" ht="24" hidden="1" customHeight="1" x14ac:dyDescent="0.3">
      <c r="A920" s="19"/>
      <c r="B920" s="19">
        <v>14</v>
      </c>
      <c r="C920" s="39" t="s">
        <v>327</v>
      </c>
      <c r="D920" s="37"/>
      <c r="E920" s="19"/>
      <c r="F920" s="22"/>
      <c r="G920" s="23"/>
      <c r="H920" s="24"/>
      <c r="I920" s="23"/>
      <c r="J920" s="23"/>
      <c r="K920" s="32"/>
      <c r="L920" s="33"/>
      <c r="M920" s="34"/>
      <c r="N920" s="35">
        <f t="shared" si="533"/>
        <v>98086522.5</v>
      </c>
    </row>
    <row r="921" spans="1:14" s="18" customFormat="1" ht="24" hidden="1" customHeight="1" x14ac:dyDescent="0.3">
      <c r="A921" s="19"/>
      <c r="B921" s="19"/>
      <c r="C921" s="36" t="s">
        <v>86</v>
      </c>
      <c r="D921" s="21"/>
      <c r="E921" s="19">
        <v>5</v>
      </c>
      <c r="F921" s="22">
        <v>42.3</v>
      </c>
      <c r="G921" s="23">
        <f>550+1000+1070+250</f>
        <v>2870</v>
      </c>
      <c r="H921" s="24">
        <f t="shared" ref="H921" si="545">F921*G921</f>
        <v>121400.99999999999</v>
      </c>
      <c r="I921" s="23">
        <v>0</v>
      </c>
      <c r="J921" s="23">
        <f t="shared" ref="J921" si="546">SUM(H921:I921)</f>
        <v>121400.99999999999</v>
      </c>
      <c r="K921" s="32"/>
      <c r="L921" s="33"/>
      <c r="M921" s="34"/>
      <c r="N921" s="35">
        <f t="shared" si="533"/>
        <v>98207923.5</v>
      </c>
    </row>
    <row r="922" spans="1:14" s="18" customFormat="1" ht="24" hidden="1" customHeight="1" x14ac:dyDescent="0.3">
      <c r="A922" s="19"/>
      <c r="B922" s="19">
        <v>14</v>
      </c>
      <c r="C922" s="29" t="s">
        <v>254</v>
      </c>
      <c r="D922" s="21"/>
      <c r="E922" s="19"/>
      <c r="F922" s="22"/>
      <c r="G922" s="23"/>
      <c r="H922" s="24"/>
      <c r="I922" s="23"/>
      <c r="J922" s="23"/>
      <c r="K922" s="32"/>
      <c r="L922" s="33"/>
      <c r="M922" s="34"/>
      <c r="N922" s="35">
        <f t="shared" si="533"/>
        <v>98207923.5</v>
      </c>
    </row>
    <row r="923" spans="1:14" s="18" customFormat="1" ht="24" hidden="1" customHeight="1" x14ac:dyDescent="0.3">
      <c r="A923" s="19"/>
      <c r="B923" s="19"/>
      <c r="C923" s="36" t="s">
        <v>353</v>
      </c>
      <c r="D923" s="37"/>
      <c r="E923" s="19">
        <v>18</v>
      </c>
      <c r="F923" s="22">
        <v>138.6</v>
      </c>
      <c r="G923" s="23">
        <f>2200+2200+550+1070+1070+250+250+330+330</f>
        <v>8250</v>
      </c>
      <c r="H923" s="24">
        <f t="shared" ref="H923:H924" si="547">F923*G923</f>
        <v>1143450</v>
      </c>
      <c r="I923" s="23">
        <v>0</v>
      </c>
      <c r="J923" s="23">
        <f t="shared" ref="J923:J924" si="548">SUM(H923:I923)</f>
        <v>1143450</v>
      </c>
      <c r="K923" s="32"/>
      <c r="L923" s="33"/>
      <c r="M923" s="34"/>
      <c r="N923" s="35">
        <f t="shared" si="533"/>
        <v>99351373.5</v>
      </c>
    </row>
    <row r="924" spans="1:14" s="18" customFormat="1" ht="24" hidden="1" customHeight="1" x14ac:dyDescent="0.3">
      <c r="A924" s="19"/>
      <c r="B924" s="19"/>
      <c r="C924" s="36" t="s">
        <v>23</v>
      </c>
      <c r="D924" s="21"/>
      <c r="E924" s="19">
        <v>132</v>
      </c>
      <c r="F924" s="22">
        <v>1116.7</v>
      </c>
      <c r="G924" s="23">
        <f>2200+550+1070+250+330</f>
        <v>4400</v>
      </c>
      <c r="H924" s="24">
        <f t="shared" si="547"/>
        <v>4913480</v>
      </c>
      <c r="I924" s="23">
        <v>0</v>
      </c>
      <c r="J924" s="23">
        <f t="shared" si="548"/>
        <v>4913480</v>
      </c>
      <c r="K924" s="32"/>
      <c r="L924" s="33"/>
      <c r="M924" s="34"/>
      <c r="N924" s="35">
        <f t="shared" si="533"/>
        <v>104264853.5</v>
      </c>
    </row>
    <row r="925" spans="1:14" s="18" customFormat="1" ht="24" hidden="1" customHeight="1" x14ac:dyDescent="0.3">
      <c r="A925" s="19"/>
      <c r="B925" s="19">
        <v>14</v>
      </c>
      <c r="C925" s="29" t="s">
        <v>354</v>
      </c>
      <c r="D925" s="21"/>
      <c r="E925" s="19"/>
      <c r="F925" s="22"/>
      <c r="G925" s="23"/>
      <c r="H925" s="24"/>
      <c r="I925" s="23"/>
      <c r="J925" s="23"/>
      <c r="K925" s="32"/>
      <c r="L925" s="33"/>
      <c r="M925" s="34"/>
      <c r="N925" s="35">
        <f t="shared" si="533"/>
        <v>104264853.5</v>
      </c>
    </row>
    <row r="926" spans="1:14" s="18" customFormat="1" ht="24" hidden="1" customHeight="1" x14ac:dyDescent="0.3">
      <c r="A926" s="19"/>
      <c r="B926" s="19"/>
      <c r="C926" s="36" t="s">
        <v>355</v>
      </c>
      <c r="D926" s="21"/>
      <c r="E926" s="19">
        <v>208</v>
      </c>
      <c r="F926" s="22">
        <v>5871.2</v>
      </c>
      <c r="G926" s="23">
        <f>1400+700+1200+2200+1070+1070+250+250</f>
        <v>8140</v>
      </c>
      <c r="H926" s="24">
        <f t="shared" ref="H926" si="549">F926*G926</f>
        <v>47791568</v>
      </c>
      <c r="I926" s="23">
        <v>0</v>
      </c>
      <c r="J926" s="23">
        <f t="shared" ref="J926" si="550">SUM(H926:I926)</f>
        <v>47791568</v>
      </c>
      <c r="K926" s="32"/>
      <c r="L926" s="33"/>
      <c r="M926" s="34"/>
      <c r="N926" s="35">
        <f t="shared" si="533"/>
        <v>152056421.5</v>
      </c>
    </row>
    <row r="927" spans="1:14" s="18" customFormat="1" ht="24" hidden="1" customHeight="1" x14ac:dyDescent="0.3">
      <c r="A927" s="19"/>
      <c r="B927" s="19">
        <v>14</v>
      </c>
      <c r="C927" s="29" t="s">
        <v>356</v>
      </c>
      <c r="D927" s="21"/>
      <c r="E927" s="19"/>
      <c r="F927" s="22"/>
      <c r="G927" s="23"/>
      <c r="H927" s="24"/>
      <c r="I927" s="23"/>
      <c r="J927" s="23"/>
      <c r="K927" s="32"/>
      <c r="L927" s="33"/>
      <c r="M927" s="34"/>
      <c r="N927" s="35">
        <f t="shared" si="533"/>
        <v>152056421.5</v>
      </c>
    </row>
    <row r="928" spans="1:14" s="18" customFormat="1" ht="24" hidden="1" customHeight="1" x14ac:dyDescent="0.3">
      <c r="A928" s="19"/>
      <c r="B928" s="19"/>
      <c r="C928" s="39" t="s">
        <v>222</v>
      </c>
      <c r="D928" s="21"/>
      <c r="E928" s="19"/>
      <c r="F928" s="22"/>
      <c r="G928" s="23"/>
      <c r="H928" s="24">
        <v>252000</v>
      </c>
      <c r="I928" s="23">
        <f>H928*0.1</f>
        <v>25200</v>
      </c>
      <c r="J928" s="23">
        <f>SUM(H928:I928)</f>
        <v>277200</v>
      </c>
      <c r="K928" s="32"/>
      <c r="L928" s="33"/>
      <c r="M928" s="34"/>
      <c r="N928" s="35">
        <f t="shared" si="533"/>
        <v>152333621.5</v>
      </c>
    </row>
    <row r="929" spans="1:14" s="18" customFormat="1" ht="24" hidden="1" customHeight="1" x14ac:dyDescent="0.3">
      <c r="A929" s="19"/>
      <c r="B929" s="19">
        <v>15</v>
      </c>
      <c r="C929" s="39" t="s">
        <v>184</v>
      </c>
      <c r="D929" s="21"/>
      <c r="E929" s="19"/>
      <c r="F929" s="22"/>
      <c r="G929" s="23"/>
      <c r="H929" s="24"/>
      <c r="I929" s="23"/>
      <c r="J929" s="23"/>
      <c r="K929" s="32"/>
      <c r="L929" s="33"/>
      <c r="M929" s="34"/>
      <c r="N929" s="35">
        <f t="shared" si="533"/>
        <v>152333621.5</v>
      </c>
    </row>
    <row r="930" spans="1:14" s="18" customFormat="1" ht="24" hidden="1" customHeight="1" x14ac:dyDescent="0.3">
      <c r="A930" s="19"/>
      <c r="B930" s="19"/>
      <c r="C930" s="36" t="s">
        <v>139</v>
      </c>
      <c r="D930" s="21"/>
      <c r="E930" s="19">
        <v>2</v>
      </c>
      <c r="F930" s="22">
        <v>19.5</v>
      </c>
      <c r="G930" s="23">
        <f>2200+550+1070+250+330</f>
        <v>4400</v>
      </c>
      <c r="H930" s="24">
        <f t="shared" ref="H930" si="551">F930*G930</f>
        <v>85800</v>
      </c>
      <c r="I930" s="23">
        <v>0</v>
      </c>
      <c r="J930" s="23">
        <f t="shared" ref="J930" si="552">SUM(H930:I930)</f>
        <v>85800</v>
      </c>
      <c r="K930" s="32"/>
      <c r="L930" s="33"/>
      <c r="M930" s="34"/>
      <c r="N930" s="35">
        <f t="shared" si="533"/>
        <v>152419421.5</v>
      </c>
    </row>
    <row r="931" spans="1:14" s="18" customFormat="1" ht="24" hidden="1" customHeight="1" x14ac:dyDescent="0.3">
      <c r="A931" s="19"/>
      <c r="B931" s="19">
        <v>15</v>
      </c>
      <c r="C931" s="29" t="s">
        <v>339</v>
      </c>
      <c r="D931" s="37"/>
      <c r="E931" s="19"/>
      <c r="F931" s="22"/>
      <c r="G931" s="23"/>
      <c r="H931" s="24"/>
      <c r="I931" s="23"/>
      <c r="J931" s="23"/>
      <c r="K931" s="32"/>
      <c r="L931" s="33"/>
      <c r="M931" s="34"/>
      <c r="N931" s="35">
        <f t="shared" si="533"/>
        <v>152419421.5</v>
      </c>
    </row>
    <row r="932" spans="1:14" s="18" customFormat="1" ht="24" hidden="1" customHeight="1" x14ac:dyDescent="0.3">
      <c r="A932" s="19"/>
      <c r="B932" s="19"/>
      <c r="C932" s="36" t="s">
        <v>23</v>
      </c>
      <c r="D932" s="21"/>
      <c r="E932" s="19">
        <v>6</v>
      </c>
      <c r="F932" s="22">
        <v>60.5</v>
      </c>
      <c r="G932" s="23">
        <f>2200+550+1070+250+330</f>
        <v>4400</v>
      </c>
      <c r="H932" s="24">
        <f t="shared" ref="H932" si="553">F932*G932</f>
        <v>266200</v>
      </c>
      <c r="I932" s="23">
        <v>0</v>
      </c>
      <c r="J932" s="23">
        <f t="shared" ref="J932" si="554">SUM(H932:I932)</f>
        <v>266200</v>
      </c>
      <c r="K932" s="32"/>
      <c r="L932" s="33"/>
      <c r="M932" s="34"/>
      <c r="N932" s="35">
        <f t="shared" si="533"/>
        <v>152685621.5</v>
      </c>
    </row>
    <row r="933" spans="1:14" s="18" customFormat="1" ht="24" hidden="1" customHeight="1" x14ac:dyDescent="0.3">
      <c r="A933" s="19"/>
      <c r="B933" s="19">
        <v>15</v>
      </c>
      <c r="C933" s="29" t="s">
        <v>254</v>
      </c>
      <c r="D933" s="37"/>
      <c r="E933" s="19"/>
      <c r="F933" s="22"/>
      <c r="G933" s="23"/>
      <c r="H933" s="24"/>
      <c r="I933" s="23"/>
      <c r="J933" s="23"/>
      <c r="K933" s="32"/>
      <c r="L933" s="33"/>
      <c r="M933" s="34"/>
      <c r="N933" s="35">
        <f t="shared" si="533"/>
        <v>152685621.5</v>
      </c>
    </row>
    <row r="934" spans="1:14" s="18" customFormat="1" ht="24" hidden="1" customHeight="1" x14ac:dyDescent="0.3">
      <c r="A934" s="19"/>
      <c r="B934" s="19"/>
      <c r="C934" s="39" t="s">
        <v>105</v>
      </c>
      <c r="D934" s="21"/>
      <c r="E934" s="19"/>
      <c r="F934" s="22"/>
      <c r="G934" s="23"/>
      <c r="H934" s="24">
        <v>108000</v>
      </c>
      <c r="I934" s="23">
        <f>H934*0.1</f>
        <v>10800</v>
      </c>
      <c r="J934" s="23">
        <f>SUM(H934:I934)</f>
        <v>118800</v>
      </c>
      <c r="K934" s="32"/>
      <c r="L934" s="33"/>
      <c r="M934" s="34"/>
      <c r="N934" s="38">
        <f t="shared" si="533"/>
        <v>152804421.5</v>
      </c>
    </row>
    <row r="935" spans="1:14" s="18" customFormat="1" ht="24" hidden="1" customHeight="1" x14ac:dyDescent="0.3">
      <c r="A935" s="19"/>
      <c r="B935" s="19">
        <v>19</v>
      </c>
      <c r="C935" s="29" t="s">
        <v>340</v>
      </c>
      <c r="D935" s="21"/>
      <c r="E935" s="19"/>
      <c r="F935" s="22"/>
      <c r="G935" s="23"/>
      <c r="H935" s="24"/>
      <c r="I935" s="23"/>
      <c r="J935" s="23"/>
      <c r="K935" s="32"/>
      <c r="L935" s="33"/>
      <c r="M935" s="34"/>
      <c r="N935" s="38">
        <f t="shared" si="533"/>
        <v>152804421.5</v>
      </c>
    </row>
    <row r="936" spans="1:14" s="18" customFormat="1" ht="24" hidden="1" customHeight="1" x14ac:dyDescent="0.3">
      <c r="A936" s="19"/>
      <c r="B936" s="19"/>
      <c r="C936" s="36" t="s">
        <v>48</v>
      </c>
      <c r="D936" s="21"/>
      <c r="E936" s="19">
        <v>3</v>
      </c>
      <c r="F936" s="22">
        <v>23.3</v>
      </c>
      <c r="G936" s="23">
        <f>2200+550+1070+250</f>
        <v>4070</v>
      </c>
      <c r="H936" s="24">
        <f t="shared" ref="H936" si="555">F936*G936</f>
        <v>94831</v>
      </c>
      <c r="I936" s="23">
        <v>0</v>
      </c>
      <c r="J936" s="23">
        <f t="shared" ref="J936" si="556">SUM(H936:I936)</f>
        <v>94831</v>
      </c>
      <c r="K936" s="32"/>
      <c r="L936" s="33"/>
      <c r="M936" s="34"/>
      <c r="N936" s="38">
        <f t="shared" si="533"/>
        <v>152899252.5</v>
      </c>
    </row>
    <row r="937" spans="1:14" s="2" customFormat="1" ht="27" hidden="1" customHeight="1" thickBot="1" x14ac:dyDescent="0.35">
      <c r="A937" s="1"/>
      <c r="B937" s="1"/>
      <c r="C937" s="1"/>
      <c r="E937" s="86" t="s">
        <v>0</v>
      </c>
      <c r="F937" s="86"/>
      <c r="G937" s="86"/>
      <c r="H937" s="86"/>
      <c r="I937" s="86"/>
      <c r="J937" s="86"/>
      <c r="K937" s="1"/>
      <c r="L937" s="3"/>
      <c r="M937" s="3"/>
      <c r="N937" s="1"/>
    </row>
    <row r="938" spans="1:14" s="2" customFormat="1" ht="24" hidden="1" customHeight="1" thickTop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3"/>
      <c r="M938" s="3"/>
      <c r="N938" s="1"/>
    </row>
    <row r="939" spans="1:14" s="2" customFormat="1" ht="24" hidden="1" customHeight="1" thickBot="1" x14ac:dyDescent="0.35">
      <c r="A939" s="2" t="s">
        <v>1</v>
      </c>
      <c r="C939" s="4"/>
      <c r="D939" s="4"/>
      <c r="E939" s="5"/>
      <c r="F939" s="6"/>
      <c r="G939" s="7"/>
      <c r="H939" s="7"/>
      <c r="I939" s="7"/>
      <c r="J939" s="8"/>
      <c r="K939" s="9"/>
      <c r="L939" s="10"/>
      <c r="M939" s="11"/>
      <c r="N939" s="12" t="s">
        <v>2</v>
      </c>
    </row>
    <row r="940" spans="1:14" s="18" customFormat="1" ht="24" hidden="1" customHeight="1" thickTop="1" thickBot="1" x14ac:dyDescent="0.35">
      <c r="A940" s="13" t="s">
        <v>3</v>
      </c>
      <c r="B940" s="13" t="s">
        <v>4</v>
      </c>
      <c r="C940" s="87" t="s">
        <v>5</v>
      </c>
      <c r="D940" s="88"/>
      <c r="E940" s="13" t="s">
        <v>6</v>
      </c>
      <c r="F940" s="14" t="s">
        <v>7</v>
      </c>
      <c r="G940" s="15" t="s">
        <v>8</v>
      </c>
      <c r="H940" s="15" t="s">
        <v>9</v>
      </c>
      <c r="I940" s="15" t="s">
        <v>10</v>
      </c>
      <c r="J940" s="15" t="s">
        <v>11</v>
      </c>
      <c r="K940" s="16" t="s">
        <v>12</v>
      </c>
      <c r="L940" s="89" t="s">
        <v>13</v>
      </c>
      <c r="M940" s="90"/>
      <c r="N940" s="17" t="s">
        <v>14</v>
      </c>
    </row>
    <row r="941" spans="1:14" s="18" customFormat="1" ht="24" hidden="1" customHeight="1" thickTop="1" x14ac:dyDescent="0.3">
      <c r="A941" s="41"/>
      <c r="B941" s="41"/>
      <c r="C941" s="70" t="s">
        <v>41</v>
      </c>
      <c r="D941" s="40"/>
      <c r="E941" s="41"/>
      <c r="F941" s="42"/>
      <c r="G941" s="43"/>
      <c r="H941" s="44"/>
      <c r="I941" s="43"/>
      <c r="J941" s="43"/>
      <c r="K941" s="25"/>
      <c r="L941" s="26"/>
      <c r="M941" s="27"/>
      <c r="N941" s="28">
        <f>N936</f>
        <v>152899252.5</v>
      </c>
    </row>
    <row r="942" spans="1:14" s="18" customFormat="1" ht="24" hidden="1" customHeight="1" x14ac:dyDescent="0.3">
      <c r="A942" s="19">
        <v>5</v>
      </c>
      <c r="B942" s="19">
        <v>19</v>
      </c>
      <c r="C942" s="29" t="s">
        <v>357</v>
      </c>
      <c r="D942" s="21"/>
      <c r="E942" s="19"/>
      <c r="F942" s="22"/>
      <c r="G942" s="23"/>
      <c r="H942" s="24"/>
      <c r="I942" s="23"/>
      <c r="J942" s="23"/>
      <c r="K942" s="32"/>
      <c r="L942" s="33"/>
      <c r="M942" s="34"/>
      <c r="N942" s="35">
        <f>N941+J942+K942</f>
        <v>152899252.5</v>
      </c>
    </row>
    <row r="943" spans="1:14" s="18" customFormat="1" ht="24" hidden="1" customHeight="1" x14ac:dyDescent="0.3">
      <c r="A943" s="19"/>
      <c r="B943" s="19"/>
      <c r="C943" s="39" t="s">
        <v>358</v>
      </c>
      <c r="D943" s="37"/>
      <c r="E943" s="19">
        <v>18</v>
      </c>
      <c r="F943" s="22">
        <v>342.9</v>
      </c>
      <c r="G943" s="23">
        <v>1160</v>
      </c>
      <c r="H943" s="24">
        <f t="shared" ref="H943" si="557">F943*G943</f>
        <v>397764</v>
      </c>
      <c r="I943" s="23">
        <v>0</v>
      </c>
      <c r="J943" s="23">
        <f t="shared" ref="J943" si="558">SUM(H943:I943)</f>
        <v>397764</v>
      </c>
      <c r="K943" s="32"/>
      <c r="L943" s="33"/>
      <c r="M943" s="34"/>
      <c r="N943" s="35">
        <f>N942+J943+K943</f>
        <v>153297016.5</v>
      </c>
    </row>
    <row r="944" spans="1:14" s="18" customFormat="1" ht="24" hidden="1" customHeight="1" x14ac:dyDescent="0.3">
      <c r="A944" s="19"/>
      <c r="B944" s="19">
        <v>19</v>
      </c>
      <c r="C944" s="39" t="s">
        <v>359</v>
      </c>
      <c r="D944" s="21"/>
      <c r="E944" s="19"/>
      <c r="F944" s="22"/>
      <c r="G944" s="23"/>
      <c r="H944" s="24"/>
      <c r="I944" s="23"/>
      <c r="J944" s="23"/>
      <c r="K944" s="32"/>
      <c r="L944" s="33"/>
      <c r="M944" s="34"/>
      <c r="N944" s="35">
        <f t="shared" ref="N944:N975" si="559">N943+J944+K944</f>
        <v>153297016.5</v>
      </c>
    </row>
    <row r="945" spans="1:14" s="18" customFormat="1" ht="24" hidden="1" customHeight="1" x14ac:dyDescent="0.3">
      <c r="A945" s="19"/>
      <c r="B945" s="19"/>
      <c r="C945" s="36" t="s">
        <v>23</v>
      </c>
      <c r="D945" s="21"/>
      <c r="E945" s="19">
        <v>40</v>
      </c>
      <c r="F945" s="22">
        <v>312.3</v>
      </c>
      <c r="G945" s="23">
        <f>2200+550+1070+250+330</f>
        <v>4400</v>
      </c>
      <c r="H945" s="24">
        <f t="shared" ref="H945:H948" si="560">F945*G945</f>
        <v>1374120</v>
      </c>
      <c r="I945" s="23">
        <v>0</v>
      </c>
      <c r="J945" s="23">
        <f t="shared" ref="J945:J948" si="561">SUM(H945:I945)</f>
        <v>1374120</v>
      </c>
      <c r="K945" s="32"/>
      <c r="L945" s="33"/>
      <c r="M945" s="34"/>
      <c r="N945" s="35">
        <f t="shared" si="559"/>
        <v>154671136.5</v>
      </c>
    </row>
    <row r="946" spans="1:14" s="18" customFormat="1" ht="24" hidden="1" customHeight="1" x14ac:dyDescent="0.3">
      <c r="A946" s="19"/>
      <c r="B946" s="19"/>
      <c r="C946" s="36" t="s">
        <v>353</v>
      </c>
      <c r="D946" s="21"/>
      <c r="E946" s="19">
        <v>4</v>
      </c>
      <c r="F946" s="22">
        <v>47.5</v>
      </c>
      <c r="G946" s="23">
        <f>2200+2200+550+1070+1070+250+250+330+330</f>
        <v>8250</v>
      </c>
      <c r="H946" s="24">
        <f t="shared" si="560"/>
        <v>391875</v>
      </c>
      <c r="I946" s="23">
        <v>0</v>
      </c>
      <c r="J946" s="23">
        <f t="shared" si="561"/>
        <v>391875</v>
      </c>
      <c r="K946" s="32"/>
      <c r="L946" s="33"/>
      <c r="M946" s="34"/>
      <c r="N946" s="35">
        <f t="shared" si="559"/>
        <v>155063011.5</v>
      </c>
    </row>
    <row r="947" spans="1:14" s="18" customFormat="1" ht="24" hidden="1" customHeight="1" x14ac:dyDescent="0.3">
      <c r="A947" s="19"/>
      <c r="B947" s="19"/>
      <c r="C947" s="39" t="s">
        <v>46</v>
      </c>
      <c r="D947" s="37"/>
      <c r="E947" s="19">
        <v>9</v>
      </c>
      <c r="F947" s="22">
        <v>66.7</v>
      </c>
      <c r="G947" s="23">
        <v>2040</v>
      </c>
      <c r="H947" s="24">
        <f t="shared" si="560"/>
        <v>136068</v>
      </c>
      <c r="I947" s="23">
        <v>0</v>
      </c>
      <c r="J947" s="23">
        <f t="shared" si="561"/>
        <v>136068</v>
      </c>
      <c r="K947" s="32"/>
      <c r="L947" s="33"/>
      <c r="M947" s="34"/>
      <c r="N947" s="35">
        <f t="shared" si="559"/>
        <v>155199079.5</v>
      </c>
    </row>
    <row r="948" spans="1:14" s="18" customFormat="1" ht="24" hidden="1" customHeight="1" x14ac:dyDescent="0.3">
      <c r="A948" s="19"/>
      <c r="B948" s="19"/>
      <c r="C948" s="39" t="s">
        <v>36</v>
      </c>
      <c r="D948" s="37"/>
      <c r="E948" s="19">
        <v>12</v>
      </c>
      <c r="F948" s="22">
        <v>339.3</v>
      </c>
      <c r="G948" s="23">
        <v>3050</v>
      </c>
      <c r="H948" s="24">
        <f t="shared" si="560"/>
        <v>1034865</v>
      </c>
      <c r="I948" s="23">
        <v>0</v>
      </c>
      <c r="J948" s="23">
        <f t="shared" si="561"/>
        <v>1034865</v>
      </c>
      <c r="K948" s="32"/>
      <c r="L948" s="33"/>
      <c r="M948" s="34"/>
      <c r="N948" s="35">
        <f t="shared" si="559"/>
        <v>156233944.5</v>
      </c>
    </row>
    <row r="949" spans="1:14" s="18" customFormat="1" ht="24" hidden="1" customHeight="1" x14ac:dyDescent="0.3">
      <c r="A949" s="19"/>
      <c r="B949" s="19">
        <v>19</v>
      </c>
      <c r="C949" s="29" t="s">
        <v>360</v>
      </c>
      <c r="D949" s="21"/>
      <c r="E949" s="19"/>
      <c r="F949" s="22"/>
      <c r="G949" s="23"/>
      <c r="H949" s="24"/>
      <c r="I949" s="23"/>
      <c r="J949" s="23"/>
      <c r="K949" s="32"/>
      <c r="L949" s="33"/>
      <c r="M949" s="34"/>
      <c r="N949" s="35">
        <f t="shared" si="559"/>
        <v>156233944.5</v>
      </c>
    </row>
    <row r="950" spans="1:14" s="18" customFormat="1" ht="24" hidden="1" customHeight="1" x14ac:dyDescent="0.3">
      <c r="A950" s="19"/>
      <c r="B950" s="19"/>
      <c r="C950" s="36" t="s">
        <v>21</v>
      </c>
      <c r="D950" s="21"/>
      <c r="E950" s="19">
        <v>204</v>
      </c>
      <c r="F950" s="22">
        <v>1580</v>
      </c>
      <c r="G950" s="23">
        <f>2200+550+1070+250+330</f>
        <v>4400</v>
      </c>
      <c r="H950" s="24">
        <f t="shared" ref="H950" si="562">F950*G950</f>
        <v>6952000</v>
      </c>
      <c r="I950" s="23">
        <v>0</v>
      </c>
      <c r="J950" s="23">
        <f t="shared" ref="J950" si="563">SUM(H950:I950)</f>
        <v>6952000</v>
      </c>
      <c r="K950" s="32"/>
      <c r="L950" s="33"/>
      <c r="M950" s="34"/>
      <c r="N950" s="35">
        <f t="shared" si="559"/>
        <v>163185944.5</v>
      </c>
    </row>
    <row r="951" spans="1:14" s="18" customFormat="1" ht="24" hidden="1" customHeight="1" x14ac:dyDescent="0.3">
      <c r="A951" s="19"/>
      <c r="B951" s="19">
        <v>19</v>
      </c>
      <c r="C951" s="29" t="s">
        <v>361</v>
      </c>
      <c r="D951" s="21"/>
      <c r="E951" s="19"/>
      <c r="F951" s="22"/>
      <c r="G951" s="23"/>
      <c r="H951" s="24"/>
      <c r="I951" s="23"/>
      <c r="J951" s="23"/>
      <c r="K951" s="32"/>
      <c r="L951" s="33"/>
      <c r="M951" s="34"/>
      <c r="N951" s="35">
        <f t="shared" si="559"/>
        <v>163185944.5</v>
      </c>
    </row>
    <row r="952" spans="1:14" s="18" customFormat="1" ht="24" hidden="1" customHeight="1" x14ac:dyDescent="0.3">
      <c r="A952" s="19"/>
      <c r="B952" s="19"/>
      <c r="C952" s="36" t="s">
        <v>86</v>
      </c>
      <c r="D952" s="21"/>
      <c r="E952" s="19">
        <v>50</v>
      </c>
      <c r="F952" s="22">
        <v>358.7</v>
      </c>
      <c r="G952" s="23">
        <f>550+1000+1070+250</f>
        <v>2870</v>
      </c>
      <c r="H952" s="24">
        <f t="shared" ref="H952" si="564">F952*G952</f>
        <v>1029469</v>
      </c>
      <c r="I952" s="23">
        <v>0</v>
      </c>
      <c r="J952" s="23">
        <f t="shared" ref="J952" si="565">SUM(H952:I952)</f>
        <v>1029469</v>
      </c>
      <c r="K952" s="32"/>
      <c r="L952" s="33"/>
      <c r="M952" s="34"/>
      <c r="N952" s="35">
        <f t="shared" si="559"/>
        <v>164215413.5</v>
      </c>
    </row>
    <row r="953" spans="1:14" s="18" customFormat="1" ht="24" hidden="1" customHeight="1" x14ac:dyDescent="0.3">
      <c r="A953" s="19"/>
      <c r="B953" s="19">
        <v>19</v>
      </c>
      <c r="C953" s="39" t="s">
        <v>362</v>
      </c>
      <c r="D953" s="21"/>
      <c r="E953" s="19"/>
      <c r="F953" s="22"/>
      <c r="G953" s="23"/>
      <c r="H953" s="24"/>
      <c r="I953" s="23"/>
      <c r="J953" s="23"/>
      <c r="K953" s="32"/>
      <c r="L953" s="33"/>
      <c r="M953" s="34"/>
      <c r="N953" s="35">
        <f t="shared" si="559"/>
        <v>164215413.5</v>
      </c>
    </row>
    <row r="954" spans="1:14" s="18" customFormat="1" ht="24" hidden="1" customHeight="1" x14ac:dyDescent="0.3">
      <c r="A954" s="19"/>
      <c r="B954" s="19"/>
      <c r="C954" s="36" t="s">
        <v>126</v>
      </c>
      <c r="D954" s="21"/>
      <c r="E954" s="19">
        <v>28</v>
      </c>
      <c r="F954" s="22">
        <v>270.10000000000002</v>
      </c>
      <c r="G954" s="23">
        <f>550+1000+980+250</f>
        <v>2780</v>
      </c>
      <c r="H954" s="24">
        <f t="shared" ref="H954:H955" si="566">F954*G954</f>
        <v>750878.00000000012</v>
      </c>
      <c r="I954" s="23">
        <v>0</v>
      </c>
      <c r="J954" s="23">
        <f t="shared" ref="J954:J955" si="567">SUM(H954:I954)</f>
        <v>750878.00000000012</v>
      </c>
      <c r="K954" s="32"/>
      <c r="L954" s="33"/>
      <c r="M954" s="34"/>
      <c r="N954" s="35">
        <f t="shared" si="559"/>
        <v>164966291.5</v>
      </c>
    </row>
    <row r="955" spans="1:14" s="18" customFormat="1" ht="24" hidden="1" customHeight="1" x14ac:dyDescent="0.3">
      <c r="A955" s="19"/>
      <c r="B955" s="19"/>
      <c r="C955" s="36" t="s">
        <v>86</v>
      </c>
      <c r="D955" s="21"/>
      <c r="E955" s="19">
        <v>4</v>
      </c>
      <c r="F955" s="22">
        <v>12</v>
      </c>
      <c r="G955" s="23">
        <f>550+1000+1070+250</f>
        <v>2870</v>
      </c>
      <c r="H955" s="24">
        <f t="shared" si="566"/>
        <v>34440</v>
      </c>
      <c r="I955" s="23">
        <v>0</v>
      </c>
      <c r="J955" s="23">
        <f t="shared" si="567"/>
        <v>34440</v>
      </c>
      <c r="K955" s="32"/>
      <c r="L955" s="33"/>
      <c r="M955" s="34"/>
      <c r="N955" s="35">
        <f t="shared" si="559"/>
        <v>165000731.5</v>
      </c>
    </row>
    <row r="956" spans="1:14" s="18" customFormat="1" ht="24" hidden="1" customHeight="1" x14ac:dyDescent="0.3">
      <c r="A956" s="19"/>
      <c r="B956" s="19">
        <v>20</v>
      </c>
      <c r="C956" s="39" t="s">
        <v>363</v>
      </c>
      <c r="D956" s="37"/>
      <c r="E956" s="19"/>
      <c r="F956" s="22"/>
      <c r="G956" s="23"/>
      <c r="H956" s="24"/>
      <c r="I956" s="23"/>
      <c r="J956" s="23"/>
      <c r="K956" s="32"/>
      <c r="L956" s="33"/>
      <c r="M956" s="34"/>
      <c r="N956" s="35">
        <f t="shared" si="559"/>
        <v>165000731.5</v>
      </c>
    </row>
    <row r="957" spans="1:14" s="18" customFormat="1" ht="24" hidden="1" customHeight="1" x14ac:dyDescent="0.3">
      <c r="A957" s="19"/>
      <c r="B957" s="19"/>
      <c r="C957" s="39" t="s">
        <v>364</v>
      </c>
      <c r="D957" s="21"/>
      <c r="E957" s="19">
        <v>22</v>
      </c>
      <c r="F957" s="22">
        <v>163.30000000000001</v>
      </c>
      <c r="G957" s="23">
        <f>900+550+980</f>
        <v>2430</v>
      </c>
      <c r="H957" s="24">
        <f t="shared" ref="H957" si="568">F957*G957</f>
        <v>396819</v>
      </c>
      <c r="I957" s="23">
        <v>0</v>
      </c>
      <c r="J957" s="23">
        <f t="shared" ref="J957" si="569">SUM(H957:I957)</f>
        <v>396819</v>
      </c>
      <c r="K957" s="32"/>
      <c r="L957" s="33"/>
      <c r="M957" s="34"/>
      <c r="N957" s="35">
        <f t="shared" si="559"/>
        <v>165397550.5</v>
      </c>
    </row>
    <row r="958" spans="1:14" s="18" customFormat="1" ht="24" hidden="1" customHeight="1" x14ac:dyDescent="0.3">
      <c r="A958" s="19"/>
      <c r="B958" s="19">
        <v>20</v>
      </c>
      <c r="C958" s="29" t="s">
        <v>341</v>
      </c>
      <c r="D958" s="21"/>
      <c r="E958" s="19"/>
      <c r="F958" s="22"/>
      <c r="G958" s="23"/>
      <c r="H958" s="24"/>
      <c r="I958" s="23"/>
      <c r="J958" s="23"/>
      <c r="K958" s="32"/>
      <c r="L958" s="33"/>
      <c r="M958" s="34"/>
      <c r="N958" s="35">
        <f t="shared" si="559"/>
        <v>165397550.5</v>
      </c>
    </row>
    <row r="959" spans="1:14" s="18" customFormat="1" ht="24" hidden="1" customHeight="1" x14ac:dyDescent="0.3">
      <c r="A959" s="19"/>
      <c r="B959" s="19"/>
      <c r="C959" s="36" t="s">
        <v>365</v>
      </c>
      <c r="D959" s="37"/>
      <c r="E959" s="19">
        <v>1</v>
      </c>
      <c r="F959" s="22">
        <v>46.3</v>
      </c>
      <c r="G959" s="23">
        <f>1200+980+4300+430</f>
        <v>6910</v>
      </c>
      <c r="H959" s="24">
        <f t="shared" ref="H959" si="570">F959*G959</f>
        <v>319933</v>
      </c>
      <c r="I959" s="23">
        <v>0</v>
      </c>
      <c r="J959" s="23">
        <f t="shared" ref="J959" si="571">SUM(H959:I959)</f>
        <v>319933</v>
      </c>
      <c r="K959" s="32"/>
      <c r="L959" s="33"/>
      <c r="M959" s="34"/>
      <c r="N959" s="35">
        <f t="shared" si="559"/>
        <v>165717483.5</v>
      </c>
    </row>
    <row r="960" spans="1:14" s="18" customFormat="1" ht="24" hidden="1" customHeight="1" x14ac:dyDescent="0.3">
      <c r="A960" s="19"/>
      <c r="B960" s="19">
        <v>20</v>
      </c>
      <c r="C960" s="29" t="s">
        <v>339</v>
      </c>
      <c r="D960" s="21"/>
      <c r="E960" s="19"/>
      <c r="F960" s="22"/>
      <c r="G960" s="23"/>
      <c r="H960" s="24"/>
      <c r="I960" s="23"/>
      <c r="J960" s="23"/>
      <c r="K960" s="32"/>
      <c r="L960" s="33"/>
      <c r="M960" s="34"/>
      <c r="N960" s="35">
        <f t="shared" si="559"/>
        <v>165717483.5</v>
      </c>
    </row>
    <row r="961" spans="1:14" s="18" customFormat="1" ht="24" hidden="1" customHeight="1" x14ac:dyDescent="0.3">
      <c r="A961" s="19"/>
      <c r="B961" s="19"/>
      <c r="C961" s="36" t="s">
        <v>178</v>
      </c>
      <c r="D961" s="21"/>
      <c r="E961" s="19">
        <v>4</v>
      </c>
      <c r="F961" s="22">
        <v>34.6</v>
      </c>
      <c r="G961" s="23">
        <v>5555</v>
      </c>
      <c r="H961" s="24">
        <f t="shared" ref="H961" si="572">F961*G961</f>
        <v>192203</v>
      </c>
      <c r="I961" s="23">
        <v>0</v>
      </c>
      <c r="J961" s="23">
        <f t="shared" ref="J961:J963" si="573">SUM(H961:I961)</f>
        <v>192203</v>
      </c>
      <c r="K961" s="32"/>
      <c r="L961" s="33"/>
      <c r="M961" s="34"/>
      <c r="N961" s="35">
        <f t="shared" si="559"/>
        <v>165909686.5</v>
      </c>
    </row>
    <row r="962" spans="1:14" s="18" customFormat="1" ht="24" hidden="1" customHeight="1" x14ac:dyDescent="0.3">
      <c r="A962" s="19"/>
      <c r="B962" s="19"/>
      <c r="C962" s="29" t="s">
        <v>266</v>
      </c>
      <c r="D962" s="21"/>
      <c r="E962" s="19">
        <v>4</v>
      </c>
      <c r="F962" s="22"/>
      <c r="G962" s="23">
        <v>17600</v>
      </c>
      <c r="H962" s="24">
        <f>E962*G962</f>
        <v>70400</v>
      </c>
      <c r="I962" s="23">
        <v>0</v>
      </c>
      <c r="J962" s="23">
        <f t="shared" si="573"/>
        <v>70400</v>
      </c>
      <c r="K962" s="32"/>
      <c r="L962" s="33"/>
      <c r="M962" s="34"/>
      <c r="N962" s="35">
        <f t="shared" si="559"/>
        <v>165980086.5</v>
      </c>
    </row>
    <row r="963" spans="1:14" s="18" customFormat="1" ht="24" hidden="1" customHeight="1" x14ac:dyDescent="0.3">
      <c r="A963" s="19"/>
      <c r="B963" s="19"/>
      <c r="C963" s="29" t="s">
        <v>266</v>
      </c>
      <c r="D963" s="21"/>
      <c r="E963" s="19">
        <v>4</v>
      </c>
      <c r="F963" s="22"/>
      <c r="G963" s="23">
        <v>28600</v>
      </c>
      <c r="H963" s="24">
        <f>E963*G963</f>
        <v>114400</v>
      </c>
      <c r="I963" s="23">
        <v>0</v>
      </c>
      <c r="J963" s="23">
        <f t="shared" si="573"/>
        <v>114400</v>
      </c>
      <c r="K963" s="32"/>
      <c r="L963" s="33"/>
      <c r="M963" s="34"/>
      <c r="N963" s="35">
        <f t="shared" si="559"/>
        <v>166094486.5</v>
      </c>
    </row>
    <row r="964" spans="1:14" s="18" customFormat="1" ht="24" hidden="1" customHeight="1" x14ac:dyDescent="0.3">
      <c r="A964" s="19"/>
      <c r="B964" s="19"/>
      <c r="C964" s="29" t="s">
        <v>366</v>
      </c>
      <c r="D964" s="21"/>
      <c r="E964" s="19"/>
      <c r="F964" s="22"/>
      <c r="G964" s="23"/>
      <c r="H964" s="24">
        <v>180000</v>
      </c>
      <c r="I964" s="23">
        <f>H964*0.1</f>
        <v>18000</v>
      </c>
      <c r="J964" s="23">
        <f>SUM(H964:I964)</f>
        <v>198000</v>
      </c>
      <c r="K964" s="32"/>
      <c r="L964" s="33"/>
      <c r="M964" s="34"/>
      <c r="N964" s="35">
        <f t="shared" si="559"/>
        <v>166292486.5</v>
      </c>
    </row>
    <row r="965" spans="1:14" s="18" customFormat="1" ht="24" hidden="1" customHeight="1" x14ac:dyDescent="0.3">
      <c r="A965" s="19"/>
      <c r="B965" s="19">
        <v>20</v>
      </c>
      <c r="C965" s="39" t="s">
        <v>367</v>
      </c>
      <c r="D965" s="21"/>
      <c r="E965" s="19"/>
      <c r="F965" s="22"/>
      <c r="G965" s="23"/>
      <c r="H965" s="24"/>
      <c r="I965" s="23"/>
      <c r="J965" s="23"/>
      <c r="K965" s="32"/>
      <c r="L965" s="33"/>
      <c r="M965" s="34"/>
      <c r="N965" s="35">
        <f t="shared" si="559"/>
        <v>166292486.5</v>
      </c>
    </row>
    <row r="966" spans="1:14" s="18" customFormat="1" ht="24" hidden="1" customHeight="1" x14ac:dyDescent="0.3">
      <c r="A966" s="19"/>
      <c r="B966" s="19"/>
      <c r="C966" s="29" t="s">
        <v>126</v>
      </c>
      <c r="D966" s="21"/>
      <c r="E966" s="19">
        <v>18</v>
      </c>
      <c r="F966" s="22">
        <v>303.2</v>
      </c>
      <c r="G966" s="23">
        <f>550+1000+980+250</f>
        <v>2780</v>
      </c>
      <c r="H966" s="24">
        <f t="shared" ref="H966" si="574">F966*G966</f>
        <v>842896</v>
      </c>
      <c r="I966" s="23">
        <v>0</v>
      </c>
      <c r="J966" s="23">
        <f t="shared" ref="J966" si="575">SUM(H966:I966)</f>
        <v>842896</v>
      </c>
      <c r="K966" s="32"/>
      <c r="L966" s="33"/>
      <c r="M966" s="34"/>
      <c r="N966" s="35">
        <f t="shared" si="559"/>
        <v>167135382.5</v>
      </c>
    </row>
    <row r="967" spans="1:14" s="18" customFormat="1" ht="24" hidden="1" customHeight="1" x14ac:dyDescent="0.3">
      <c r="A967" s="19"/>
      <c r="B967" s="19">
        <v>20</v>
      </c>
      <c r="C967" s="29" t="s">
        <v>339</v>
      </c>
      <c r="D967" s="37"/>
      <c r="E967" s="19"/>
      <c r="F967" s="22"/>
      <c r="G967" s="23"/>
      <c r="H967" s="24"/>
      <c r="I967" s="23"/>
      <c r="J967" s="23"/>
      <c r="K967" s="32"/>
      <c r="L967" s="33"/>
      <c r="M967" s="34"/>
      <c r="N967" s="35">
        <f t="shared" si="559"/>
        <v>167135382.5</v>
      </c>
    </row>
    <row r="968" spans="1:14" s="18" customFormat="1" ht="24" hidden="1" customHeight="1" x14ac:dyDescent="0.3">
      <c r="A968" s="19"/>
      <c r="B968" s="19"/>
      <c r="C968" s="36" t="s">
        <v>23</v>
      </c>
      <c r="D968" s="21"/>
      <c r="E968" s="19">
        <v>62</v>
      </c>
      <c r="F968" s="22">
        <v>493.6</v>
      </c>
      <c r="G968" s="23">
        <f>2200+550+1070+250+330</f>
        <v>4400</v>
      </c>
      <c r="H968" s="24">
        <f t="shared" ref="H968" si="576">F968*G968</f>
        <v>2171840</v>
      </c>
      <c r="I968" s="23">
        <v>0</v>
      </c>
      <c r="J968" s="23">
        <f t="shared" ref="J968" si="577">SUM(H968:I968)</f>
        <v>2171840</v>
      </c>
      <c r="K968" s="32"/>
      <c r="L968" s="33"/>
      <c r="M968" s="34"/>
      <c r="N968" s="35">
        <f t="shared" si="559"/>
        <v>169307222.5</v>
      </c>
    </row>
    <row r="969" spans="1:14" s="18" customFormat="1" ht="24" hidden="1" customHeight="1" x14ac:dyDescent="0.3">
      <c r="A969" s="19"/>
      <c r="B969" s="19">
        <v>20</v>
      </c>
      <c r="C969" s="39" t="s">
        <v>368</v>
      </c>
      <c r="D969" s="21"/>
      <c r="E969" s="19"/>
      <c r="F969" s="22"/>
      <c r="G969" s="23"/>
      <c r="H969" s="24"/>
      <c r="I969" s="23"/>
      <c r="J969" s="23"/>
      <c r="K969" s="32"/>
      <c r="L969" s="33"/>
      <c r="M969" s="34"/>
      <c r="N969" s="35">
        <f t="shared" si="559"/>
        <v>169307222.5</v>
      </c>
    </row>
    <row r="970" spans="1:14" s="18" customFormat="1" ht="24" hidden="1" customHeight="1" x14ac:dyDescent="0.3">
      <c r="A970" s="19"/>
      <c r="B970" s="19"/>
      <c r="C970" s="36" t="s">
        <v>48</v>
      </c>
      <c r="D970" s="21"/>
      <c r="E970" s="19">
        <v>1</v>
      </c>
      <c r="F970" s="22">
        <v>8.6999999999999993</v>
      </c>
      <c r="G970" s="23">
        <f>2200+550+1070+250</f>
        <v>4070</v>
      </c>
      <c r="H970" s="24">
        <f t="shared" ref="H970" si="578">F970*G970</f>
        <v>35409</v>
      </c>
      <c r="I970" s="23">
        <v>0</v>
      </c>
      <c r="J970" s="23">
        <f t="shared" ref="J970" si="579">SUM(H970:I970)</f>
        <v>35409</v>
      </c>
      <c r="K970" s="32"/>
      <c r="L970" s="33"/>
      <c r="M970" s="34"/>
      <c r="N970" s="35">
        <f t="shared" si="559"/>
        <v>169342631.5</v>
      </c>
    </row>
    <row r="971" spans="1:14" s="18" customFormat="1" ht="24" hidden="1" customHeight="1" x14ac:dyDescent="0.3">
      <c r="A971" s="19"/>
      <c r="B971" s="19">
        <v>20</v>
      </c>
      <c r="C971" s="29" t="s">
        <v>369</v>
      </c>
      <c r="D971" s="21"/>
      <c r="E971" s="19"/>
      <c r="F971" s="22"/>
      <c r="G971" s="23"/>
      <c r="H971" s="24"/>
      <c r="I971" s="23"/>
      <c r="J971" s="23"/>
      <c r="K971" s="32"/>
      <c r="L971" s="33"/>
      <c r="M971" s="34"/>
      <c r="N971" s="35">
        <f t="shared" si="559"/>
        <v>169342631.5</v>
      </c>
    </row>
    <row r="972" spans="1:14" s="18" customFormat="1" ht="24" hidden="1" customHeight="1" x14ac:dyDescent="0.3">
      <c r="A972" s="19"/>
      <c r="B972" s="19"/>
      <c r="C972" s="29" t="s">
        <v>126</v>
      </c>
      <c r="D972" s="37"/>
      <c r="E972" s="19">
        <v>1</v>
      </c>
      <c r="F972" s="22">
        <v>19.600000000000001</v>
      </c>
      <c r="G972" s="23">
        <f>550+1000+980+250</f>
        <v>2780</v>
      </c>
      <c r="H972" s="24">
        <f t="shared" ref="H972" si="580">F972*G972</f>
        <v>54488.000000000007</v>
      </c>
      <c r="I972" s="23">
        <v>0</v>
      </c>
      <c r="J972" s="23">
        <f t="shared" ref="J972" si="581">SUM(H972:I972)</f>
        <v>54488.000000000007</v>
      </c>
      <c r="K972" s="32"/>
      <c r="L972" s="33"/>
      <c r="M972" s="34"/>
      <c r="N972" s="35">
        <f t="shared" si="559"/>
        <v>169397119.5</v>
      </c>
    </row>
    <row r="973" spans="1:14" s="18" customFormat="1" ht="24" hidden="1" customHeight="1" x14ac:dyDescent="0.3">
      <c r="A973" s="19"/>
      <c r="B973" s="19">
        <v>21</v>
      </c>
      <c r="C973" s="29" t="s">
        <v>254</v>
      </c>
      <c r="D973" s="21"/>
      <c r="E973" s="19"/>
      <c r="F973" s="22"/>
      <c r="G973" s="23"/>
      <c r="H973" s="24"/>
      <c r="I973" s="23"/>
      <c r="J973" s="23"/>
      <c r="K973" s="32"/>
      <c r="L973" s="33"/>
      <c r="M973" s="34"/>
      <c r="N973" s="38">
        <f t="shared" si="559"/>
        <v>169397119.5</v>
      </c>
    </row>
    <row r="974" spans="1:14" s="18" customFormat="1" ht="24" hidden="1" customHeight="1" x14ac:dyDescent="0.3">
      <c r="A974" s="19"/>
      <c r="B974" s="19"/>
      <c r="C974" s="39" t="s">
        <v>222</v>
      </c>
      <c r="D974" s="21"/>
      <c r="E974" s="19"/>
      <c r="F974" s="22"/>
      <c r="G974" s="23"/>
      <c r="H974" s="24">
        <v>216000</v>
      </c>
      <c r="I974" s="23">
        <f>H974*0.1</f>
        <v>21600</v>
      </c>
      <c r="J974" s="23">
        <f>SUM(H974:I974)</f>
        <v>237600</v>
      </c>
      <c r="K974" s="32"/>
      <c r="L974" s="33"/>
      <c r="M974" s="34"/>
      <c r="N974" s="38">
        <f t="shared" si="559"/>
        <v>169634719.5</v>
      </c>
    </row>
    <row r="975" spans="1:14" s="18" customFormat="1" ht="24" hidden="1" customHeight="1" x14ac:dyDescent="0.3">
      <c r="A975" s="19"/>
      <c r="B975" s="19"/>
      <c r="C975" s="39"/>
      <c r="D975" s="21"/>
      <c r="E975" s="19"/>
      <c r="F975" s="22"/>
      <c r="G975" s="23"/>
      <c r="H975" s="24"/>
      <c r="I975" s="23"/>
      <c r="J975" s="23"/>
      <c r="K975" s="32"/>
      <c r="L975" s="33"/>
      <c r="M975" s="34"/>
      <c r="N975" s="38">
        <f t="shared" si="559"/>
        <v>169634719.5</v>
      </c>
    </row>
    <row r="976" spans="1:14" s="2" customFormat="1" ht="27" hidden="1" customHeight="1" thickBot="1" x14ac:dyDescent="0.35">
      <c r="A976" s="1"/>
      <c r="B976" s="1"/>
      <c r="C976" s="1"/>
      <c r="E976" s="86" t="s">
        <v>0</v>
      </c>
      <c r="F976" s="86"/>
      <c r="G976" s="86"/>
      <c r="H976" s="86"/>
      <c r="I976" s="86"/>
      <c r="J976" s="86"/>
      <c r="K976" s="1"/>
      <c r="L976" s="3"/>
      <c r="M976" s="3"/>
      <c r="N976" s="1"/>
    </row>
    <row r="977" spans="1:14" s="2" customFormat="1" ht="24" hidden="1" customHeight="1" thickTop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3"/>
      <c r="M977" s="3"/>
      <c r="N977" s="1"/>
    </row>
    <row r="978" spans="1:14" s="2" customFormat="1" ht="24" hidden="1" customHeight="1" thickBot="1" x14ac:dyDescent="0.35">
      <c r="A978" s="2" t="s">
        <v>1</v>
      </c>
      <c r="C978" s="4"/>
      <c r="D978" s="4"/>
      <c r="E978" s="5"/>
      <c r="F978" s="6"/>
      <c r="G978" s="7"/>
      <c r="H978" s="7"/>
      <c r="I978" s="7"/>
      <c r="J978" s="8"/>
      <c r="K978" s="9"/>
      <c r="L978" s="10"/>
      <c r="M978" s="11"/>
      <c r="N978" s="12" t="s">
        <v>2</v>
      </c>
    </row>
    <row r="979" spans="1:14" s="18" customFormat="1" ht="24" hidden="1" customHeight="1" thickTop="1" thickBot="1" x14ac:dyDescent="0.35">
      <c r="A979" s="13" t="s">
        <v>3</v>
      </c>
      <c r="B979" s="13" t="s">
        <v>4</v>
      </c>
      <c r="C979" s="87" t="s">
        <v>5</v>
      </c>
      <c r="D979" s="88"/>
      <c r="E979" s="13" t="s">
        <v>6</v>
      </c>
      <c r="F979" s="14" t="s">
        <v>7</v>
      </c>
      <c r="G979" s="15" t="s">
        <v>8</v>
      </c>
      <c r="H979" s="15" t="s">
        <v>9</v>
      </c>
      <c r="I979" s="15" t="s">
        <v>10</v>
      </c>
      <c r="J979" s="15" t="s">
        <v>11</v>
      </c>
      <c r="K979" s="16" t="s">
        <v>12</v>
      </c>
      <c r="L979" s="89" t="s">
        <v>13</v>
      </c>
      <c r="M979" s="90"/>
      <c r="N979" s="17" t="s">
        <v>14</v>
      </c>
    </row>
    <row r="980" spans="1:14" s="18" customFormat="1" ht="24" hidden="1" customHeight="1" thickTop="1" x14ac:dyDescent="0.3">
      <c r="A980" s="41"/>
      <c r="B980" s="41"/>
      <c r="C980" s="70" t="s">
        <v>41</v>
      </c>
      <c r="D980" s="40"/>
      <c r="E980" s="41"/>
      <c r="F980" s="42"/>
      <c r="G980" s="43"/>
      <c r="H980" s="44"/>
      <c r="I980" s="43"/>
      <c r="J980" s="43"/>
      <c r="K980" s="25"/>
      <c r="L980" s="26"/>
      <c r="M980" s="27"/>
      <c r="N980" s="28">
        <f>N975</f>
        <v>169634719.5</v>
      </c>
    </row>
    <row r="981" spans="1:14" s="18" customFormat="1" ht="24" hidden="1" customHeight="1" x14ac:dyDescent="0.3">
      <c r="A981" s="19">
        <v>5</v>
      </c>
      <c r="B981" s="19">
        <v>22</v>
      </c>
      <c r="C981" s="29" t="s">
        <v>339</v>
      </c>
      <c r="D981" s="21"/>
      <c r="E981" s="19"/>
      <c r="F981" s="22"/>
      <c r="G981" s="23"/>
      <c r="H981" s="24"/>
      <c r="I981" s="23"/>
      <c r="J981" s="23"/>
      <c r="K981" s="32"/>
      <c r="L981" s="33"/>
      <c r="M981" s="34"/>
      <c r="N981" s="35">
        <f>N980+J981+K981</f>
        <v>169634719.5</v>
      </c>
    </row>
    <row r="982" spans="1:14" s="18" customFormat="1" ht="24" hidden="1" customHeight="1" x14ac:dyDescent="0.3">
      <c r="A982" s="19"/>
      <c r="B982" s="19"/>
      <c r="C982" s="36" t="s">
        <v>23</v>
      </c>
      <c r="D982" s="37"/>
      <c r="E982" s="19">
        <v>1</v>
      </c>
      <c r="F982" s="22">
        <v>7.7</v>
      </c>
      <c r="G982" s="23">
        <f>2200+550+1070+250+330</f>
        <v>4400</v>
      </c>
      <c r="H982" s="24">
        <f t="shared" ref="H982" si="582">F982*G982</f>
        <v>33880</v>
      </c>
      <c r="I982" s="23">
        <v>0</v>
      </c>
      <c r="J982" s="23">
        <f t="shared" ref="J982" si="583">SUM(H982:I982)</f>
        <v>33880</v>
      </c>
      <c r="K982" s="32"/>
      <c r="L982" s="33"/>
      <c r="M982" s="34"/>
      <c r="N982" s="35">
        <f>N981+J982+K982</f>
        <v>169668599.5</v>
      </c>
    </row>
    <row r="983" spans="1:14" s="18" customFormat="1" ht="24" hidden="1" customHeight="1" x14ac:dyDescent="0.3">
      <c r="A983" s="19"/>
      <c r="B983" s="19">
        <v>22</v>
      </c>
      <c r="C983" s="29" t="s">
        <v>370</v>
      </c>
      <c r="D983" s="21"/>
      <c r="E983" s="19"/>
      <c r="F983" s="22"/>
      <c r="G983" s="23"/>
      <c r="H983" s="24"/>
      <c r="I983" s="23"/>
      <c r="J983" s="23"/>
      <c r="K983" s="32"/>
      <c r="L983" s="33"/>
      <c r="M983" s="34"/>
      <c r="N983" s="35">
        <f t="shared" ref="N983:N1014" si="584">N982+J983+K983</f>
        <v>169668599.5</v>
      </c>
    </row>
    <row r="984" spans="1:14" s="18" customFormat="1" ht="24" hidden="1" customHeight="1" x14ac:dyDescent="0.3">
      <c r="A984" s="19"/>
      <c r="B984" s="19"/>
      <c r="C984" s="36" t="s">
        <v>241</v>
      </c>
      <c r="D984" s="21"/>
      <c r="E984" s="19">
        <v>74</v>
      </c>
      <c r="F984" s="22">
        <v>713.8</v>
      </c>
      <c r="G984" s="23">
        <f>900+1250+980+250</f>
        <v>3380</v>
      </c>
      <c r="H984" s="24">
        <f t="shared" ref="H984" si="585">F984*G984</f>
        <v>2412644</v>
      </c>
      <c r="I984" s="23">
        <v>0</v>
      </c>
      <c r="J984" s="23">
        <f t="shared" ref="J984" si="586">SUM(H984:I984)</f>
        <v>2412644</v>
      </c>
      <c r="K984" s="32"/>
      <c r="L984" s="33"/>
      <c r="M984" s="34"/>
      <c r="N984" s="35">
        <f t="shared" si="584"/>
        <v>172081243.5</v>
      </c>
    </row>
    <row r="985" spans="1:14" s="18" customFormat="1" ht="24" hidden="1" customHeight="1" x14ac:dyDescent="0.3">
      <c r="A985" s="19"/>
      <c r="B985" s="19">
        <v>23</v>
      </c>
      <c r="C985" s="29" t="s">
        <v>371</v>
      </c>
      <c r="D985" s="21"/>
      <c r="E985" s="19"/>
      <c r="F985" s="22"/>
      <c r="G985" s="23"/>
      <c r="H985" s="24"/>
      <c r="I985" s="23"/>
      <c r="J985" s="23"/>
      <c r="K985" s="32"/>
      <c r="L985" s="33"/>
      <c r="M985" s="34"/>
      <c r="N985" s="35">
        <f t="shared" si="584"/>
        <v>172081243.5</v>
      </c>
    </row>
    <row r="986" spans="1:14" s="18" customFormat="1" ht="24" hidden="1" customHeight="1" x14ac:dyDescent="0.3">
      <c r="A986" s="19"/>
      <c r="B986" s="19"/>
      <c r="C986" s="39" t="s">
        <v>358</v>
      </c>
      <c r="D986" s="21"/>
      <c r="E986" s="19">
        <v>1</v>
      </c>
      <c r="F986" s="22">
        <v>27.6</v>
      </c>
      <c r="G986" s="23">
        <v>1160</v>
      </c>
      <c r="H986" s="24">
        <f t="shared" ref="H986" si="587">F986*G986</f>
        <v>32016</v>
      </c>
      <c r="I986" s="23">
        <v>0</v>
      </c>
      <c r="J986" s="23">
        <f t="shared" ref="J986" si="588">SUM(H986:I986)</f>
        <v>32016</v>
      </c>
      <c r="K986" s="32"/>
      <c r="L986" s="33"/>
      <c r="M986" s="34"/>
      <c r="N986" s="35">
        <f t="shared" si="584"/>
        <v>172113259.5</v>
      </c>
    </row>
    <row r="987" spans="1:14" s="18" customFormat="1" ht="24" hidden="1" customHeight="1" x14ac:dyDescent="0.3">
      <c r="A987" s="19"/>
      <c r="B987" s="19">
        <v>26</v>
      </c>
      <c r="C987" s="39" t="s">
        <v>372</v>
      </c>
      <c r="D987" s="21"/>
      <c r="E987" s="19"/>
      <c r="F987" s="22"/>
      <c r="G987" s="23"/>
      <c r="H987" s="24"/>
      <c r="I987" s="23"/>
      <c r="J987" s="23"/>
      <c r="K987" s="32"/>
      <c r="L987" s="33"/>
      <c r="M987" s="34"/>
      <c r="N987" s="35">
        <f t="shared" si="584"/>
        <v>172113259.5</v>
      </c>
    </row>
    <row r="988" spans="1:14" s="18" customFormat="1" ht="24" hidden="1" customHeight="1" x14ac:dyDescent="0.3">
      <c r="A988" s="19"/>
      <c r="B988" s="19"/>
      <c r="C988" s="36" t="s">
        <v>373</v>
      </c>
      <c r="D988" s="37"/>
      <c r="E988" s="19">
        <v>94</v>
      </c>
      <c r="F988" s="22">
        <v>1019.3</v>
      </c>
      <c r="G988" s="23">
        <f>800+500+550+500+1070</f>
        <v>3420</v>
      </c>
      <c r="H988" s="24">
        <f t="shared" ref="H988:H991" si="589">F988*G988</f>
        <v>3486006</v>
      </c>
      <c r="I988" s="23">
        <v>0</v>
      </c>
      <c r="J988" s="23">
        <f t="shared" ref="J988" si="590">SUM(H988:I988)</f>
        <v>3486006</v>
      </c>
      <c r="K988" s="32"/>
      <c r="L988" s="33"/>
      <c r="M988" s="34"/>
      <c r="N988" s="35">
        <f t="shared" si="584"/>
        <v>175599265.5</v>
      </c>
    </row>
    <row r="989" spans="1:14" s="18" customFormat="1" ht="24" hidden="1" customHeight="1" x14ac:dyDescent="0.3">
      <c r="A989" s="19"/>
      <c r="B989" s="19"/>
      <c r="C989" s="36" t="s">
        <v>212</v>
      </c>
      <c r="D989" s="37"/>
      <c r="E989" s="19">
        <v>115</v>
      </c>
      <c r="F989" s="22">
        <v>1135.3</v>
      </c>
      <c r="G989" s="23">
        <f>800+1000+1070+250</f>
        <v>3120</v>
      </c>
      <c r="H989" s="24">
        <f t="shared" si="589"/>
        <v>3542136</v>
      </c>
      <c r="I989" s="23">
        <v>0</v>
      </c>
      <c r="J989" s="23">
        <f t="shared" ref="J989:J991" si="591">SUM(H989:I989)</f>
        <v>3542136</v>
      </c>
      <c r="K989" s="32"/>
      <c r="L989" s="33"/>
      <c r="M989" s="34"/>
      <c r="N989" s="35">
        <f t="shared" si="584"/>
        <v>179141401.5</v>
      </c>
    </row>
    <row r="990" spans="1:14" s="18" customFormat="1" ht="24" hidden="1" customHeight="1" x14ac:dyDescent="0.3">
      <c r="A990" s="19"/>
      <c r="B990" s="19"/>
      <c r="C990" s="36" t="s">
        <v>374</v>
      </c>
      <c r="D990" s="21"/>
      <c r="E990" s="19">
        <v>21</v>
      </c>
      <c r="F990" s="22">
        <v>262.39999999999998</v>
      </c>
      <c r="G990" s="23">
        <f>1100+1250+980+250</f>
        <v>3580</v>
      </c>
      <c r="H990" s="24">
        <f t="shared" si="589"/>
        <v>939391.99999999988</v>
      </c>
      <c r="I990" s="23">
        <v>0</v>
      </c>
      <c r="J990" s="23">
        <f t="shared" si="591"/>
        <v>939391.99999999988</v>
      </c>
      <c r="K990" s="32"/>
      <c r="L990" s="33"/>
      <c r="M990" s="34"/>
      <c r="N990" s="35">
        <f t="shared" si="584"/>
        <v>180080793.5</v>
      </c>
    </row>
    <row r="991" spans="1:14" s="18" customFormat="1" ht="24" hidden="1" customHeight="1" x14ac:dyDescent="0.3">
      <c r="A991" s="19"/>
      <c r="B991" s="19"/>
      <c r="C991" s="39" t="s">
        <v>46</v>
      </c>
      <c r="D991" s="21"/>
      <c r="E991" s="19">
        <v>2</v>
      </c>
      <c r="F991" s="22">
        <v>17.5</v>
      </c>
      <c r="G991" s="23">
        <v>2040</v>
      </c>
      <c r="H991" s="24">
        <f t="shared" si="589"/>
        <v>35700</v>
      </c>
      <c r="I991" s="23">
        <v>0</v>
      </c>
      <c r="J991" s="23">
        <f t="shared" si="591"/>
        <v>35700</v>
      </c>
      <c r="K991" s="32"/>
      <c r="L991" s="33"/>
      <c r="M991" s="34"/>
      <c r="N991" s="35">
        <f t="shared" si="584"/>
        <v>180116493.5</v>
      </c>
    </row>
    <row r="992" spans="1:14" s="18" customFormat="1" ht="24" hidden="1" customHeight="1" x14ac:dyDescent="0.3">
      <c r="A992" s="19"/>
      <c r="B992" s="19">
        <v>26</v>
      </c>
      <c r="C992" s="29" t="s">
        <v>375</v>
      </c>
      <c r="D992" s="21"/>
      <c r="E992" s="19"/>
      <c r="F992" s="22"/>
      <c r="G992" s="23"/>
      <c r="H992" s="24"/>
      <c r="I992" s="23"/>
      <c r="J992" s="23"/>
      <c r="K992" s="32"/>
      <c r="L992" s="33"/>
      <c r="M992" s="34"/>
      <c r="N992" s="35">
        <f t="shared" si="584"/>
        <v>180116493.5</v>
      </c>
    </row>
    <row r="993" spans="1:14" s="18" customFormat="1" ht="24" hidden="1" customHeight="1" x14ac:dyDescent="0.3">
      <c r="A993" s="19"/>
      <c r="B993" s="19"/>
      <c r="C993" s="36" t="s">
        <v>23</v>
      </c>
      <c r="D993" s="21"/>
      <c r="E993" s="19">
        <v>188</v>
      </c>
      <c r="F993" s="22">
        <v>1395.9</v>
      </c>
      <c r="G993" s="23">
        <f>2200+550+1070+250+330</f>
        <v>4400</v>
      </c>
      <c r="H993" s="24">
        <f t="shared" ref="H993:H995" si="592">F993*G993</f>
        <v>6141960</v>
      </c>
      <c r="I993" s="23">
        <v>0</v>
      </c>
      <c r="J993" s="23">
        <f t="shared" ref="J993" si="593">SUM(H993:I993)</f>
        <v>6141960</v>
      </c>
      <c r="K993" s="32"/>
      <c r="L993" s="33"/>
      <c r="M993" s="34"/>
      <c r="N993" s="35">
        <f t="shared" si="584"/>
        <v>186258453.5</v>
      </c>
    </row>
    <row r="994" spans="1:14" s="18" customFormat="1" ht="24" hidden="1" customHeight="1" x14ac:dyDescent="0.3">
      <c r="A994" s="19"/>
      <c r="B994" s="19"/>
      <c r="C994" s="36" t="s">
        <v>48</v>
      </c>
      <c r="D994" s="21"/>
      <c r="E994" s="19">
        <v>44</v>
      </c>
      <c r="F994" s="22">
        <v>237.8</v>
      </c>
      <c r="G994" s="23">
        <f>2200+550+1070+250</f>
        <v>4070</v>
      </c>
      <c r="H994" s="24">
        <f t="shared" si="592"/>
        <v>967846</v>
      </c>
      <c r="I994" s="23">
        <v>0</v>
      </c>
      <c r="J994" s="23">
        <f t="shared" ref="J994:J995" si="594">SUM(H994:I994)</f>
        <v>967846</v>
      </c>
      <c r="K994" s="32"/>
      <c r="L994" s="33"/>
      <c r="M994" s="34"/>
      <c r="N994" s="35">
        <f t="shared" si="584"/>
        <v>187226299.5</v>
      </c>
    </row>
    <row r="995" spans="1:14" s="18" customFormat="1" ht="24" hidden="1" customHeight="1" x14ac:dyDescent="0.3">
      <c r="A995" s="19"/>
      <c r="B995" s="19"/>
      <c r="C995" s="36" t="s">
        <v>166</v>
      </c>
      <c r="D995" s="21"/>
      <c r="E995" s="19">
        <v>46</v>
      </c>
      <c r="F995" s="22">
        <v>166.6</v>
      </c>
      <c r="G995" s="23">
        <f>2200+2200+550+1070+1070+250+250</f>
        <v>7590</v>
      </c>
      <c r="H995" s="24">
        <f t="shared" si="592"/>
        <v>1264494</v>
      </c>
      <c r="I995" s="23">
        <v>0</v>
      </c>
      <c r="J995" s="23">
        <f t="shared" si="594"/>
        <v>1264494</v>
      </c>
      <c r="K995" s="32"/>
      <c r="L995" s="33"/>
      <c r="M995" s="34"/>
      <c r="N995" s="35">
        <f t="shared" si="584"/>
        <v>188490793.5</v>
      </c>
    </row>
    <row r="996" spans="1:14" s="18" customFormat="1" ht="24" hidden="1" customHeight="1" x14ac:dyDescent="0.3">
      <c r="A996" s="19"/>
      <c r="B996" s="19">
        <v>27</v>
      </c>
      <c r="C996" s="39" t="s">
        <v>376</v>
      </c>
      <c r="D996" s="21"/>
      <c r="E996" s="19"/>
      <c r="F996" s="22"/>
      <c r="G996" s="23"/>
      <c r="H996" s="24"/>
      <c r="I996" s="23"/>
      <c r="J996" s="23"/>
      <c r="K996" s="32"/>
      <c r="L996" s="33"/>
      <c r="M996" s="34"/>
      <c r="N996" s="35">
        <f t="shared" si="584"/>
        <v>188490793.5</v>
      </c>
    </row>
    <row r="997" spans="1:14" s="18" customFormat="1" ht="24" hidden="1" customHeight="1" x14ac:dyDescent="0.3">
      <c r="A997" s="19"/>
      <c r="B997" s="19"/>
      <c r="C997" s="36" t="s">
        <v>23</v>
      </c>
      <c r="D997" s="37"/>
      <c r="E997" s="19">
        <v>45</v>
      </c>
      <c r="F997" s="22">
        <v>680.8</v>
      </c>
      <c r="G997" s="23">
        <f>2200+550+1070+250+330</f>
        <v>4400</v>
      </c>
      <c r="H997" s="24">
        <f t="shared" ref="H997:H999" si="595">F997*G997</f>
        <v>2995520</v>
      </c>
      <c r="I997" s="23">
        <v>0</v>
      </c>
      <c r="J997" s="23">
        <f t="shared" ref="J997:J999" si="596">SUM(H997:I997)</f>
        <v>2995520</v>
      </c>
      <c r="K997" s="32"/>
      <c r="L997" s="33"/>
      <c r="M997" s="34"/>
      <c r="N997" s="35">
        <f t="shared" si="584"/>
        <v>191486313.5</v>
      </c>
    </row>
    <row r="998" spans="1:14" s="18" customFormat="1" ht="24" hidden="1" customHeight="1" x14ac:dyDescent="0.3">
      <c r="A998" s="19"/>
      <c r="B998" s="19"/>
      <c r="C998" s="36" t="s">
        <v>23</v>
      </c>
      <c r="D998" s="21" t="s">
        <v>377</v>
      </c>
      <c r="E998" s="19">
        <v>2</v>
      </c>
      <c r="F998" s="22">
        <v>29.4</v>
      </c>
      <c r="G998" s="23">
        <v>5280</v>
      </c>
      <c r="H998" s="24">
        <f t="shared" si="595"/>
        <v>155232</v>
      </c>
      <c r="I998" s="23">
        <v>0</v>
      </c>
      <c r="J998" s="23">
        <f t="shared" si="596"/>
        <v>155232</v>
      </c>
      <c r="K998" s="32"/>
      <c r="L998" s="33"/>
      <c r="M998" s="34"/>
      <c r="N998" s="35">
        <f t="shared" si="584"/>
        <v>191641545.5</v>
      </c>
    </row>
    <row r="999" spans="1:14" s="18" customFormat="1" ht="24" hidden="1" customHeight="1" x14ac:dyDescent="0.3">
      <c r="A999" s="19"/>
      <c r="B999" s="19"/>
      <c r="C999" s="39" t="s">
        <v>75</v>
      </c>
      <c r="D999" s="21"/>
      <c r="E999" s="19">
        <v>10</v>
      </c>
      <c r="F999" s="22">
        <v>139.4</v>
      </c>
      <c r="G999" s="23">
        <v>2540</v>
      </c>
      <c r="H999" s="24">
        <f t="shared" si="595"/>
        <v>354076</v>
      </c>
      <c r="I999" s="23">
        <v>0</v>
      </c>
      <c r="J999" s="23">
        <f t="shared" si="596"/>
        <v>354076</v>
      </c>
      <c r="K999" s="32"/>
      <c r="L999" s="33"/>
      <c r="M999" s="34"/>
      <c r="N999" s="35">
        <f t="shared" si="584"/>
        <v>191995621.5</v>
      </c>
    </row>
    <row r="1000" spans="1:14" s="18" customFormat="1" ht="24" hidden="1" customHeight="1" x14ac:dyDescent="0.3">
      <c r="A1000" s="19"/>
      <c r="B1000" s="19">
        <v>28</v>
      </c>
      <c r="C1000" s="39" t="s">
        <v>308</v>
      </c>
      <c r="D1000" s="37"/>
      <c r="E1000" s="19"/>
      <c r="F1000" s="22"/>
      <c r="G1000" s="23"/>
      <c r="H1000" s="24"/>
      <c r="I1000" s="23"/>
      <c r="J1000" s="23"/>
      <c r="K1000" s="32"/>
      <c r="L1000" s="33"/>
      <c r="M1000" s="34"/>
      <c r="N1000" s="35">
        <f t="shared" si="584"/>
        <v>191995621.5</v>
      </c>
    </row>
    <row r="1001" spans="1:14" s="18" customFormat="1" ht="24" hidden="1" customHeight="1" x14ac:dyDescent="0.3">
      <c r="A1001" s="19"/>
      <c r="B1001" s="19"/>
      <c r="C1001" s="36" t="s">
        <v>332</v>
      </c>
      <c r="D1001" s="21"/>
      <c r="E1001" s="19">
        <v>1</v>
      </c>
      <c r="F1001" s="22">
        <v>3</v>
      </c>
      <c r="G1001" s="23">
        <f>2200+550+1070+250+330</f>
        <v>4400</v>
      </c>
      <c r="H1001" s="24">
        <f t="shared" ref="H1001" si="597">F1001*G1001</f>
        <v>13200</v>
      </c>
      <c r="I1001" s="23">
        <v>0</v>
      </c>
      <c r="J1001" s="23">
        <f t="shared" ref="J1001" si="598">SUM(H1001:I1001)</f>
        <v>13200</v>
      </c>
      <c r="K1001" s="32"/>
      <c r="L1001" s="33"/>
      <c r="M1001" s="34"/>
      <c r="N1001" s="35">
        <f t="shared" si="584"/>
        <v>192008821.5</v>
      </c>
    </row>
    <row r="1002" spans="1:14" s="18" customFormat="1" ht="24" hidden="1" customHeight="1" x14ac:dyDescent="0.3">
      <c r="A1002" s="19"/>
      <c r="B1002" s="19">
        <v>28</v>
      </c>
      <c r="C1002" s="29" t="s">
        <v>378</v>
      </c>
      <c r="D1002" s="21"/>
      <c r="E1002" s="19"/>
      <c r="F1002" s="22"/>
      <c r="G1002" s="23"/>
      <c r="H1002" s="24"/>
      <c r="I1002" s="23"/>
      <c r="J1002" s="23"/>
      <c r="K1002" s="32"/>
      <c r="L1002" s="33"/>
      <c r="M1002" s="34"/>
      <c r="N1002" s="35">
        <f t="shared" si="584"/>
        <v>192008821.5</v>
      </c>
    </row>
    <row r="1003" spans="1:14" s="18" customFormat="1" ht="24" hidden="1" customHeight="1" x14ac:dyDescent="0.3">
      <c r="A1003" s="19"/>
      <c r="B1003" s="19"/>
      <c r="C1003" s="29" t="s">
        <v>294</v>
      </c>
      <c r="D1003" s="21"/>
      <c r="E1003" s="19">
        <v>2</v>
      </c>
      <c r="F1003" s="22">
        <v>24.4</v>
      </c>
      <c r="G1003" s="23">
        <f>900+900+740</f>
        <v>2540</v>
      </c>
      <c r="H1003" s="24">
        <f t="shared" ref="H1003:H1005" si="599">F1003*G1003</f>
        <v>61976</v>
      </c>
      <c r="I1003" s="23">
        <v>0</v>
      </c>
      <c r="J1003" s="23">
        <f t="shared" ref="J1003:J1005" si="600">SUM(H1003:I1003)</f>
        <v>61976</v>
      </c>
      <c r="K1003" s="32"/>
      <c r="L1003" s="33"/>
      <c r="M1003" s="34"/>
      <c r="N1003" s="35">
        <f t="shared" si="584"/>
        <v>192070797.5</v>
      </c>
    </row>
    <row r="1004" spans="1:14" s="18" customFormat="1" ht="24" hidden="1" customHeight="1" x14ac:dyDescent="0.3">
      <c r="A1004" s="19"/>
      <c r="B1004" s="19"/>
      <c r="C1004" s="39" t="s">
        <v>379</v>
      </c>
      <c r="D1004" s="21"/>
      <c r="E1004" s="19">
        <v>2</v>
      </c>
      <c r="F1004" s="22">
        <v>24.4</v>
      </c>
      <c r="G1004" s="23">
        <f>1100+110</f>
        <v>1210</v>
      </c>
      <c r="H1004" s="24">
        <f t="shared" si="599"/>
        <v>29524</v>
      </c>
      <c r="I1004" s="23">
        <v>0</v>
      </c>
      <c r="J1004" s="23">
        <f t="shared" si="600"/>
        <v>29524</v>
      </c>
      <c r="K1004" s="32"/>
      <c r="L1004" s="33"/>
      <c r="M1004" s="34"/>
      <c r="N1004" s="35">
        <f t="shared" si="584"/>
        <v>192100321.5</v>
      </c>
    </row>
    <row r="1005" spans="1:14" s="18" customFormat="1" ht="24" hidden="1" customHeight="1" x14ac:dyDescent="0.3">
      <c r="A1005" s="19"/>
      <c r="B1005" s="19"/>
      <c r="C1005" s="29" t="s">
        <v>46</v>
      </c>
      <c r="D1005" s="21"/>
      <c r="E1005" s="19">
        <v>144</v>
      </c>
      <c r="F1005" s="22">
        <v>1053.5999999999999</v>
      </c>
      <c r="G1005" s="23">
        <v>2040</v>
      </c>
      <c r="H1005" s="24">
        <f t="shared" si="599"/>
        <v>2149344</v>
      </c>
      <c r="I1005" s="23">
        <v>0</v>
      </c>
      <c r="J1005" s="23">
        <f t="shared" si="600"/>
        <v>2149344</v>
      </c>
      <c r="K1005" s="32"/>
      <c r="L1005" s="33"/>
      <c r="M1005" s="34"/>
      <c r="N1005" s="35">
        <f t="shared" si="584"/>
        <v>194249665.5</v>
      </c>
    </row>
    <row r="1006" spans="1:14" s="18" customFormat="1" ht="24" hidden="1" customHeight="1" x14ac:dyDescent="0.3">
      <c r="A1006" s="19"/>
      <c r="B1006" s="19">
        <v>28</v>
      </c>
      <c r="C1006" s="29" t="s">
        <v>380</v>
      </c>
      <c r="D1006" s="21"/>
      <c r="E1006" s="19"/>
      <c r="F1006" s="22"/>
      <c r="G1006" s="23"/>
      <c r="H1006" s="24"/>
      <c r="I1006" s="23"/>
      <c r="J1006" s="23"/>
      <c r="K1006" s="32"/>
      <c r="L1006" s="33"/>
      <c r="M1006" s="34"/>
      <c r="N1006" s="35">
        <f t="shared" si="584"/>
        <v>194249665.5</v>
      </c>
    </row>
    <row r="1007" spans="1:14" s="18" customFormat="1" ht="24" hidden="1" customHeight="1" x14ac:dyDescent="0.3">
      <c r="A1007" s="19"/>
      <c r="B1007" s="19"/>
      <c r="C1007" s="36" t="s">
        <v>48</v>
      </c>
      <c r="D1007" s="21"/>
      <c r="E1007" s="19">
        <v>68</v>
      </c>
      <c r="F1007" s="22">
        <v>963.1</v>
      </c>
      <c r="G1007" s="23">
        <f>2200+550+1070+250</f>
        <v>4070</v>
      </c>
      <c r="H1007" s="24">
        <f t="shared" ref="H1007" si="601">F1007*G1007</f>
        <v>3919817</v>
      </c>
      <c r="I1007" s="23">
        <v>0</v>
      </c>
      <c r="J1007" s="23">
        <f t="shared" ref="J1007" si="602">SUM(H1007:I1007)</f>
        <v>3919817</v>
      </c>
      <c r="K1007" s="32"/>
      <c r="L1007" s="33"/>
      <c r="M1007" s="34"/>
      <c r="N1007" s="35">
        <f t="shared" si="584"/>
        <v>198169482.5</v>
      </c>
    </row>
    <row r="1008" spans="1:14" s="18" customFormat="1" ht="24" hidden="1" customHeight="1" x14ac:dyDescent="0.3">
      <c r="A1008" s="19"/>
      <c r="B1008" s="19">
        <v>28</v>
      </c>
      <c r="C1008" s="29" t="s">
        <v>381</v>
      </c>
      <c r="D1008" s="21"/>
      <c r="E1008" s="19"/>
      <c r="F1008" s="22"/>
      <c r="G1008" s="23"/>
      <c r="H1008" s="24"/>
      <c r="I1008" s="23"/>
      <c r="J1008" s="23"/>
      <c r="K1008" s="32"/>
      <c r="L1008" s="33"/>
      <c r="M1008" s="34"/>
      <c r="N1008" s="35">
        <f t="shared" si="584"/>
        <v>198169482.5</v>
      </c>
    </row>
    <row r="1009" spans="1:14" s="18" customFormat="1" ht="24" hidden="1" customHeight="1" x14ac:dyDescent="0.3">
      <c r="A1009" s="19"/>
      <c r="B1009" s="19"/>
      <c r="C1009" s="39" t="s">
        <v>45</v>
      </c>
      <c r="D1009" s="37"/>
      <c r="E1009" s="19"/>
      <c r="F1009" s="22"/>
      <c r="G1009" s="23"/>
      <c r="H1009" s="24">
        <v>120000</v>
      </c>
      <c r="I1009" s="23">
        <f>H1009*0.1</f>
        <v>12000</v>
      </c>
      <c r="J1009" s="23">
        <f>SUM(H1009:I1009)</f>
        <v>132000</v>
      </c>
      <c r="K1009" s="32"/>
      <c r="L1009" s="33"/>
      <c r="M1009" s="34"/>
      <c r="N1009" s="35">
        <f t="shared" si="584"/>
        <v>198301482.5</v>
      </c>
    </row>
    <row r="1010" spans="1:14" s="18" customFormat="1" ht="24" hidden="1" customHeight="1" x14ac:dyDescent="0.3">
      <c r="A1010" s="19"/>
      <c r="B1010" s="19">
        <v>28</v>
      </c>
      <c r="C1010" s="39" t="s">
        <v>359</v>
      </c>
      <c r="D1010" s="21"/>
      <c r="E1010" s="19"/>
      <c r="F1010" s="22"/>
      <c r="G1010" s="23"/>
      <c r="H1010" s="24"/>
      <c r="I1010" s="23"/>
      <c r="J1010" s="23"/>
      <c r="K1010" s="32"/>
      <c r="L1010" s="33"/>
      <c r="M1010" s="34"/>
      <c r="N1010" s="35">
        <f t="shared" si="584"/>
        <v>198301482.5</v>
      </c>
    </row>
    <row r="1011" spans="1:14" s="18" customFormat="1" ht="24" hidden="1" customHeight="1" x14ac:dyDescent="0.3">
      <c r="A1011" s="19"/>
      <c r="B1011" s="19"/>
      <c r="C1011" s="39" t="s">
        <v>45</v>
      </c>
      <c r="D1011" s="37"/>
      <c r="E1011" s="19"/>
      <c r="F1011" s="22"/>
      <c r="G1011" s="23"/>
      <c r="H1011" s="24">
        <v>140000</v>
      </c>
      <c r="I1011" s="23">
        <f>H1011*0.1</f>
        <v>14000</v>
      </c>
      <c r="J1011" s="23">
        <f>SUM(H1011:I1011)</f>
        <v>154000</v>
      </c>
      <c r="K1011" s="32"/>
      <c r="L1011" s="33"/>
      <c r="M1011" s="34"/>
      <c r="N1011" s="35">
        <f t="shared" si="584"/>
        <v>198455482.5</v>
      </c>
    </row>
    <row r="1012" spans="1:14" s="18" customFormat="1" ht="24" hidden="1" customHeight="1" x14ac:dyDescent="0.3">
      <c r="A1012" s="19"/>
      <c r="B1012" s="19"/>
      <c r="C1012" s="36"/>
      <c r="D1012" s="21"/>
      <c r="E1012" s="19"/>
      <c r="F1012" s="22"/>
      <c r="G1012" s="23"/>
      <c r="H1012" s="24"/>
      <c r="I1012" s="23"/>
      <c r="J1012" s="47">
        <v>-18455483</v>
      </c>
      <c r="K1012" s="32"/>
      <c r="L1012" s="33">
        <v>45807</v>
      </c>
      <c r="M1012" s="34">
        <v>180000000</v>
      </c>
      <c r="N1012" s="76">
        <f t="shared" si="584"/>
        <v>179999999.5</v>
      </c>
    </row>
    <row r="1013" spans="1:14" s="18" customFormat="1" ht="24" hidden="1" customHeight="1" thickBot="1" x14ac:dyDescent="0.35">
      <c r="A1013" s="49"/>
      <c r="B1013" s="49">
        <v>30</v>
      </c>
      <c r="C1013" s="77"/>
      <c r="D1013" s="51" t="s">
        <v>153</v>
      </c>
      <c r="E1013" s="49"/>
      <c r="F1013" s="52"/>
      <c r="G1013" s="53"/>
      <c r="H1013" s="54"/>
      <c r="I1013" s="53"/>
      <c r="J1013" s="53"/>
      <c r="K1013" s="55">
        <v>-180000000</v>
      </c>
      <c r="L1013" s="56"/>
      <c r="M1013" s="57"/>
      <c r="N1013" s="78">
        <v>0</v>
      </c>
    </row>
    <row r="1014" spans="1:14" s="18" customFormat="1" ht="24" hidden="1" customHeight="1" thickTop="1" x14ac:dyDescent="0.3">
      <c r="A1014" s="59"/>
      <c r="B1014" s="59"/>
      <c r="C1014" s="75"/>
      <c r="D1014" s="61"/>
      <c r="E1014" s="59"/>
      <c r="F1014" s="62"/>
      <c r="G1014" s="63"/>
      <c r="H1014" s="64"/>
      <c r="I1014" s="63"/>
      <c r="J1014" s="63"/>
      <c r="K1014" s="65"/>
      <c r="L1014" s="66"/>
      <c r="M1014" s="67"/>
      <c r="N1014" s="79">
        <f t="shared" si="584"/>
        <v>0</v>
      </c>
    </row>
    <row r="1015" spans="1:14" s="2" customFormat="1" ht="27" hidden="1" customHeight="1" thickBot="1" x14ac:dyDescent="0.35">
      <c r="A1015" s="1"/>
      <c r="B1015" s="1"/>
      <c r="C1015" s="1"/>
      <c r="E1015" s="86" t="s">
        <v>0</v>
      </c>
      <c r="F1015" s="86"/>
      <c r="G1015" s="86"/>
      <c r="H1015" s="86"/>
      <c r="I1015" s="86"/>
      <c r="J1015" s="86"/>
      <c r="K1015" s="1"/>
      <c r="L1015" s="3"/>
      <c r="M1015" s="3"/>
      <c r="N1015" s="1"/>
    </row>
    <row r="1016" spans="1:14" s="2" customFormat="1" ht="24" hidden="1" customHeight="1" thickTop="1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3"/>
      <c r="M1016" s="3"/>
      <c r="N1016" s="1"/>
    </row>
    <row r="1017" spans="1:14" s="2" customFormat="1" ht="24" hidden="1" customHeight="1" thickBot="1" x14ac:dyDescent="0.35">
      <c r="A1017" s="2" t="s">
        <v>1</v>
      </c>
      <c r="C1017" s="4"/>
      <c r="D1017" s="4"/>
      <c r="E1017" s="5"/>
      <c r="F1017" s="6"/>
      <c r="G1017" s="7"/>
      <c r="H1017" s="7"/>
      <c r="I1017" s="7"/>
      <c r="J1017" s="8"/>
      <c r="K1017" s="9"/>
      <c r="L1017" s="10"/>
      <c r="M1017" s="11"/>
      <c r="N1017" s="12" t="s">
        <v>2</v>
      </c>
    </row>
    <row r="1018" spans="1:14" s="18" customFormat="1" ht="24" hidden="1" customHeight="1" thickTop="1" thickBot="1" x14ac:dyDescent="0.35">
      <c r="A1018" s="13" t="s">
        <v>3</v>
      </c>
      <c r="B1018" s="13" t="s">
        <v>4</v>
      </c>
      <c r="C1018" s="87" t="s">
        <v>5</v>
      </c>
      <c r="D1018" s="88"/>
      <c r="E1018" s="13" t="s">
        <v>6</v>
      </c>
      <c r="F1018" s="14" t="s">
        <v>7</v>
      </c>
      <c r="G1018" s="15" t="s">
        <v>8</v>
      </c>
      <c r="H1018" s="15" t="s">
        <v>9</v>
      </c>
      <c r="I1018" s="15" t="s">
        <v>10</v>
      </c>
      <c r="J1018" s="15" t="s">
        <v>11</v>
      </c>
      <c r="K1018" s="16" t="s">
        <v>12</v>
      </c>
      <c r="L1018" s="89" t="s">
        <v>13</v>
      </c>
      <c r="M1018" s="90"/>
      <c r="N1018" s="17" t="s">
        <v>14</v>
      </c>
    </row>
    <row r="1019" spans="1:14" s="18" customFormat="1" ht="24" hidden="1" customHeight="1" thickTop="1" x14ac:dyDescent="0.3">
      <c r="A1019" s="41">
        <v>5</v>
      </c>
      <c r="B1019" s="41">
        <v>30</v>
      </c>
      <c r="C1019" s="73" t="s">
        <v>380</v>
      </c>
      <c r="D1019" s="40"/>
      <c r="E1019" s="41"/>
      <c r="F1019" s="42"/>
      <c r="G1019" s="43"/>
      <c r="H1019" s="44"/>
      <c r="I1019" s="43"/>
      <c r="J1019" s="43"/>
      <c r="K1019" s="25"/>
      <c r="L1019" s="26"/>
      <c r="M1019" s="27"/>
      <c r="N1019" s="28"/>
    </row>
    <row r="1020" spans="1:14" s="18" customFormat="1" ht="24" hidden="1" customHeight="1" x14ac:dyDescent="0.3">
      <c r="A1020" s="19"/>
      <c r="B1020" s="19"/>
      <c r="C1020" s="36" t="s">
        <v>48</v>
      </c>
      <c r="D1020" s="21"/>
      <c r="E1020" s="19">
        <v>3</v>
      </c>
      <c r="F1020" s="22">
        <v>67.2</v>
      </c>
      <c r="G1020" s="23">
        <f>2200+550+1070+250</f>
        <v>4070</v>
      </c>
      <c r="H1020" s="24">
        <f t="shared" ref="H1020" si="603">F1020*G1020</f>
        <v>273504</v>
      </c>
      <c r="I1020" s="23">
        <v>0</v>
      </c>
      <c r="J1020" s="23">
        <f t="shared" ref="J1020" si="604">SUM(H1020:I1020)</f>
        <v>273504</v>
      </c>
      <c r="K1020" s="32"/>
      <c r="L1020" s="33"/>
      <c r="M1020" s="34"/>
      <c r="N1020" s="35">
        <f>N1019+J1020+K1020</f>
        <v>273504</v>
      </c>
    </row>
    <row r="1021" spans="1:14" s="18" customFormat="1" ht="24" hidden="1" customHeight="1" x14ac:dyDescent="0.3">
      <c r="A1021" s="19"/>
      <c r="B1021" s="19">
        <v>30</v>
      </c>
      <c r="C1021" s="39" t="s">
        <v>370</v>
      </c>
      <c r="D1021" s="37"/>
      <c r="E1021" s="19"/>
      <c r="F1021" s="22"/>
      <c r="G1021" s="23"/>
      <c r="H1021" s="24"/>
      <c r="I1021" s="23"/>
      <c r="J1021" s="23"/>
      <c r="K1021" s="32"/>
      <c r="L1021" s="33"/>
      <c r="M1021" s="34"/>
      <c r="N1021" s="35">
        <f>N1020+J1021+K1021</f>
        <v>273504</v>
      </c>
    </row>
    <row r="1022" spans="1:14" s="18" customFormat="1" ht="24" hidden="1" customHeight="1" x14ac:dyDescent="0.3">
      <c r="A1022" s="19"/>
      <c r="B1022" s="19"/>
      <c r="C1022" s="36" t="s">
        <v>241</v>
      </c>
      <c r="D1022" s="21"/>
      <c r="E1022" s="19">
        <v>8</v>
      </c>
      <c r="F1022" s="22">
        <v>93.3</v>
      </c>
      <c r="G1022" s="23">
        <f>900+1250+980+250</f>
        <v>3380</v>
      </c>
      <c r="H1022" s="24">
        <f t="shared" ref="H1022" si="605">F1022*G1022</f>
        <v>315354</v>
      </c>
      <c r="I1022" s="23">
        <v>0</v>
      </c>
      <c r="J1022" s="23">
        <f t="shared" ref="J1022" si="606">SUM(H1022:I1022)</f>
        <v>315354</v>
      </c>
      <c r="K1022" s="32"/>
      <c r="L1022" s="33"/>
      <c r="M1022" s="34"/>
      <c r="N1022" s="35">
        <f t="shared" ref="N1022:N1053" si="607">N1021+J1022+K1022</f>
        <v>588858</v>
      </c>
    </row>
    <row r="1023" spans="1:14" s="18" customFormat="1" ht="24" hidden="1" customHeight="1" x14ac:dyDescent="0.3">
      <c r="A1023" s="19"/>
      <c r="B1023" s="19">
        <v>30</v>
      </c>
      <c r="C1023" s="29" t="s">
        <v>382</v>
      </c>
      <c r="D1023" s="21"/>
      <c r="E1023" s="19"/>
      <c r="F1023" s="22"/>
      <c r="G1023" s="23"/>
      <c r="H1023" s="24"/>
      <c r="I1023" s="23"/>
      <c r="J1023" s="23"/>
      <c r="K1023" s="32"/>
      <c r="L1023" s="33"/>
      <c r="M1023" s="34"/>
      <c r="N1023" s="35">
        <f t="shared" si="607"/>
        <v>588858</v>
      </c>
    </row>
    <row r="1024" spans="1:14" s="18" customFormat="1" ht="24" hidden="1" customHeight="1" x14ac:dyDescent="0.3">
      <c r="A1024" s="19"/>
      <c r="B1024" s="19"/>
      <c r="C1024" s="36" t="s">
        <v>21</v>
      </c>
      <c r="D1024" s="21"/>
      <c r="E1024" s="19">
        <v>80</v>
      </c>
      <c r="F1024" s="22">
        <v>739.8</v>
      </c>
      <c r="G1024" s="23">
        <f>2200+550+1070+250+330</f>
        <v>4400</v>
      </c>
      <c r="H1024" s="24">
        <f t="shared" ref="H1024" si="608">F1024*G1024</f>
        <v>3255120</v>
      </c>
      <c r="I1024" s="23">
        <v>0</v>
      </c>
      <c r="J1024" s="23">
        <f t="shared" ref="J1024" si="609">SUM(H1024:I1024)</f>
        <v>3255120</v>
      </c>
      <c r="K1024" s="32"/>
      <c r="L1024" s="33"/>
      <c r="M1024" s="34"/>
      <c r="N1024" s="35">
        <f t="shared" si="607"/>
        <v>3843978</v>
      </c>
    </row>
    <row r="1025" spans="1:14" s="18" customFormat="1" ht="24" hidden="1" customHeight="1" x14ac:dyDescent="0.3">
      <c r="A1025" s="19">
        <v>6</v>
      </c>
      <c r="B1025" s="19">
        <v>2</v>
      </c>
      <c r="C1025" s="39" t="s">
        <v>383</v>
      </c>
      <c r="D1025" s="21"/>
      <c r="E1025" s="19"/>
      <c r="F1025" s="22"/>
      <c r="G1025" s="23"/>
      <c r="H1025" s="24"/>
      <c r="I1025" s="23"/>
      <c r="J1025" s="23"/>
      <c r="K1025" s="32"/>
      <c r="L1025" s="33"/>
      <c r="M1025" s="34"/>
      <c r="N1025" s="35">
        <f t="shared" si="607"/>
        <v>3843978</v>
      </c>
    </row>
    <row r="1026" spans="1:14" s="18" customFormat="1" ht="24" hidden="1" customHeight="1" x14ac:dyDescent="0.3">
      <c r="A1026" s="19"/>
      <c r="B1026" s="19"/>
      <c r="C1026" s="36" t="s">
        <v>21</v>
      </c>
      <c r="D1026" s="21"/>
      <c r="E1026" s="19">
        <v>322</v>
      </c>
      <c r="F1026" s="22">
        <v>3000.5</v>
      </c>
      <c r="G1026" s="23">
        <f>2200+550+1070+250+330</f>
        <v>4400</v>
      </c>
      <c r="H1026" s="24">
        <f t="shared" ref="H1026:H1028" si="610">F1026*G1026</f>
        <v>13202200</v>
      </c>
      <c r="I1026" s="23">
        <v>0</v>
      </c>
      <c r="J1026" s="23">
        <f t="shared" ref="J1026" si="611">SUM(H1026:I1026)</f>
        <v>13202200</v>
      </c>
      <c r="K1026" s="32"/>
      <c r="L1026" s="33"/>
      <c r="M1026" s="34"/>
      <c r="N1026" s="35">
        <f t="shared" si="607"/>
        <v>17046178</v>
      </c>
    </row>
    <row r="1027" spans="1:14" s="18" customFormat="1" ht="24" hidden="1" customHeight="1" x14ac:dyDescent="0.3">
      <c r="A1027" s="19"/>
      <c r="B1027" s="19"/>
      <c r="C1027" s="36" t="s">
        <v>384</v>
      </c>
      <c r="D1027" s="37" t="s">
        <v>377</v>
      </c>
      <c r="E1027" s="19">
        <v>18</v>
      </c>
      <c r="F1027" s="22">
        <v>228.4</v>
      </c>
      <c r="G1027" s="23">
        <v>5280</v>
      </c>
      <c r="H1027" s="24">
        <f t="shared" si="610"/>
        <v>1205952</v>
      </c>
      <c r="I1027" s="23">
        <v>0</v>
      </c>
      <c r="J1027" s="23">
        <f t="shared" ref="J1027:J1028" si="612">SUM(H1027:I1027)</f>
        <v>1205952</v>
      </c>
      <c r="K1027" s="32"/>
      <c r="L1027" s="33"/>
      <c r="M1027" s="34"/>
      <c r="N1027" s="35">
        <f t="shared" si="607"/>
        <v>18252130</v>
      </c>
    </row>
    <row r="1028" spans="1:14" s="18" customFormat="1" ht="24" hidden="1" customHeight="1" x14ac:dyDescent="0.3">
      <c r="A1028" s="19"/>
      <c r="B1028" s="19"/>
      <c r="C1028" s="29" t="s">
        <v>46</v>
      </c>
      <c r="D1028" s="37"/>
      <c r="E1028" s="19">
        <v>5</v>
      </c>
      <c r="F1028" s="22">
        <v>46.5</v>
      </c>
      <c r="G1028" s="23">
        <v>2040</v>
      </c>
      <c r="H1028" s="24">
        <f t="shared" si="610"/>
        <v>94860</v>
      </c>
      <c r="I1028" s="23">
        <v>0</v>
      </c>
      <c r="J1028" s="23">
        <f t="shared" si="612"/>
        <v>94860</v>
      </c>
      <c r="K1028" s="32"/>
      <c r="L1028" s="33"/>
      <c r="M1028" s="34"/>
      <c r="N1028" s="35">
        <f t="shared" si="607"/>
        <v>18346990</v>
      </c>
    </row>
    <row r="1029" spans="1:14" s="18" customFormat="1" ht="24" hidden="1" customHeight="1" x14ac:dyDescent="0.3">
      <c r="A1029" s="19"/>
      <c r="B1029" s="19">
        <v>2</v>
      </c>
      <c r="C1029" s="29" t="s">
        <v>385</v>
      </c>
      <c r="D1029" s="21"/>
      <c r="E1029" s="19"/>
      <c r="F1029" s="22"/>
      <c r="G1029" s="23"/>
      <c r="H1029" s="24"/>
      <c r="I1029" s="23"/>
      <c r="J1029" s="23"/>
      <c r="K1029" s="32"/>
      <c r="L1029" s="33"/>
      <c r="M1029" s="34"/>
      <c r="N1029" s="35">
        <f t="shared" si="607"/>
        <v>18346990</v>
      </c>
    </row>
    <row r="1030" spans="1:14" s="18" customFormat="1" ht="24" hidden="1" customHeight="1" x14ac:dyDescent="0.3">
      <c r="A1030" s="19"/>
      <c r="B1030" s="19"/>
      <c r="C1030" s="36" t="s">
        <v>86</v>
      </c>
      <c r="D1030" s="21"/>
      <c r="E1030" s="19">
        <v>1</v>
      </c>
      <c r="F1030" s="22">
        <v>4.9000000000000004</v>
      </c>
      <c r="G1030" s="23">
        <f>550+1000+1070+250</f>
        <v>2870</v>
      </c>
      <c r="H1030" s="24">
        <f t="shared" ref="H1030" si="613">F1030*G1030</f>
        <v>14063.000000000002</v>
      </c>
      <c r="I1030" s="23">
        <v>0</v>
      </c>
      <c r="J1030" s="23">
        <f t="shared" ref="J1030" si="614">SUM(H1030:I1030)</f>
        <v>14063.000000000002</v>
      </c>
      <c r="K1030" s="32"/>
      <c r="L1030" s="33"/>
      <c r="M1030" s="34"/>
      <c r="N1030" s="35">
        <f t="shared" si="607"/>
        <v>18361053</v>
      </c>
    </row>
    <row r="1031" spans="1:14" s="18" customFormat="1" ht="24" hidden="1" customHeight="1" x14ac:dyDescent="0.3">
      <c r="A1031" s="19"/>
      <c r="B1031" s="19">
        <v>2</v>
      </c>
      <c r="C1031" s="29" t="s">
        <v>375</v>
      </c>
      <c r="D1031" s="21"/>
      <c r="E1031" s="19"/>
      <c r="F1031" s="22"/>
      <c r="G1031" s="23"/>
      <c r="H1031" s="24"/>
      <c r="I1031" s="23"/>
      <c r="J1031" s="23"/>
      <c r="K1031" s="32"/>
      <c r="L1031" s="33"/>
      <c r="M1031" s="34"/>
      <c r="N1031" s="35">
        <f t="shared" si="607"/>
        <v>18361053</v>
      </c>
    </row>
    <row r="1032" spans="1:14" s="18" customFormat="1" ht="24" hidden="1" customHeight="1" x14ac:dyDescent="0.3">
      <c r="A1032" s="19"/>
      <c r="B1032" s="19"/>
      <c r="C1032" s="36" t="s">
        <v>23</v>
      </c>
      <c r="D1032" s="21"/>
      <c r="E1032" s="19">
        <v>2</v>
      </c>
      <c r="F1032" s="22">
        <v>7.4</v>
      </c>
      <c r="G1032" s="23">
        <f>2200+550+1070+250+330</f>
        <v>4400</v>
      </c>
      <c r="H1032" s="24">
        <f t="shared" ref="H1032" si="615">F1032*G1032</f>
        <v>32560</v>
      </c>
      <c r="I1032" s="23">
        <v>0</v>
      </c>
      <c r="J1032" s="23">
        <f t="shared" ref="J1032" si="616">SUM(H1032:I1032)</f>
        <v>32560</v>
      </c>
      <c r="K1032" s="32"/>
      <c r="L1032" s="33"/>
      <c r="M1032" s="34"/>
      <c r="N1032" s="35">
        <f t="shared" si="607"/>
        <v>18393613</v>
      </c>
    </row>
    <row r="1033" spans="1:14" s="18" customFormat="1" ht="24" hidden="1" customHeight="1" x14ac:dyDescent="0.3">
      <c r="A1033" s="19"/>
      <c r="B1033" s="19">
        <v>2</v>
      </c>
      <c r="C1033" s="39" t="s">
        <v>386</v>
      </c>
      <c r="D1033" s="37"/>
      <c r="E1033" s="19"/>
      <c r="F1033" s="22"/>
      <c r="G1033" s="23"/>
      <c r="H1033" s="24"/>
      <c r="I1033" s="23"/>
      <c r="J1033" s="23"/>
      <c r="K1033" s="32"/>
      <c r="L1033" s="33"/>
      <c r="M1033" s="34"/>
      <c r="N1033" s="35">
        <f t="shared" si="607"/>
        <v>18393613</v>
      </c>
    </row>
    <row r="1034" spans="1:14" s="18" customFormat="1" ht="24" hidden="1" customHeight="1" x14ac:dyDescent="0.3">
      <c r="A1034" s="19"/>
      <c r="B1034" s="19"/>
      <c r="C1034" s="36" t="s">
        <v>287</v>
      </c>
      <c r="D1034" s="21"/>
      <c r="E1034" s="19">
        <v>565</v>
      </c>
      <c r="F1034" s="22">
        <v>4652.6000000000004</v>
      </c>
      <c r="G1034" s="23">
        <f>2200+550+1200+300+390</f>
        <v>4640</v>
      </c>
      <c r="H1034" s="24">
        <f t="shared" ref="H1034:H1035" si="617">F1034*G1034</f>
        <v>21588064</v>
      </c>
      <c r="I1034" s="23">
        <v>0</v>
      </c>
      <c r="J1034" s="23">
        <f t="shared" ref="J1034" si="618">SUM(H1034:I1034)</f>
        <v>21588064</v>
      </c>
      <c r="K1034" s="32"/>
      <c r="L1034" s="33"/>
      <c r="M1034" s="34"/>
      <c r="N1034" s="35">
        <f t="shared" si="607"/>
        <v>39981677</v>
      </c>
    </row>
    <row r="1035" spans="1:14" s="18" customFormat="1" ht="24" hidden="1" customHeight="1" x14ac:dyDescent="0.3">
      <c r="A1035" s="19"/>
      <c r="B1035" s="19"/>
      <c r="C1035" s="39" t="s">
        <v>75</v>
      </c>
      <c r="D1035" s="21"/>
      <c r="E1035" s="19">
        <v>8</v>
      </c>
      <c r="F1035" s="22">
        <v>74.3</v>
      </c>
      <c r="G1035" s="23">
        <v>2540</v>
      </c>
      <c r="H1035" s="24">
        <f t="shared" si="617"/>
        <v>188722</v>
      </c>
      <c r="I1035" s="23">
        <v>0</v>
      </c>
      <c r="J1035" s="23">
        <f t="shared" ref="J1035" si="619">SUM(H1035:I1035)</f>
        <v>188722</v>
      </c>
      <c r="K1035" s="32"/>
      <c r="L1035" s="33"/>
      <c r="M1035" s="34"/>
      <c r="N1035" s="35">
        <f t="shared" si="607"/>
        <v>40170399</v>
      </c>
    </row>
    <row r="1036" spans="1:14" s="18" customFormat="1" ht="24" hidden="1" customHeight="1" x14ac:dyDescent="0.3">
      <c r="A1036" s="19"/>
      <c r="B1036" s="19">
        <v>2</v>
      </c>
      <c r="C1036" s="29" t="s">
        <v>387</v>
      </c>
      <c r="D1036" s="21"/>
      <c r="E1036" s="19"/>
      <c r="F1036" s="22"/>
      <c r="G1036" s="23"/>
      <c r="H1036" s="24"/>
      <c r="I1036" s="23"/>
      <c r="J1036" s="23"/>
      <c r="K1036" s="32"/>
      <c r="L1036" s="33"/>
      <c r="M1036" s="34"/>
      <c r="N1036" s="35">
        <f t="shared" si="607"/>
        <v>40170399</v>
      </c>
    </row>
    <row r="1037" spans="1:14" s="18" customFormat="1" ht="24" hidden="1" customHeight="1" x14ac:dyDescent="0.3">
      <c r="A1037" s="19"/>
      <c r="B1037" s="19"/>
      <c r="C1037" s="39" t="s">
        <v>388</v>
      </c>
      <c r="D1037" s="21"/>
      <c r="E1037" s="19">
        <v>4</v>
      </c>
      <c r="F1037" s="22">
        <v>87.9</v>
      </c>
      <c r="G1037" s="23">
        <v>1700</v>
      </c>
      <c r="H1037" s="24">
        <f t="shared" ref="H1037" si="620">F1037*G1037</f>
        <v>149430</v>
      </c>
      <c r="I1037" s="23">
        <v>0</v>
      </c>
      <c r="J1037" s="23">
        <f t="shared" ref="J1037" si="621">SUM(H1037:I1037)</f>
        <v>149430</v>
      </c>
      <c r="K1037" s="32"/>
      <c r="L1037" s="33"/>
      <c r="M1037" s="34"/>
      <c r="N1037" s="35">
        <f t="shared" si="607"/>
        <v>40319829</v>
      </c>
    </row>
    <row r="1038" spans="1:14" s="18" customFormat="1" ht="24" hidden="1" customHeight="1" x14ac:dyDescent="0.3">
      <c r="A1038" s="19"/>
      <c r="B1038" s="19">
        <v>2</v>
      </c>
      <c r="C1038" s="29" t="s">
        <v>389</v>
      </c>
      <c r="D1038" s="21"/>
      <c r="E1038" s="19"/>
      <c r="F1038" s="22"/>
      <c r="G1038" s="23"/>
      <c r="H1038" s="24"/>
      <c r="I1038" s="23"/>
      <c r="J1038" s="23"/>
      <c r="K1038" s="32"/>
      <c r="L1038" s="33"/>
      <c r="M1038" s="34"/>
      <c r="N1038" s="35">
        <f t="shared" si="607"/>
        <v>40319829</v>
      </c>
    </row>
    <row r="1039" spans="1:14" s="18" customFormat="1" ht="24" hidden="1" customHeight="1" x14ac:dyDescent="0.3">
      <c r="A1039" s="19"/>
      <c r="B1039" s="19"/>
      <c r="C1039" s="39" t="s">
        <v>46</v>
      </c>
      <c r="D1039" s="21"/>
      <c r="E1039" s="19">
        <v>2</v>
      </c>
      <c r="F1039" s="22">
        <v>63.1</v>
      </c>
      <c r="G1039" s="23">
        <v>2040</v>
      </c>
      <c r="H1039" s="24">
        <f t="shared" ref="H1039" si="622">F1039*G1039</f>
        <v>128724</v>
      </c>
      <c r="I1039" s="23">
        <v>0</v>
      </c>
      <c r="J1039" s="23">
        <f t="shared" ref="J1039" si="623">SUM(H1039:I1039)</f>
        <v>128724</v>
      </c>
      <c r="K1039" s="32"/>
      <c r="L1039" s="33"/>
      <c r="M1039" s="34"/>
      <c r="N1039" s="35">
        <f t="shared" si="607"/>
        <v>40448553</v>
      </c>
    </row>
    <row r="1040" spans="1:14" s="18" customFormat="1" ht="24" hidden="1" customHeight="1" x14ac:dyDescent="0.3">
      <c r="A1040" s="19"/>
      <c r="B1040" s="19">
        <v>2</v>
      </c>
      <c r="C1040" s="29" t="s">
        <v>390</v>
      </c>
      <c r="D1040" s="37"/>
      <c r="E1040" s="19"/>
      <c r="F1040" s="22"/>
      <c r="G1040" s="23"/>
      <c r="H1040" s="24"/>
      <c r="I1040" s="23"/>
      <c r="J1040" s="23"/>
      <c r="K1040" s="32"/>
      <c r="L1040" s="33"/>
      <c r="M1040" s="34"/>
      <c r="N1040" s="35">
        <f t="shared" si="607"/>
        <v>40448553</v>
      </c>
    </row>
    <row r="1041" spans="1:14" s="18" customFormat="1" ht="24" hidden="1" customHeight="1" x14ac:dyDescent="0.3">
      <c r="A1041" s="19"/>
      <c r="B1041" s="19"/>
      <c r="C1041" s="36" t="s">
        <v>391</v>
      </c>
      <c r="D1041" s="21"/>
      <c r="E1041" s="19">
        <v>56</v>
      </c>
      <c r="F1041" s="22">
        <v>966.5</v>
      </c>
      <c r="G1041" s="23">
        <f>1200+1800+1070+250</f>
        <v>4320</v>
      </c>
      <c r="H1041" s="24">
        <f t="shared" ref="H1041:H1042" si="624">F1041*G1041</f>
        <v>4175280</v>
      </c>
      <c r="I1041" s="23">
        <v>0</v>
      </c>
      <c r="J1041" s="23">
        <f t="shared" ref="J1041:J1042" si="625">SUM(H1041:I1041)</f>
        <v>4175280</v>
      </c>
      <c r="K1041" s="32"/>
      <c r="L1041" s="33"/>
      <c r="M1041" s="34"/>
      <c r="N1041" s="35">
        <f t="shared" si="607"/>
        <v>44623833</v>
      </c>
    </row>
    <row r="1042" spans="1:14" s="18" customFormat="1" ht="24" hidden="1" customHeight="1" x14ac:dyDescent="0.3">
      <c r="A1042" s="19"/>
      <c r="B1042" s="19"/>
      <c r="C1042" s="36" t="s">
        <v>86</v>
      </c>
      <c r="D1042" s="21"/>
      <c r="E1042" s="19">
        <v>26</v>
      </c>
      <c r="F1042" s="22">
        <v>229</v>
      </c>
      <c r="G1042" s="23">
        <f>550+1000+1070+250</f>
        <v>2870</v>
      </c>
      <c r="H1042" s="24">
        <f t="shared" si="624"/>
        <v>657230</v>
      </c>
      <c r="I1042" s="23">
        <v>0</v>
      </c>
      <c r="J1042" s="23">
        <f t="shared" si="625"/>
        <v>657230</v>
      </c>
      <c r="K1042" s="32"/>
      <c r="L1042" s="33"/>
      <c r="M1042" s="34"/>
      <c r="N1042" s="35">
        <f t="shared" si="607"/>
        <v>45281063</v>
      </c>
    </row>
    <row r="1043" spans="1:14" s="18" customFormat="1" ht="24" hidden="1" customHeight="1" x14ac:dyDescent="0.3">
      <c r="A1043" s="19"/>
      <c r="B1043" s="19">
        <v>4</v>
      </c>
      <c r="C1043" s="39" t="s">
        <v>340</v>
      </c>
      <c r="D1043" s="21"/>
      <c r="E1043" s="19"/>
      <c r="F1043" s="22"/>
      <c r="G1043" s="23"/>
      <c r="H1043" s="24"/>
      <c r="I1043" s="23"/>
      <c r="J1043" s="23"/>
      <c r="K1043" s="32"/>
      <c r="L1043" s="33"/>
      <c r="M1043" s="34"/>
      <c r="N1043" s="35">
        <f t="shared" si="607"/>
        <v>45281063</v>
      </c>
    </row>
    <row r="1044" spans="1:14" s="18" customFormat="1" ht="24" hidden="1" customHeight="1" x14ac:dyDescent="0.3">
      <c r="A1044" s="19"/>
      <c r="B1044" s="19"/>
      <c r="C1044" s="29" t="s">
        <v>89</v>
      </c>
      <c r="D1044" s="21"/>
      <c r="E1044" s="19">
        <v>3</v>
      </c>
      <c r="F1044" s="22">
        <v>18.600000000000001</v>
      </c>
      <c r="G1044" s="23">
        <f>550+55</f>
        <v>605</v>
      </c>
      <c r="H1044" s="24">
        <f t="shared" ref="H1044" si="626">F1044*G1044</f>
        <v>11253</v>
      </c>
      <c r="I1044" s="23">
        <v>0</v>
      </c>
      <c r="J1044" s="23">
        <f t="shared" ref="J1044" si="627">SUM(H1044:I1044)</f>
        <v>11253</v>
      </c>
      <c r="K1044" s="32"/>
      <c r="L1044" s="33"/>
      <c r="M1044" s="34"/>
      <c r="N1044" s="35">
        <f t="shared" si="607"/>
        <v>45292316</v>
      </c>
    </row>
    <row r="1045" spans="1:14" s="18" customFormat="1" ht="24" hidden="1" customHeight="1" x14ac:dyDescent="0.3">
      <c r="A1045" s="19"/>
      <c r="B1045" s="19">
        <v>4</v>
      </c>
      <c r="C1045" s="29" t="s">
        <v>329</v>
      </c>
      <c r="D1045" s="21"/>
      <c r="E1045" s="19"/>
      <c r="F1045" s="22"/>
      <c r="G1045" s="23"/>
      <c r="H1045" s="24"/>
      <c r="I1045" s="23"/>
      <c r="J1045" s="23"/>
      <c r="K1045" s="32"/>
      <c r="L1045" s="33"/>
      <c r="M1045" s="34"/>
      <c r="N1045" s="35">
        <f t="shared" si="607"/>
        <v>45292316</v>
      </c>
    </row>
    <row r="1046" spans="1:14" s="18" customFormat="1" ht="24" hidden="1" customHeight="1" x14ac:dyDescent="0.3">
      <c r="A1046" s="19"/>
      <c r="B1046" s="19"/>
      <c r="C1046" s="36" t="s">
        <v>21</v>
      </c>
      <c r="D1046" s="21"/>
      <c r="E1046" s="19">
        <v>5</v>
      </c>
      <c r="F1046" s="22">
        <v>84</v>
      </c>
      <c r="G1046" s="23">
        <f>2200+550+1070+250+330</f>
        <v>4400</v>
      </c>
      <c r="H1046" s="24">
        <f t="shared" ref="H1046" si="628">F1046*G1046</f>
        <v>369600</v>
      </c>
      <c r="I1046" s="23">
        <v>0</v>
      </c>
      <c r="J1046" s="23">
        <f t="shared" ref="J1046" si="629">SUM(H1046:I1046)</f>
        <v>369600</v>
      </c>
      <c r="K1046" s="32"/>
      <c r="L1046" s="33"/>
      <c r="M1046" s="34"/>
      <c r="N1046" s="35">
        <f t="shared" si="607"/>
        <v>45661916</v>
      </c>
    </row>
    <row r="1047" spans="1:14" s="18" customFormat="1" ht="24" hidden="1" customHeight="1" x14ac:dyDescent="0.3">
      <c r="A1047" s="19"/>
      <c r="B1047" s="19">
        <v>5</v>
      </c>
      <c r="C1047" s="29" t="s">
        <v>329</v>
      </c>
      <c r="D1047" s="37"/>
      <c r="E1047" s="19"/>
      <c r="F1047" s="22"/>
      <c r="G1047" s="23"/>
      <c r="H1047" s="24"/>
      <c r="I1047" s="23"/>
      <c r="J1047" s="23"/>
      <c r="K1047" s="32"/>
      <c r="L1047" s="33"/>
      <c r="M1047" s="34"/>
      <c r="N1047" s="35">
        <f t="shared" si="607"/>
        <v>45661916</v>
      </c>
    </row>
    <row r="1048" spans="1:14" s="18" customFormat="1" ht="24" hidden="1" customHeight="1" x14ac:dyDescent="0.3">
      <c r="A1048" s="19"/>
      <c r="B1048" s="19"/>
      <c r="C1048" s="39" t="s">
        <v>392</v>
      </c>
      <c r="D1048" s="21"/>
      <c r="E1048" s="19">
        <v>2</v>
      </c>
      <c r="F1048" s="22">
        <v>25.6</v>
      </c>
      <c r="G1048" s="23">
        <f>3050+800</f>
        <v>3850</v>
      </c>
      <c r="H1048" s="24">
        <f t="shared" ref="H1048" si="630">F1048*G1048</f>
        <v>98560</v>
      </c>
      <c r="I1048" s="23">
        <v>0</v>
      </c>
      <c r="J1048" s="23">
        <f t="shared" ref="J1048" si="631">SUM(H1048:I1048)</f>
        <v>98560</v>
      </c>
      <c r="K1048" s="32"/>
      <c r="L1048" s="33"/>
      <c r="M1048" s="34"/>
      <c r="N1048" s="35">
        <f t="shared" si="607"/>
        <v>45760476</v>
      </c>
    </row>
    <row r="1049" spans="1:14" s="18" customFormat="1" ht="24" hidden="1" customHeight="1" x14ac:dyDescent="0.3">
      <c r="A1049" s="19"/>
      <c r="B1049" s="19">
        <v>5</v>
      </c>
      <c r="C1049" s="39" t="s">
        <v>349</v>
      </c>
      <c r="D1049" s="37"/>
      <c r="E1049" s="19"/>
      <c r="F1049" s="22"/>
      <c r="G1049" s="23"/>
      <c r="H1049" s="24"/>
      <c r="I1049" s="23"/>
      <c r="J1049" s="23"/>
      <c r="K1049" s="32"/>
      <c r="L1049" s="33"/>
      <c r="M1049" s="34"/>
      <c r="N1049" s="35">
        <f t="shared" si="607"/>
        <v>45760476</v>
      </c>
    </row>
    <row r="1050" spans="1:14" s="18" customFormat="1" ht="24" hidden="1" customHeight="1" x14ac:dyDescent="0.3">
      <c r="A1050" s="19"/>
      <c r="B1050" s="19"/>
      <c r="C1050" s="36" t="s">
        <v>393</v>
      </c>
      <c r="D1050" s="37"/>
      <c r="E1050" s="19">
        <v>9</v>
      </c>
      <c r="F1050" s="22">
        <v>181.1</v>
      </c>
      <c r="G1050" s="23">
        <f>2500+900+1200+300+390</f>
        <v>5290</v>
      </c>
      <c r="H1050" s="24">
        <f t="shared" ref="H1050:H1053" si="632">F1050*G1050</f>
        <v>958019</v>
      </c>
      <c r="I1050" s="23">
        <v>0</v>
      </c>
      <c r="J1050" s="23">
        <f t="shared" ref="J1050:J1053" si="633">SUM(H1050:I1050)</f>
        <v>958019</v>
      </c>
      <c r="K1050" s="32"/>
      <c r="L1050" s="33"/>
      <c r="M1050" s="34"/>
      <c r="N1050" s="35">
        <f t="shared" si="607"/>
        <v>46718495</v>
      </c>
    </row>
    <row r="1051" spans="1:14" s="18" customFormat="1" ht="24" hidden="1" customHeight="1" x14ac:dyDescent="0.3">
      <c r="A1051" s="19"/>
      <c r="B1051" s="19"/>
      <c r="C1051" s="29" t="s">
        <v>394</v>
      </c>
      <c r="D1051" s="21"/>
      <c r="E1051" s="19">
        <v>3</v>
      </c>
      <c r="F1051" s="22">
        <v>61.5</v>
      </c>
      <c r="G1051" s="23">
        <f>900+900+500+740</f>
        <v>3040</v>
      </c>
      <c r="H1051" s="24">
        <f t="shared" si="632"/>
        <v>186960</v>
      </c>
      <c r="I1051" s="23">
        <v>0</v>
      </c>
      <c r="J1051" s="23">
        <f t="shared" si="633"/>
        <v>186960</v>
      </c>
      <c r="K1051" s="32"/>
      <c r="L1051" s="33"/>
      <c r="M1051" s="34"/>
      <c r="N1051" s="38">
        <f t="shared" si="607"/>
        <v>46905455</v>
      </c>
    </row>
    <row r="1052" spans="1:14" s="18" customFormat="1" ht="24" hidden="1" customHeight="1" x14ac:dyDescent="0.3">
      <c r="A1052" s="19"/>
      <c r="B1052" s="19"/>
      <c r="C1052" s="39" t="s">
        <v>36</v>
      </c>
      <c r="D1052" s="21"/>
      <c r="E1052" s="19">
        <v>8</v>
      </c>
      <c r="F1052" s="22">
        <v>24</v>
      </c>
      <c r="G1052" s="23">
        <v>3050</v>
      </c>
      <c r="H1052" s="24">
        <f t="shared" si="632"/>
        <v>73200</v>
      </c>
      <c r="I1052" s="23">
        <v>0</v>
      </c>
      <c r="J1052" s="23">
        <f t="shared" si="633"/>
        <v>73200</v>
      </c>
      <c r="K1052" s="32"/>
      <c r="L1052" s="33"/>
      <c r="M1052" s="34"/>
      <c r="N1052" s="38">
        <f t="shared" si="607"/>
        <v>46978655</v>
      </c>
    </row>
    <row r="1053" spans="1:14" s="18" customFormat="1" ht="24" hidden="1" customHeight="1" x14ac:dyDescent="0.3">
      <c r="A1053" s="19"/>
      <c r="B1053" s="19"/>
      <c r="C1053" s="39" t="s">
        <v>46</v>
      </c>
      <c r="D1053" s="21"/>
      <c r="E1053" s="19">
        <v>1</v>
      </c>
      <c r="F1053" s="22">
        <v>26.9</v>
      </c>
      <c r="G1053" s="23">
        <v>2040</v>
      </c>
      <c r="H1053" s="24">
        <f t="shared" si="632"/>
        <v>54876</v>
      </c>
      <c r="I1053" s="23">
        <v>0</v>
      </c>
      <c r="J1053" s="23">
        <f t="shared" si="633"/>
        <v>54876</v>
      </c>
      <c r="K1053" s="32"/>
      <c r="L1053" s="33"/>
      <c r="M1053" s="34"/>
      <c r="N1053" s="38">
        <f t="shared" si="607"/>
        <v>47033531</v>
      </c>
    </row>
    <row r="1054" spans="1:14" s="2" customFormat="1" ht="27" hidden="1" customHeight="1" thickBot="1" x14ac:dyDescent="0.35">
      <c r="A1054" s="1"/>
      <c r="B1054" s="1"/>
      <c r="C1054" s="1"/>
      <c r="E1054" s="86" t="s">
        <v>0</v>
      </c>
      <c r="F1054" s="86"/>
      <c r="G1054" s="86"/>
      <c r="H1054" s="86"/>
      <c r="I1054" s="86"/>
      <c r="J1054" s="86"/>
      <c r="K1054" s="1"/>
      <c r="L1054" s="3"/>
      <c r="M1054" s="3"/>
      <c r="N1054" s="1"/>
    </row>
    <row r="1055" spans="1:14" s="2" customFormat="1" ht="24" hidden="1" customHeight="1" thickTop="1" x14ac:dyDescent="0.3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3"/>
      <c r="M1055" s="3"/>
      <c r="N1055" s="1"/>
    </row>
    <row r="1056" spans="1:14" s="2" customFormat="1" ht="24" hidden="1" customHeight="1" thickBot="1" x14ac:dyDescent="0.35">
      <c r="A1056" s="2" t="s">
        <v>1</v>
      </c>
      <c r="C1056" s="4"/>
      <c r="D1056" s="4"/>
      <c r="E1056" s="5"/>
      <c r="F1056" s="6"/>
      <c r="G1056" s="7"/>
      <c r="H1056" s="7"/>
      <c r="I1056" s="7"/>
      <c r="J1056" s="8"/>
      <c r="K1056" s="9"/>
      <c r="L1056" s="10"/>
      <c r="M1056" s="11"/>
      <c r="N1056" s="12" t="s">
        <v>2</v>
      </c>
    </row>
    <row r="1057" spans="1:14" s="18" customFormat="1" ht="24" hidden="1" customHeight="1" thickTop="1" thickBot="1" x14ac:dyDescent="0.35">
      <c r="A1057" s="13" t="s">
        <v>3</v>
      </c>
      <c r="B1057" s="13" t="s">
        <v>4</v>
      </c>
      <c r="C1057" s="87" t="s">
        <v>5</v>
      </c>
      <c r="D1057" s="88"/>
      <c r="E1057" s="13" t="s">
        <v>6</v>
      </c>
      <c r="F1057" s="14" t="s">
        <v>7</v>
      </c>
      <c r="G1057" s="15" t="s">
        <v>8</v>
      </c>
      <c r="H1057" s="15" t="s">
        <v>9</v>
      </c>
      <c r="I1057" s="15" t="s">
        <v>10</v>
      </c>
      <c r="J1057" s="15" t="s">
        <v>11</v>
      </c>
      <c r="K1057" s="16" t="s">
        <v>12</v>
      </c>
      <c r="L1057" s="89" t="s">
        <v>13</v>
      </c>
      <c r="M1057" s="90"/>
      <c r="N1057" s="17" t="s">
        <v>14</v>
      </c>
    </row>
    <row r="1058" spans="1:14" s="18" customFormat="1" ht="24" hidden="1" customHeight="1" thickTop="1" x14ac:dyDescent="0.3">
      <c r="A1058" s="41"/>
      <c r="B1058" s="41"/>
      <c r="C1058" s="73" t="s">
        <v>41</v>
      </c>
      <c r="D1058" s="40"/>
      <c r="E1058" s="41"/>
      <c r="F1058" s="42"/>
      <c r="G1058" s="43"/>
      <c r="H1058" s="44"/>
      <c r="I1058" s="43"/>
      <c r="J1058" s="43"/>
      <c r="K1058" s="25"/>
      <c r="L1058" s="26"/>
      <c r="M1058" s="27"/>
      <c r="N1058" s="28">
        <f>N1053</f>
        <v>47033531</v>
      </c>
    </row>
    <row r="1059" spans="1:14" s="18" customFormat="1" ht="24" hidden="1" customHeight="1" x14ac:dyDescent="0.3">
      <c r="A1059" s="19">
        <v>6</v>
      </c>
      <c r="B1059" s="19">
        <v>6</v>
      </c>
      <c r="C1059" s="29" t="s">
        <v>395</v>
      </c>
      <c r="D1059" s="21"/>
      <c r="E1059" s="19"/>
      <c r="F1059" s="22"/>
      <c r="G1059" s="23"/>
      <c r="H1059" s="24"/>
      <c r="I1059" s="23"/>
      <c r="J1059" s="23"/>
      <c r="K1059" s="32"/>
      <c r="L1059" s="33"/>
      <c r="M1059" s="34"/>
      <c r="N1059" s="35">
        <f>N1058+J1059+K1059</f>
        <v>47033531</v>
      </c>
    </row>
    <row r="1060" spans="1:14" s="18" customFormat="1" ht="24" hidden="1" customHeight="1" x14ac:dyDescent="0.3">
      <c r="A1060" s="19"/>
      <c r="B1060" s="19"/>
      <c r="C1060" s="29" t="s">
        <v>396</v>
      </c>
      <c r="D1060" s="37"/>
      <c r="E1060" s="19"/>
      <c r="F1060" s="22"/>
      <c r="G1060" s="23"/>
      <c r="H1060" s="24">
        <v>288000</v>
      </c>
      <c r="I1060" s="23">
        <f>H1060*0.1</f>
        <v>28800</v>
      </c>
      <c r="J1060" s="23">
        <f>SUM(H1060:I1060)</f>
        <v>316800</v>
      </c>
      <c r="K1060" s="32"/>
      <c r="L1060" s="33"/>
      <c r="M1060" s="34"/>
      <c r="N1060" s="35">
        <f>N1059+J1060+K1060</f>
        <v>47350331</v>
      </c>
    </row>
    <row r="1061" spans="1:14" s="18" customFormat="1" ht="24" hidden="1" customHeight="1" x14ac:dyDescent="0.3">
      <c r="A1061" s="19"/>
      <c r="B1061" s="19">
        <v>9</v>
      </c>
      <c r="C1061" s="29" t="s">
        <v>50</v>
      </c>
      <c r="D1061" s="21"/>
      <c r="E1061" s="19"/>
      <c r="F1061" s="22"/>
      <c r="G1061" s="23"/>
      <c r="H1061" s="24"/>
      <c r="I1061" s="23"/>
      <c r="J1061" s="23"/>
      <c r="K1061" s="32"/>
      <c r="L1061" s="33"/>
      <c r="M1061" s="34"/>
      <c r="N1061" s="35">
        <f t="shared" ref="N1061:N1092" si="634">N1060+J1061+K1061</f>
        <v>47350331</v>
      </c>
    </row>
    <row r="1062" spans="1:14" s="18" customFormat="1" ht="24" hidden="1" customHeight="1" x14ac:dyDescent="0.3">
      <c r="A1062" s="19"/>
      <c r="B1062" s="19"/>
      <c r="C1062" s="29" t="s">
        <v>36</v>
      </c>
      <c r="D1062" s="21"/>
      <c r="E1062" s="19">
        <v>8</v>
      </c>
      <c r="F1062" s="22">
        <v>48</v>
      </c>
      <c r="G1062" s="23">
        <v>3050</v>
      </c>
      <c r="H1062" s="24">
        <f t="shared" ref="H1062" si="635">F1062*G1062</f>
        <v>146400</v>
      </c>
      <c r="I1062" s="23">
        <v>0</v>
      </c>
      <c r="J1062" s="23">
        <f t="shared" ref="J1062" si="636">SUM(H1062:I1062)</f>
        <v>146400</v>
      </c>
      <c r="K1062" s="32"/>
      <c r="L1062" s="33"/>
      <c r="M1062" s="34"/>
      <c r="N1062" s="35">
        <f t="shared" si="634"/>
        <v>47496731</v>
      </c>
    </row>
    <row r="1063" spans="1:14" s="18" customFormat="1" ht="24" hidden="1" customHeight="1" x14ac:dyDescent="0.3">
      <c r="A1063" s="19"/>
      <c r="B1063" s="19">
        <v>9</v>
      </c>
      <c r="C1063" s="29" t="s">
        <v>380</v>
      </c>
      <c r="D1063" s="21"/>
      <c r="E1063" s="19"/>
      <c r="F1063" s="22"/>
      <c r="G1063" s="23"/>
      <c r="H1063" s="24"/>
      <c r="I1063" s="23"/>
      <c r="J1063" s="23"/>
      <c r="K1063" s="32"/>
      <c r="L1063" s="33"/>
      <c r="M1063" s="34"/>
      <c r="N1063" s="35">
        <f t="shared" si="634"/>
        <v>47496731</v>
      </c>
    </row>
    <row r="1064" spans="1:14" s="18" customFormat="1" ht="24" hidden="1" customHeight="1" x14ac:dyDescent="0.3">
      <c r="A1064" s="19"/>
      <c r="B1064" s="19"/>
      <c r="C1064" s="36" t="s">
        <v>48</v>
      </c>
      <c r="D1064" s="21"/>
      <c r="E1064" s="19">
        <v>2</v>
      </c>
      <c r="F1064" s="22">
        <v>13.6</v>
      </c>
      <c r="G1064" s="23">
        <f>2200+550+1070+250</f>
        <v>4070</v>
      </c>
      <c r="H1064" s="24">
        <f t="shared" ref="H1064" si="637">F1064*G1064</f>
        <v>55352</v>
      </c>
      <c r="I1064" s="23">
        <v>0</v>
      </c>
      <c r="J1064" s="23">
        <f t="shared" ref="J1064" si="638">SUM(H1064:I1064)</f>
        <v>55352</v>
      </c>
      <c r="K1064" s="32"/>
      <c r="L1064" s="33"/>
      <c r="M1064" s="34"/>
      <c r="N1064" s="35">
        <f t="shared" si="634"/>
        <v>47552083</v>
      </c>
    </row>
    <row r="1065" spans="1:14" s="18" customFormat="1" ht="24" hidden="1" customHeight="1" x14ac:dyDescent="0.3">
      <c r="A1065" s="19"/>
      <c r="B1065" s="19">
        <v>9</v>
      </c>
      <c r="C1065" s="29" t="s">
        <v>397</v>
      </c>
      <c r="D1065" s="21"/>
      <c r="E1065" s="19"/>
      <c r="F1065" s="22"/>
      <c r="G1065" s="23"/>
      <c r="H1065" s="24"/>
      <c r="I1065" s="23"/>
      <c r="J1065" s="23"/>
      <c r="K1065" s="32"/>
      <c r="L1065" s="33"/>
      <c r="M1065" s="34"/>
      <c r="N1065" s="35">
        <f t="shared" si="634"/>
        <v>47552083</v>
      </c>
    </row>
    <row r="1066" spans="1:14" s="18" customFormat="1" ht="24" hidden="1" customHeight="1" x14ac:dyDescent="0.3">
      <c r="A1066" s="19"/>
      <c r="B1066" s="19"/>
      <c r="C1066" s="36" t="s">
        <v>48</v>
      </c>
      <c r="D1066" s="37"/>
      <c r="E1066" s="19">
        <v>36</v>
      </c>
      <c r="F1066" s="22">
        <v>283.39999999999998</v>
      </c>
      <c r="G1066" s="23">
        <f>2200+550+1070+250</f>
        <v>4070</v>
      </c>
      <c r="H1066" s="24">
        <f t="shared" ref="H1066" si="639">F1066*G1066</f>
        <v>1153438</v>
      </c>
      <c r="I1066" s="23">
        <v>0</v>
      </c>
      <c r="J1066" s="23">
        <f t="shared" ref="J1066" si="640">SUM(H1066:I1066)</f>
        <v>1153438</v>
      </c>
      <c r="K1066" s="32"/>
      <c r="L1066" s="33"/>
      <c r="M1066" s="34"/>
      <c r="N1066" s="35">
        <f t="shared" si="634"/>
        <v>48705521</v>
      </c>
    </row>
    <row r="1067" spans="1:14" s="18" customFormat="1" ht="24" hidden="1" customHeight="1" x14ac:dyDescent="0.3">
      <c r="A1067" s="19"/>
      <c r="B1067" s="19">
        <v>9</v>
      </c>
      <c r="C1067" s="29" t="s">
        <v>398</v>
      </c>
      <c r="D1067" s="21"/>
      <c r="E1067" s="19"/>
      <c r="F1067" s="22"/>
      <c r="G1067" s="23"/>
      <c r="H1067" s="24"/>
      <c r="I1067" s="23"/>
      <c r="J1067" s="23"/>
      <c r="K1067" s="32"/>
      <c r="L1067" s="33"/>
      <c r="M1067" s="34"/>
      <c r="N1067" s="35">
        <f t="shared" si="634"/>
        <v>48705521</v>
      </c>
    </row>
    <row r="1068" spans="1:14" s="18" customFormat="1" ht="24" hidden="1" customHeight="1" x14ac:dyDescent="0.3">
      <c r="A1068" s="19"/>
      <c r="B1068" s="19"/>
      <c r="C1068" s="36" t="s">
        <v>48</v>
      </c>
      <c r="D1068" s="37"/>
      <c r="E1068" s="19">
        <v>166</v>
      </c>
      <c r="F1068" s="22">
        <v>1617.7</v>
      </c>
      <c r="G1068" s="23">
        <f>2200+550+1070+250</f>
        <v>4070</v>
      </c>
      <c r="H1068" s="24">
        <f t="shared" ref="H1068" si="641">F1068*G1068</f>
        <v>6584039</v>
      </c>
      <c r="I1068" s="23">
        <v>0</v>
      </c>
      <c r="J1068" s="23">
        <f t="shared" ref="J1068" si="642">SUM(H1068:I1068)</f>
        <v>6584039</v>
      </c>
      <c r="K1068" s="32"/>
      <c r="L1068" s="33"/>
      <c r="M1068" s="34"/>
      <c r="N1068" s="35">
        <f t="shared" si="634"/>
        <v>55289560</v>
      </c>
    </row>
    <row r="1069" spans="1:14" s="18" customFormat="1" ht="24" hidden="1" customHeight="1" x14ac:dyDescent="0.3">
      <c r="A1069" s="19"/>
      <c r="B1069" s="19">
        <v>9</v>
      </c>
      <c r="C1069" s="39" t="s">
        <v>399</v>
      </c>
      <c r="D1069" s="21"/>
      <c r="E1069" s="19"/>
      <c r="F1069" s="22"/>
      <c r="G1069" s="23"/>
      <c r="H1069" s="24"/>
      <c r="I1069" s="23"/>
      <c r="J1069" s="23"/>
      <c r="K1069" s="32"/>
      <c r="L1069" s="33"/>
      <c r="M1069" s="34"/>
      <c r="N1069" s="35">
        <f t="shared" si="634"/>
        <v>55289560</v>
      </c>
    </row>
    <row r="1070" spans="1:14" s="18" customFormat="1" ht="24" hidden="1" customHeight="1" x14ac:dyDescent="0.3">
      <c r="A1070" s="19"/>
      <c r="B1070" s="19"/>
      <c r="C1070" s="36" t="s">
        <v>48</v>
      </c>
      <c r="D1070" s="21"/>
      <c r="E1070" s="19">
        <v>5</v>
      </c>
      <c r="F1070" s="22">
        <v>36.5</v>
      </c>
      <c r="G1070" s="23">
        <f>2200+550+1070+250</f>
        <v>4070</v>
      </c>
      <c r="H1070" s="24">
        <f t="shared" ref="H1070:H1071" si="643">F1070*G1070</f>
        <v>148555</v>
      </c>
      <c r="I1070" s="23">
        <v>0</v>
      </c>
      <c r="J1070" s="23">
        <f t="shared" ref="J1070:J1071" si="644">SUM(H1070:I1070)</f>
        <v>148555</v>
      </c>
      <c r="K1070" s="32"/>
      <c r="L1070" s="33"/>
      <c r="M1070" s="34"/>
      <c r="N1070" s="35">
        <f t="shared" si="634"/>
        <v>55438115</v>
      </c>
    </row>
    <row r="1071" spans="1:14" s="18" customFormat="1" ht="24" hidden="1" customHeight="1" x14ac:dyDescent="0.3">
      <c r="A1071" s="19"/>
      <c r="B1071" s="19"/>
      <c r="C1071" s="39" t="s">
        <v>75</v>
      </c>
      <c r="D1071" s="21"/>
      <c r="E1071" s="19">
        <v>16</v>
      </c>
      <c r="F1071" s="22">
        <v>285.8</v>
      </c>
      <c r="G1071" s="23">
        <v>2540</v>
      </c>
      <c r="H1071" s="24">
        <f t="shared" si="643"/>
        <v>725932</v>
      </c>
      <c r="I1071" s="23">
        <v>0</v>
      </c>
      <c r="J1071" s="23">
        <f t="shared" si="644"/>
        <v>725932</v>
      </c>
      <c r="K1071" s="32"/>
      <c r="L1071" s="33"/>
      <c r="M1071" s="34"/>
      <c r="N1071" s="35">
        <f t="shared" si="634"/>
        <v>56164047</v>
      </c>
    </row>
    <row r="1072" spans="1:14" s="18" customFormat="1" ht="24" hidden="1" customHeight="1" x14ac:dyDescent="0.3">
      <c r="A1072" s="19"/>
      <c r="B1072" s="19">
        <v>9</v>
      </c>
      <c r="C1072" s="29" t="s">
        <v>400</v>
      </c>
      <c r="D1072" s="37"/>
      <c r="E1072" s="19"/>
      <c r="F1072" s="22"/>
      <c r="G1072" s="23"/>
      <c r="H1072" s="24"/>
      <c r="I1072" s="23"/>
      <c r="J1072" s="23"/>
      <c r="K1072" s="32"/>
      <c r="L1072" s="33"/>
      <c r="M1072" s="34"/>
      <c r="N1072" s="35">
        <f t="shared" si="634"/>
        <v>56164047</v>
      </c>
    </row>
    <row r="1073" spans="1:14" s="18" customFormat="1" ht="24" hidden="1" customHeight="1" x14ac:dyDescent="0.3">
      <c r="A1073" s="19"/>
      <c r="B1073" s="19"/>
      <c r="C1073" s="36" t="s">
        <v>61</v>
      </c>
      <c r="D1073" s="21"/>
      <c r="E1073" s="19">
        <v>4</v>
      </c>
      <c r="F1073" s="22">
        <v>12</v>
      </c>
      <c r="G1073" s="23">
        <f>2200+2200+550+1070+1070+250+250+330+330</f>
        <v>8250</v>
      </c>
      <c r="H1073" s="24">
        <f t="shared" ref="H1073:H1075" si="645">F1073*G1073</f>
        <v>99000</v>
      </c>
      <c r="I1073" s="23">
        <v>0</v>
      </c>
      <c r="J1073" s="23">
        <f t="shared" ref="J1073:J1075" si="646">SUM(H1073:I1073)</f>
        <v>99000</v>
      </c>
      <c r="K1073" s="32"/>
      <c r="L1073" s="33"/>
      <c r="M1073" s="34"/>
      <c r="N1073" s="35">
        <f t="shared" si="634"/>
        <v>56263047</v>
      </c>
    </row>
    <row r="1074" spans="1:14" s="18" customFormat="1" ht="24" hidden="1" customHeight="1" x14ac:dyDescent="0.3">
      <c r="A1074" s="19"/>
      <c r="B1074" s="19"/>
      <c r="C1074" s="36" t="s">
        <v>21</v>
      </c>
      <c r="D1074" s="21"/>
      <c r="E1074" s="19">
        <v>81</v>
      </c>
      <c r="F1074" s="22">
        <v>604.70000000000005</v>
      </c>
      <c r="G1074" s="23">
        <f>2200+550+1070+250+330</f>
        <v>4400</v>
      </c>
      <c r="H1074" s="24">
        <f t="shared" si="645"/>
        <v>2660680</v>
      </c>
      <c r="I1074" s="23">
        <v>0</v>
      </c>
      <c r="J1074" s="23">
        <f t="shared" si="646"/>
        <v>2660680</v>
      </c>
      <c r="K1074" s="32"/>
      <c r="L1074" s="33"/>
      <c r="M1074" s="34"/>
      <c r="N1074" s="35">
        <f t="shared" si="634"/>
        <v>58923727</v>
      </c>
    </row>
    <row r="1075" spans="1:14" s="18" customFormat="1" ht="24" hidden="1" customHeight="1" x14ac:dyDescent="0.3">
      <c r="A1075" s="19"/>
      <c r="B1075" s="19"/>
      <c r="C1075" s="29" t="s">
        <v>46</v>
      </c>
      <c r="D1075" s="21"/>
      <c r="E1075" s="19">
        <v>56</v>
      </c>
      <c r="F1075" s="22">
        <v>891.7</v>
      </c>
      <c r="G1075" s="23">
        <v>2040</v>
      </c>
      <c r="H1075" s="24">
        <f t="shared" si="645"/>
        <v>1819068</v>
      </c>
      <c r="I1075" s="23">
        <v>0</v>
      </c>
      <c r="J1075" s="23">
        <f t="shared" si="646"/>
        <v>1819068</v>
      </c>
      <c r="K1075" s="32"/>
      <c r="L1075" s="33"/>
      <c r="M1075" s="34"/>
      <c r="N1075" s="35">
        <f t="shared" si="634"/>
        <v>60742795</v>
      </c>
    </row>
    <row r="1076" spans="1:14" s="18" customFormat="1" ht="24" hidden="1" customHeight="1" x14ac:dyDescent="0.3">
      <c r="A1076" s="19"/>
      <c r="B1076" s="19">
        <v>10</v>
      </c>
      <c r="C1076" s="29" t="s">
        <v>401</v>
      </c>
      <c r="D1076" s="21"/>
      <c r="E1076" s="19"/>
      <c r="F1076" s="22"/>
      <c r="G1076" s="23"/>
      <c r="H1076" s="24"/>
      <c r="I1076" s="23"/>
      <c r="J1076" s="23"/>
      <c r="K1076" s="32"/>
      <c r="L1076" s="33"/>
      <c r="M1076" s="34"/>
      <c r="N1076" s="35">
        <f t="shared" si="634"/>
        <v>60742795</v>
      </c>
    </row>
    <row r="1077" spans="1:14" s="18" customFormat="1" ht="24" hidden="1" customHeight="1" x14ac:dyDescent="0.3">
      <c r="A1077" s="19"/>
      <c r="B1077" s="19"/>
      <c r="C1077" s="36" t="s">
        <v>86</v>
      </c>
      <c r="D1077" s="21"/>
      <c r="E1077" s="19">
        <v>26</v>
      </c>
      <c r="F1077" s="22">
        <v>142.80000000000001</v>
      </c>
      <c r="G1077" s="23">
        <f>550+1000+1070+250</f>
        <v>2870</v>
      </c>
      <c r="H1077" s="24">
        <f t="shared" ref="H1077:H1078" si="647">F1077*G1077</f>
        <v>409836.00000000006</v>
      </c>
      <c r="I1077" s="23">
        <v>0</v>
      </c>
      <c r="J1077" s="23">
        <f t="shared" ref="J1077:J1078" si="648">SUM(H1077:I1077)</f>
        <v>409836.00000000006</v>
      </c>
      <c r="K1077" s="32"/>
      <c r="L1077" s="33"/>
      <c r="M1077" s="34"/>
      <c r="N1077" s="35">
        <f t="shared" si="634"/>
        <v>61152631</v>
      </c>
    </row>
    <row r="1078" spans="1:14" s="18" customFormat="1" ht="24" hidden="1" customHeight="1" x14ac:dyDescent="0.3">
      <c r="A1078" s="19"/>
      <c r="B1078" s="19"/>
      <c r="C1078" s="36" t="s">
        <v>126</v>
      </c>
      <c r="D1078" s="21"/>
      <c r="E1078" s="19">
        <v>59</v>
      </c>
      <c r="F1078" s="22">
        <v>960.4</v>
      </c>
      <c r="G1078" s="23">
        <f>550+1000+980+250</f>
        <v>2780</v>
      </c>
      <c r="H1078" s="24">
        <f t="shared" si="647"/>
        <v>2669912</v>
      </c>
      <c r="I1078" s="23">
        <v>0</v>
      </c>
      <c r="J1078" s="23">
        <f t="shared" si="648"/>
        <v>2669912</v>
      </c>
      <c r="K1078" s="32"/>
      <c r="L1078" s="33"/>
      <c r="M1078" s="34"/>
      <c r="N1078" s="35">
        <f t="shared" si="634"/>
        <v>63822543</v>
      </c>
    </row>
    <row r="1079" spans="1:14" s="18" customFormat="1" ht="24" hidden="1" customHeight="1" x14ac:dyDescent="0.3">
      <c r="A1079" s="19"/>
      <c r="B1079" s="19">
        <v>10</v>
      </c>
      <c r="C1079" s="29" t="s">
        <v>390</v>
      </c>
      <c r="D1079" s="37"/>
      <c r="E1079" s="19"/>
      <c r="F1079" s="22"/>
      <c r="G1079" s="23"/>
      <c r="H1079" s="24"/>
      <c r="I1079" s="23"/>
      <c r="J1079" s="23"/>
      <c r="K1079" s="32"/>
      <c r="L1079" s="33"/>
      <c r="M1079" s="34"/>
      <c r="N1079" s="35">
        <f t="shared" si="634"/>
        <v>63822543</v>
      </c>
    </row>
    <row r="1080" spans="1:14" s="18" customFormat="1" ht="24" hidden="1" customHeight="1" x14ac:dyDescent="0.3">
      <c r="A1080" s="19"/>
      <c r="B1080" s="19"/>
      <c r="C1080" s="36" t="s">
        <v>86</v>
      </c>
      <c r="D1080" s="21"/>
      <c r="E1080" s="19">
        <v>3</v>
      </c>
      <c r="F1080" s="22">
        <v>25.2</v>
      </c>
      <c r="G1080" s="23">
        <f>550+1000+1070+250</f>
        <v>2870</v>
      </c>
      <c r="H1080" s="24">
        <f t="shared" ref="H1080" si="649">F1080*G1080</f>
        <v>72324</v>
      </c>
      <c r="I1080" s="23">
        <v>0</v>
      </c>
      <c r="J1080" s="23">
        <f t="shared" ref="J1080" si="650">SUM(H1080:I1080)</f>
        <v>72324</v>
      </c>
      <c r="K1080" s="32"/>
      <c r="L1080" s="33"/>
      <c r="M1080" s="34"/>
      <c r="N1080" s="35">
        <f t="shared" si="634"/>
        <v>63894867</v>
      </c>
    </row>
    <row r="1081" spans="1:14" s="18" customFormat="1" ht="24" hidden="1" customHeight="1" x14ac:dyDescent="0.3">
      <c r="A1081" s="19"/>
      <c r="B1081" s="19">
        <v>10</v>
      </c>
      <c r="C1081" s="39" t="s">
        <v>386</v>
      </c>
      <c r="D1081" s="21"/>
      <c r="E1081" s="19"/>
      <c r="F1081" s="22"/>
      <c r="G1081" s="23"/>
      <c r="H1081" s="24"/>
      <c r="I1081" s="23"/>
      <c r="J1081" s="23"/>
      <c r="K1081" s="32"/>
      <c r="L1081" s="33"/>
      <c r="M1081" s="34"/>
      <c r="N1081" s="35">
        <f t="shared" si="634"/>
        <v>63894867</v>
      </c>
    </row>
    <row r="1082" spans="1:14" s="18" customFormat="1" ht="24" hidden="1" customHeight="1" x14ac:dyDescent="0.3">
      <c r="A1082" s="19"/>
      <c r="B1082" s="19"/>
      <c r="C1082" s="36" t="s">
        <v>287</v>
      </c>
      <c r="D1082" s="21"/>
      <c r="E1082" s="19">
        <v>16</v>
      </c>
      <c r="F1082" s="22">
        <v>129.6</v>
      </c>
      <c r="G1082" s="23">
        <f>2200+550+1200+300+390</f>
        <v>4640</v>
      </c>
      <c r="H1082" s="24">
        <f t="shared" ref="H1082" si="651">F1082*G1082</f>
        <v>601344</v>
      </c>
      <c r="I1082" s="23">
        <v>0</v>
      </c>
      <c r="J1082" s="23">
        <f t="shared" ref="J1082" si="652">SUM(H1082:I1082)</f>
        <v>601344</v>
      </c>
      <c r="K1082" s="32"/>
      <c r="L1082" s="33"/>
      <c r="M1082" s="34"/>
      <c r="N1082" s="35">
        <f t="shared" si="634"/>
        <v>64496211</v>
      </c>
    </row>
    <row r="1083" spans="1:14" s="18" customFormat="1" ht="24" hidden="1" customHeight="1" x14ac:dyDescent="0.3">
      <c r="A1083" s="19"/>
      <c r="B1083" s="19">
        <v>10</v>
      </c>
      <c r="C1083" s="29" t="s">
        <v>383</v>
      </c>
      <c r="D1083" s="21"/>
      <c r="E1083" s="19"/>
      <c r="F1083" s="22"/>
      <c r="G1083" s="23"/>
      <c r="H1083" s="24"/>
      <c r="I1083" s="23"/>
      <c r="J1083" s="23"/>
      <c r="K1083" s="32"/>
      <c r="L1083" s="33"/>
      <c r="M1083" s="34"/>
      <c r="N1083" s="35">
        <f t="shared" si="634"/>
        <v>64496211</v>
      </c>
    </row>
    <row r="1084" spans="1:14" s="18" customFormat="1" ht="24" hidden="1" customHeight="1" x14ac:dyDescent="0.3">
      <c r="A1084" s="19"/>
      <c r="B1084" s="19"/>
      <c r="C1084" s="36" t="s">
        <v>402</v>
      </c>
      <c r="D1084" s="21"/>
      <c r="E1084" s="19">
        <v>159</v>
      </c>
      <c r="F1084" s="22">
        <v>818.5</v>
      </c>
      <c r="G1084" s="23">
        <f>2200+550+1070+250+330</f>
        <v>4400</v>
      </c>
      <c r="H1084" s="24">
        <f t="shared" ref="H1084:H1088" si="653">F1084*G1084</f>
        <v>3601400</v>
      </c>
      <c r="I1084" s="23">
        <v>0</v>
      </c>
      <c r="J1084" s="23">
        <f t="shared" ref="J1084" si="654">SUM(H1084:I1084)</f>
        <v>3601400</v>
      </c>
      <c r="K1084" s="32"/>
      <c r="L1084" s="33"/>
      <c r="M1084" s="34"/>
      <c r="N1084" s="35">
        <f t="shared" si="634"/>
        <v>68097611</v>
      </c>
    </row>
    <row r="1085" spans="1:14" s="18" customFormat="1" ht="24" hidden="1" customHeight="1" x14ac:dyDescent="0.3">
      <c r="A1085" s="19"/>
      <c r="B1085" s="19"/>
      <c r="C1085" s="36" t="s">
        <v>384</v>
      </c>
      <c r="D1085" s="37" t="s">
        <v>377</v>
      </c>
      <c r="E1085" s="19">
        <v>1</v>
      </c>
      <c r="F1085" s="22">
        <v>7.3</v>
      </c>
      <c r="G1085" s="23">
        <v>5280</v>
      </c>
      <c r="H1085" s="24">
        <f t="shared" si="653"/>
        <v>38544</v>
      </c>
      <c r="I1085" s="23">
        <v>0</v>
      </c>
      <c r="J1085" s="23">
        <f t="shared" ref="J1085:J1088" si="655">SUM(H1085:I1085)</f>
        <v>38544</v>
      </c>
      <c r="K1085" s="32"/>
      <c r="L1085" s="33"/>
      <c r="M1085" s="34"/>
      <c r="N1085" s="35">
        <f t="shared" si="634"/>
        <v>68136155</v>
      </c>
    </row>
    <row r="1086" spans="1:14" s="18" customFormat="1" ht="24" hidden="1" customHeight="1" x14ac:dyDescent="0.3">
      <c r="A1086" s="19"/>
      <c r="B1086" s="19"/>
      <c r="C1086" s="36" t="s">
        <v>403</v>
      </c>
      <c r="D1086" s="37"/>
      <c r="E1086" s="19">
        <v>12</v>
      </c>
      <c r="F1086" s="22">
        <v>137.6</v>
      </c>
      <c r="G1086" s="23">
        <f>2200+2200+550+1070+1070+250+250+330+330</f>
        <v>8250</v>
      </c>
      <c r="H1086" s="24">
        <f t="shared" si="653"/>
        <v>1135200</v>
      </c>
      <c r="I1086" s="23">
        <v>0</v>
      </c>
      <c r="J1086" s="23">
        <f t="shared" si="655"/>
        <v>1135200</v>
      </c>
      <c r="K1086" s="32"/>
      <c r="L1086" s="33"/>
      <c r="M1086" s="34"/>
      <c r="N1086" s="35">
        <f t="shared" si="634"/>
        <v>69271355</v>
      </c>
    </row>
    <row r="1087" spans="1:14" s="18" customFormat="1" ht="24" hidden="1" customHeight="1" x14ac:dyDescent="0.3">
      <c r="A1087" s="19"/>
      <c r="B1087" s="19"/>
      <c r="C1087" s="39" t="s">
        <v>100</v>
      </c>
      <c r="D1087" s="21"/>
      <c r="E1087" s="19">
        <v>8</v>
      </c>
      <c r="F1087" s="22">
        <v>70.099999999999994</v>
      </c>
      <c r="G1087" s="23">
        <v>1280</v>
      </c>
      <c r="H1087" s="24">
        <f t="shared" si="653"/>
        <v>89728</v>
      </c>
      <c r="I1087" s="23">
        <v>0</v>
      </c>
      <c r="J1087" s="23">
        <f t="shared" si="655"/>
        <v>89728</v>
      </c>
      <c r="K1087" s="32"/>
      <c r="L1087" s="33"/>
      <c r="M1087" s="34"/>
      <c r="N1087" s="35">
        <f t="shared" si="634"/>
        <v>69361083</v>
      </c>
    </row>
    <row r="1088" spans="1:14" s="18" customFormat="1" ht="24" hidden="1" customHeight="1" x14ac:dyDescent="0.3">
      <c r="A1088" s="19"/>
      <c r="B1088" s="19"/>
      <c r="C1088" s="29" t="s">
        <v>404</v>
      </c>
      <c r="D1088" s="37"/>
      <c r="E1088" s="19">
        <v>8</v>
      </c>
      <c r="F1088" s="22">
        <v>70.099999999999994</v>
      </c>
      <c r="G1088" s="23">
        <f>2200-700</f>
        <v>1500</v>
      </c>
      <c r="H1088" s="24">
        <f t="shared" si="653"/>
        <v>105149.99999999999</v>
      </c>
      <c r="I1088" s="23">
        <v>0</v>
      </c>
      <c r="J1088" s="23">
        <f t="shared" si="655"/>
        <v>105149.99999999999</v>
      </c>
      <c r="K1088" s="32"/>
      <c r="L1088" s="33"/>
      <c r="M1088" s="34"/>
      <c r="N1088" s="35">
        <f t="shared" si="634"/>
        <v>69466233</v>
      </c>
    </row>
    <row r="1089" spans="1:14" s="18" customFormat="1" ht="24" hidden="1" customHeight="1" x14ac:dyDescent="0.3">
      <c r="A1089" s="19"/>
      <c r="B1089" s="19">
        <v>10</v>
      </c>
      <c r="C1089" s="29" t="s">
        <v>405</v>
      </c>
      <c r="D1089" s="21"/>
      <c r="E1089" s="19"/>
      <c r="F1089" s="22"/>
      <c r="G1089" s="23"/>
      <c r="H1089" s="24"/>
      <c r="I1089" s="23"/>
      <c r="J1089" s="23"/>
      <c r="K1089" s="32"/>
      <c r="L1089" s="33"/>
      <c r="M1089" s="34"/>
      <c r="N1089" s="35">
        <f t="shared" si="634"/>
        <v>69466233</v>
      </c>
    </row>
    <row r="1090" spans="1:14" s="18" customFormat="1" ht="24" hidden="1" customHeight="1" x14ac:dyDescent="0.3">
      <c r="A1090" s="19"/>
      <c r="B1090" s="19"/>
      <c r="C1090" s="39" t="s">
        <v>406</v>
      </c>
      <c r="D1090" s="37"/>
      <c r="E1090" s="19"/>
      <c r="F1090" s="22"/>
      <c r="G1090" s="23"/>
      <c r="H1090" s="24">
        <v>234000</v>
      </c>
      <c r="I1090" s="23">
        <f>H1090*0.1</f>
        <v>23400</v>
      </c>
      <c r="J1090" s="23">
        <f>SUM(H1090:I1090)</f>
        <v>257400</v>
      </c>
      <c r="K1090" s="32"/>
      <c r="L1090" s="33"/>
      <c r="M1090" s="34"/>
      <c r="N1090" s="38">
        <f t="shared" si="634"/>
        <v>69723633</v>
      </c>
    </row>
    <row r="1091" spans="1:14" s="18" customFormat="1" ht="24" hidden="1" customHeight="1" x14ac:dyDescent="0.3">
      <c r="A1091" s="19"/>
      <c r="B1091" s="19"/>
      <c r="C1091" s="29" t="s">
        <v>81</v>
      </c>
      <c r="D1091" s="21"/>
      <c r="E1091" s="19"/>
      <c r="F1091" s="22"/>
      <c r="G1091" s="23"/>
      <c r="H1091" s="24">
        <v>70000</v>
      </c>
      <c r="I1091" s="23">
        <f>H1091*0.1</f>
        <v>7000</v>
      </c>
      <c r="J1091" s="23">
        <f>SUM(H1091:I1091)</f>
        <v>77000</v>
      </c>
      <c r="K1091" s="32"/>
      <c r="L1091" s="33"/>
      <c r="M1091" s="34"/>
      <c r="N1091" s="38">
        <f t="shared" si="634"/>
        <v>69800633</v>
      </c>
    </row>
    <row r="1092" spans="1:14" s="18" customFormat="1" ht="24" hidden="1" customHeight="1" x14ac:dyDescent="0.3">
      <c r="A1092" s="19"/>
      <c r="B1092" s="19"/>
      <c r="C1092" s="39"/>
      <c r="D1092" s="21"/>
      <c r="E1092" s="19"/>
      <c r="F1092" s="22"/>
      <c r="G1092" s="23"/>
      <c r="H1092" s="24"/>
      <c r="I1092" s="23"/>
      <c r="J1092" s="23"/>
      <c r="K1092" s="32"/>
      <c r="L1092" s="33"/>
      <c r="M1092" s="34"/>
      <c r="N1092" s="38">
        <f t="shared" si="634"/>
        <v>69800633</v>
      </c>
    </row>
    <row r="1093" spans="1:14" s="2" customFormat="1" ht="27" hidden="1" customHeight="1" thickBot="1" x14ac:dyDescent="0.35">
      <c r="A1093" s="1"/>
      <c r="B1093" s="1"/>
      <c r="C1093" s="1"/>
      <c r="E1093" s="86" t="s">
        <v>0</v>
      </c>
      <c r="F1093" s="86"/>
      <c r="G1093" s="86"/>
      <c r="H1093" s="86"/>
      <c r="I1093" s="86"/>
      <c r="J1093" s="86"/>
      <c r="K1093" s="1"/>
      <c r="L1093" s="3"/>
      <c r="M1093" s="3"/>
      <c r="N1093" s="1"/>
    </row>
    <row r="1094" spans="1:14" s="2" customFormat="1" ht="24" hidden="1" customHeight="1" thickTop="1" x14ac:dyDescent="0.3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3"/>
      <c r="M1094" s="3"/>
      <c r="N1094" s="1"/>
    </row>
    <row r="1095" spans="1:14" s="2" customFormat="1" ht="24" hidden="1" customHeight="1" thickBot="1" x14ac:dyDescent="0.35">
      <c r="A1095" s="2" t="s">
        <v>1</v>
      </c>
      <c r="C1095" s="4"/>
      <c r="D1095" s="4"/>
      <c r="E1095" s="5"/>
      <c r="F1095" s="6"/>
      <c r="G1095" s="7"/>
      <c r="H1095" s="7"/>
      <c r="I1095" s="7"/>
      <c r="J1095" s="8"/>
      <c r="K1095" s="9"/>
      <c r="L1095" s="10"/>
      <c r="M1095" s="11"/>
      <c r="N1095" s="12" t="s">
        <v>2</v>
      </c>
    </row>
    <row r="1096" spans="1:14" s="18" customFormat="1" ht="24" hidden="1" customHeight="1" thickTop="1" thickBot="1" x14ac:dyDescent="0.35">
      <c r="A1096" s="13" t="s">
        <v>3</v>
      </c>
      <c r="B1096" s="13" t="s">
        <v>4</v>
      </c>
      <c r="C1096" s="87" t="s">
        <v>5</v>
      </c>
      <c r="D1096" s="88"/>
      <c r="E1096" s="13" t="s">
        <v>6</v>
      </c>
      <c r="F1096" s="14" t="s">
        <v>7</v>
      </c>
      <c r="G1096" s="15" t="s">
        <v>8</v>
      </c>
      <c r="H1096" s="15" t="s">
        <v>9</v>
      </c>
      <c r="I1096" s="15" t="s">
        <v>10</v>
      </c>
      <c r="J1096" s="15" t="s">
        <v>11</v>
      </c>
      <c r="K1096" s="16" t="s">
        <v>12</v>
      </c>
      <c r="L1096" s="89" t="s">
        <v>13</v>
      </c>
      <c r="M1096" s="90"/>
      <c r="N1096" s="17" t="s">
        <v>14</v>
      </c>
    </row>
    <row r="1097" spans="1:14" s="18" customFormat="1" ht="24" hidden="1" customHeight="1" thickTop="1" x14ac:dyDescent="0.3">
      <c r="A1097" s="41"/>
      <c r="B1097" s="41"/>
      <c r="C1097" s="73" t="s">
        <v>41</v>
      </c>
      <c r="D1097" s="40"/>
      <c r="E1097" s="41"/>
      <c r="F1097" s="42"/>
      <c r="G1097" s="43"/>
      <c r="H1097" s="44"/>
      <c r="I1097" s="43"/>
      <c r="J1097" s="43"/>
      <c r="K1097" s="25"/>
      <c r="L1097" s="26"/>
      <c r="M1097" s="27"/>
      <c r="N1097" s="28">
        <f>N1092</f>
        <v>69800633</v>
      </c>
    </row>
    <row r="1098" spans="1:14" s="18" customFormat="1" ht="24" hidden="1" customHeight="1" x14ac:dyDescent="0.3">
      <c r="A1098" s="19">
        <v>6</v>
      </c>
      <c r="B1098" s="19">
        <v>10</v>
      </c>
      <c r="C1098" s="29" t="s">
        <v>407</v>
      </c>
      <c r="D1098" s="21"/>
      <c r="E1098" s="19"/>
      <c r="F1098" s="22"/>
      <c r="G1098" s="23"/>
      <c r="H1098" s="24"/>
      <c r="I1098" s="23"/>
      <c r="J1098" s="23"/>
      <c r="K1098" s="32"/>
      <c r="L1098" s="33"/>
      <c r="M1098" s="34"/>
      <c r="N1098" s="35">
        <f>N1097+J1098+K1098</f>
        <v>69800633</v>
      </c>
    </row>
    <row r="1099" spans="1:14" s="18" customFormat="1" ht="24" hidden="1" customHeight="1" x14ac:dyDescent="0.3">
      <c r="A1099" s="19"/>
      <c r="B1099" s="19"/>
      <c r="C1099" s="39" t="s">
        <v>222</v>
      </c>
      <c r="D1099" s="37"/>
      <c r="E1099" s="19"/>
      <c r="F1099" s="22"/>
      <c r="G1099" s="23"/>
      <c r="H1099" s="24">
        <v>252000</v>
      </c>
      <c r="I1099" s="23">
        <f>H1099*0.1</f>
        <v>25200</v>
      </c>
      <c r="J1099" s="23">
        <f>SUM(H1099:I1099)</f>
        <v>277200</v>
      </c>
      <c r="K1099" s="32"/>
      <c r="L1099" s="33"/>
      <c r="M1099" s="34"/>
      <c r="N1099" s="35">
        <f>N1098+J1099+K1099</f>
        <v>70077833</v>
      </c>
    </row>
    <row r="1100" spans="1:14" s="18" customFormat="1" ht="24" hidden="1" customHeight="1" x14ac:dyDescent="0.3">
      <c r="A1100" s="19"/>
      <c r="B1100" s="19">
        <v>11</v>
      </c>
      <c r="C1100" s="29" t="s">
        <v>376</v>
      </c>
      <c r="D1100" s="21"/>
      <c r="E1100" s="19"/>
      <c r="F1100" s="22"/>
      <c r="G1100" s="23"/>
      <c r="H1100" s="24"/>
      <c r="I1100" s="23"/>
      <c r="J1100" s="23"/>
      <c r="K1100" s="32"/>
      <c r="L1100" s="33"/>
      <c r="M1100" s="34"/>
      <c r="N1100" s="35">
        <f t="shared" ref="N1100:N1131" si="656">N1099+J1100+K1100</f>
        <v>70077833</v>
      </c>
    </row>
    <row r="1101" spans="1:14" s="18" customFormat="1" ht="24" hidden="1" customHeight="1" x14ac:dyDescent="0.3">
      <c r="A1101" s="19"/>
      <c r="B1101" s="19"/>
      <c r="C1101" s="36" t="s">
        <v>23</v>
      </c>
      <c r="D1101" s="21"/>
      <c r="E1101" s="19">
        <v>16</v>
      </c>
      <c r="F1101" s="22">
        <v>93.7</v>
      </c>
      <c r="G1101" s="23">
        <f>2200+550+1070+250+330</f>
        <v>4400</v>
      </c>
      <c r="H1101" s="24">
        <f t="shared" ref="H1101" si="657">F1101*G1101</f>
        <v>412280</v>
      </c>
      <c r="I1101" s="23">
        <v>0</v>
      </c>
      <c r="J1101" s="23">
        <f t="shared" ref="J1101" si="658">SUM(H1101:I1101)</f>
        <v>412280</v>
      </c>
      <c r="K1101" s="32"/>
      <c r="L1101" s="33"/>
      <c r="M1101" s="34"/>
      <c r="N1101" s="35">
        <f t="shared" si="656"/>
        <v>70490113</v>
      </c>
    </row>
    <row r="1102" spans="1:14" s="18" customFormat="1" ht="24" hidden="1" customHeight="1" x14ac:dyDescent="0.3">
      <c r="A1102" s="19"/>
      <c r="B1102" s="19">
        <v>11</v>
      </c>
      <c r="C1102" s="29" t="s">
        <v>376</v>
      </c>
      <c r="D1102" s="21"/>
      <c r="E1102" s="19"/>
      <c r="F1102" s="22"/>
      <c r="G1102" s="23"/>
      <c r="H1102" s="24"/>
      <c r="I1102" s="23"/>
      <c r="J1102" s="23"/>
      <c r="K1102" s="32"/>
      <c r="L1102" s="33"/>
      <c r="M1102" s="34"/>
      <c r="N1102" s="35">
        <f t="shared" si="656"/>
        <v>70490113</v>
      </c>
    </row>
    <row r="1103" spans="1:14" s="18" customFormat="1" ht="24" hidden="1" customHeight="1" x14ac:dyDescent="0.3">
      <c r="A1103" s="19"/>
      <c r="B1103" s="19"/>
      <c r="C1103" s="29" t="s">
        <v>408</v>
      </c>
      <c r="D1103" s="21"/>
      <c r="E1103" s="19"/>
      <c r="F1103" s="22"/>
      <c r="G1103" s="23"/>
      <c r="H1103" s="24">
        <v>234000</v>
      </c>
      <c r="I1103" s="23">
        <f>H1103*0.1</f>
        <v>23400</v>
      </c>
      <c r="J1103" s="23">
        <f>SUM(H1103:I1103)</f>
        <v>257400</v>
      </c>
      <c r="K1103" s="32"/>
      <c r="L1103" s="33"/>
      <c r="M1103" s="34"/>
      <c r="N1103" s="35">
        <f t="shared" si="656"/>
        <v>70747513</v>
      </c>
    </row>
    <row r="1104" spans="1:14" s="18" customFormat="1" ht="24" hidden="1" customHeight="1" x14ac:dyDescent="0.3">
      <c r="A1104" s="19"/>
      <c r="B1104" s="19"/>
      <c r="C1104" s="29" t="s">
        <v>81</v>
      </c>
      <c r="D1104" s="21"/>
      <c r="E1104" s="19"/>
      <c r="F1104" s="22"/>
      <c r="G1104" s="23"/>
      <c r="H1104" s="24">
        <v>70000</v>
      </c>
      <c r="I1104" s="23">
        <f>H1104*0.1</f>
        <v>7000</v>
      </c>
      <c r="J1104" s="23">
        <f>SUM(H1104:I1104)</f>
        <v>77000</v>
      </c>
      <c r="K1104" s="32"/>
      <c r="L1104" s="33"/>
      <c r="M1104" s="34"/>
      <c r="N1104" s="35">
        <f t="shared" si="656"/>
        <v>70824513</v>
      </c>
    </row>
    <row r="1105" spans="1:14" s="18" customFormat="1" ht="24" hidden="1" customHeight="1" x14ac:dyDescent="0.3">
      <c r="A1105" s="19"/>
      <c r="B1105" s="19">
        <v>11</v>
      </c>
      <c r="C1105" s="29" t="s">
        <v>409</v>
      </c>
      <c r="D1105" s="21"/>
      <c r="E1105" s="19"/>
      <c r="F1105" s="22"/>
      <c r="G1105" s="23"/>
      <c r="H1105" s="24"/>
      <c r="I1105" s="23"/>
      <c r="J1105" s="23"/>
      <c r="K1105" s="32"/>
      <c r="L1105" s="33"/>
      <c r="M1105" s="34"/>
      <c r="N1105" s="35">
        <f t="shared" si="656"/>
        <v>70824513</v>
      </c>
    </row>
    <row r="1106" spans="1:14" s="18" customFormat="1" ht="24" hidden="1" customHeight="1" x14ac:dyDescent="0.3">
      <c r="A1106" s="19"/>
      <c r="B1106" s="19"/>
      <c r="C1106" s="36" t="s">
        <v>48</v>
      </c>
      <c r="D1106" s="37"/>
      <c r="E1106" s="19">
        <v>124</v>
      </c>
      <c r="F1106" s="22">
        <v>834.8</v>
      </c>
      <c r="G1106" s="23">
        <f>2200+550+1070+250</f>
        <v>4070</v>
      </c>
      <c r="H1106" s="24">
        <f t="shared" ref="H1106:H1108" si="659">F1106*G1106</f>
        <v>3397636</v>
      </c>
      <c r="I1106" s="23">
        <v>0</v>
      </c>
      <c r="J1106" s="23">
        <f t="shared" ref="J1106:J1108" si="660">SUM(H1106:I1106)</f>
        <v>3397636</v>
      </c>
      <c r="K1106" s="32"/>
      <c r="L1106" s="33"/>
      <c r="M1106" s="34"/>
      <c r="N1106" s="35">
        <f t="shared" si="656"/>
        <v>74222149</v>
      </c>
    </row>
    <row r="1107" spans="1:14" s="18" customFormat="1" ht="24" hidden="1" customHeight="1" x14ac:dyDescent="0.3">
      <c r="A1107" s="19"/>
      <c r="B1107" s="19"/>
      <c r="C1107" s="36" t="s">
        <v>410</v>
      </c>
      <c r="D1107" s="21"/>
      <c r="E1107" s="19">
        <v>12</v>
      </c>
      <c r="F1107" s="22">
        <v>115.3</v>
      </c>
      <c r="G1107" s="23">
        <f>2200+1200+1070+250</f>
        <v>4720</v>
      </c>
      <c r="H1107" s="24">
        <f t="shared" si="659"/>
        <v>544216</v>
      </c>
      <c r="I1107" s="23">
        <v>0</v>
      </c>
      <c r="J1107" s="23">
        <f t="shared" si="660"/>
        <v>544216</v>
      </c>
      <c r="K1107" s="32"/>
      <c r="L1107" s="33"/>
      <c r="M1107" s="34"/>
      <c r="N1107" s="35">
        <f t="shared" si="656"/>
        <v>74766365</v>
      </c>
    </row>
    <row r="1108" spans="1:14" s="18" customFormat="1" ht="24" hidden="1" customHeight="1" x14ac:dyDescent="0.3">
      <c r="A1108" s="19"/>
      <c r="B1108" s="19"/>
      <c r="C1108" s="36" t="s">
        <v>411</v>
      </c>
      <c r="D1108" s="37"/>
      <c r="E1108" s="19">
        <v>100</v>
      </c>
      <c r="F1108" s="22">
        <v>891.4</v>
      </c>
      <c r="G1108" s="23">
        <f>2200+980+250+4620</f>
        <v>8050</v>
      </c>
      <c r="H1108" s="24">
        <f t="shared" si="659"/>
        <v>7175770</v>
      </c>
      <c r="I1108" s="23">
        <v>0</v>
      </c>
      <c r="J1108" s="23">
        <f t="shared" si="660"/>
        <v>7175770</v>
      </c>
      <c r="K1108" s="32"/>
      <c r="L1108" s="33"/>
      <c r="M1108" s="34"/>
      <c r="N1108" s="35">
        <f t="shared" si="656"/>
        <v>81942135</v>
      </c>
    </row>
    <row r="1109" spans="1:14" s="18" customFormat="1" ht="24" hidden="1" customHeight="1" x14ac:dyDescent="0.3">
      <c r="A1109" s="19"/>
      <c r="B1109" s="19">
        <v>12</v>
      </c>
      <c r="C1109" s="39" t="s">
        <v>361</v>
      </c>
      <c r="D1109" s="21"/>
      <c r="E1109" s="19"/>
      <c r="F1109" s="22"/>
      <c r="G1109" s="23"/>
      <c r="H1109" s="24"/>
      <c r="I1109" s="23"/>
      <c r="J1109" s="23"/>
      <c r="K1109" s="32"/>
      <c r="L1109" s="33"/>
      <c r="M1109" s="34"/>
      <c r="N1109" s="35">
        <f t="shared" si="656"/>
        <v>81942135</v>
      </c>
    </row>
    <row r="1110" spans="1:14" s="18" customFormat="1" ht="24" hidden="1" customHeight="1" x14ac:dyDescent="0.3">
      <c r="A1110" s="19"/>
      <c r="B1110" s="19"/>
      <c r="C1110" s="36" t="s">
        <v>48</v>
      </c>
      <c r="D1110" s="21"/>
      <c r="E1110" s="19">
        <v>101</v>
      </c>
      <c r="F1110" s="22">
        <v>809.7</v>
      </c>
      <c r="G1110" s="23">
        <f>2200+550+1070+250</f>
        <v>4070</v>
      </c>
      <c r="H1110" s="24">
        <f t="shared" ref="H1110:H1111" si="661">F1110*G1110</f>
        <v>3295479</v>
      </c>
      <c r="I1110" s="23">
        <v>0</v>
      </c>
      <c r="J1110" s="23">
        <f t="shared" ref="J1110:J1111" si="662">SUM(H1110:I1110)</f>
        <v>3295479</v>
      </c>
      <c r="K1110" s="32"/>
      <c r="L1110" s="33"/>
      <c r="M1110" s="34"/>
      <c r="N1110" s="35">
        <f t="shared" si="656"/>
        <v>85237614</v>
      </c>
    </row>
    <row r="1111" spans="1:14" s="18" customFormat="1" ht="24" hidden="1" customHeight="1" x14ac:dyDescent="0.3">
      <c r="A1111" s="19"/>
      <c r="B1111" s="19"/>
      <c r="C1111" s="39" t="s">
        <v>107</v>
      </c>
      <c r="D1111" s="21"/>
      <c r="E1111" s="19">
        <v>7</v>
      </c>
      <c r="F1111" s="22">
        <v>97.7</v>
      </c>
      <c r="G1111" s="23">
        <f>550+550+740</f>
        <v>1840</v>
      </c>
      <c r="H1111" s="24">
        <f t="shared" si="661"/>
        <v>179768</v>
      </c>
      <c r="I1111" s="23">
        <v>0</v>
      </c>
      <c r="J1111" s="23">
        <f t="shared" si="662"/>
        <v>179768</v>
      </c>
      <c r="K1111" s="32"/>
      <c r="L1111" s="33"/>
      <c r="M1111" s="34"/>
      <c r="N1111" s="35">
        <f t="shared" si="656"/>
        <v>85417382</v>
      </c>
    </row>
    <row r="1112" spans="1:14" s="18" customFormat="1" ht="24" hidden="1" customHeight="1" x14ac:dyDescent="0.3">
      <c r="A1112" s="19"/>
      <c r="B1112" s="19">
        <v>12</v>
      </c>
      <c r="C1112" s="29" t="s">
        <v>375</v>
      </c>
      <c r="D1112" s="37"/>
      <c r="E1112" s="19"/>
      <c r="F1112" s="22"/>
      <c r="G1112" s="23"/>
      <c r="H1112" s="24"/>
      <c r="I1112" s="23"/>
      <c r="J1112" s="23"/>
      <c r="K1112" s="32"/>
      <c r="L1112" s="33"/>
      <c r="M1112" s="34"/>
      <c r="N1112" s="35">
        <f t="shared" si="656"/>
        <v>85417382</v>
      </c>
    </row>
    <row r="1113" spans="1:14" s="18" customFormat="1" ht="24" hidden="1" customHeight="1" x14ac:dyDescent="0.3">
      <c r="A1113" s="19"/>
      <c r="B1113" s="19"/>
      <c r="C1113" s="36" t="s">
        <v>166</v>
      </c>
      <c r="D1113" s="21"/>
      <c r="E1113" s="19">
        <v>2</v>
      </c>
      <c r="F1113" s="22">
        <v>12.1</v>
      </c>
      <c r="G1113" s="23">
        <f>2200+2200+550+1070+1070+250+250</f>
        <v>7590</v>
      </c>
      <c r="H1113" s="24">
        <f t="shared" ref="H1113:H1114" si="663">F1113*G1113</f>
        <v>91839</v>
      </c>
      <c r="I1113" s="23">
        <v>0</v>
      </c>
      <c r="J1113" s="23">
        <f t="shared" ref="J1113:J1114" si="664">SUM(H1113:I1113)</f>
        <v>91839</v>
      </c>
      <c r="K1113" s="32"/>
      <c r="L1113" s="33"/>
      <c r="M1113" s="34"/>
      <c r="N1113" s="35">
        <f t="shared" si="656"/>
        <v>85509221</v>
      </c>
    </row>
    <row r="1114" spans="1:14" s="18" customFormat="1" ht="24" hidden="1" customHeight="1" x14ac:dyDescent="0.3">
      <c r="A1114" s="19"/>
      <c r="B1114" s="19"/>
      <c r="C1114" s="36" t="s">
        <v>48</v>
      </c>
      <c r="D1114" s="21"/>
      <c r="E1114" s="19">
        <v>5</v>
      </c>
      <c r="F1114" s="22">
        <v>32.5</v>
      </c>
      <c r="G1114" s="23">
        <f>2200+550+1070+250</f>
        <v>4070</v>
      </c>
      <c r="H1114" s="24">
        <f t="shared" si="663"/>
        <v>132275</v>
      </c>
      <c r="I1114" s="23">
        <v>0</v>
      </c>
      <c r="J1114" s="23">
        <f t="shared" si="664"/>
        <v>132275</v>
      </c>
      <c r="K1114" s="32"/>
      <c r="L1114" s="33"/>
      <c r="M1114" s="34"/>
      <c r="N1114" s="35">
        <f t="shared" si="656"/>
        <v>85641496</v>
      </c>
    </row>
    <row r="1115" spans="1:14" s="18" customFormat="1" ht="24" hidden="1" customHeight="1" x14ac:dyDescent="0.3">
      <c r="A1115" s="19"/>
      <c r="B1115" s="19">
        <v>12</v>
      </c>
      <c r="C1115" s="29" t="s">
        <v>412</v>
      </c>
      <c r="D1115" s="21"/>
      <c r="E1115" s="19"/>
      <c r="F1115" s="22"/>
      <c r="G1115" s="23"/>
      <c r="H1115" s="24"/>
      <c r="I1115" s="23"/>
      <c r="J1115" s="23"/>
      <c r="K1115" s="32"/>
      <c r="L1115" s="33"/>
      <c r="M1115" s="34"/>
      <c r="N1115" s="35">
        <f t="shared" si="656"/>
        <v>85641496</v>
      </c>
    </row>
    <row r="1116" spans="1:14" s="18" customFormat="1" ht="24" hidden="1" customHeight="1" x14ac:dyDescent="0.3">
      <c r="A1116" s="19"/>
      <c r="B1116" s="19"/>
      <c r="C1116" s="36" t="s">
        <v>21</v>
      </c>
      <c r="D1116" s="21"/>
      <c r="E1116" s="19">
        <v>1</v>
      </c>
      <c r="F1116" s="22">
        <v>4.0999999999999996</v>
      </c>
      <c r="G1116" s="23">
        <f>2200+550+1070+250+330</f>
        <v>4400</v>
      </c>
      <c r="H1116" s="24">
        <f t="shared" ref="H1116" si="665">F1116*G1116</f>
        <v>18040</v>
      </c>
      <c r="I1116" s="23">
        <v>0</v>
      </c>
      <c r="J1116" s="23">
        <f t="shared" ref="J1116" si="666">SUM(H1116:I1116)</f>
        <v>18040</v>
      </c>
      <c r="K1116" s="32"/>
      <c r="L1116" s="33"/>
      <c r="M1116" s="34"/>
      <c r="N1116" s="35">
        <f t="shared" si="656"/>
        <v>85659536</v>
      </c>
    </row>
    <row r="1117" spans="1:14" s="18" customFormat="1" ht="24" hidden="1" customHeight="1" x14ac:dyDescent="0.3">
      <c r="A1117" s="19"/>
      <c r="B1117" s="19">
        <v>13</v>
      </c>
      <c r="C1117" s="39" t="s">
        <v>413</v>
      </c>
      <c r="D1117" s="21"/>
      <c r="E1117" s="19"/>
      <c r="F1117" s="22"/>
      <c r="G1117" s="23"/>
      <c r="H1117" s="24"/>
      <c r="I1117" s="23"/>
      <c r="J1117" s="23"/>
      <c r="K1117" s="32"/>
      <c r="L1117" s="33"/>
      <c r="M1117" s="34"/>
      <c r="N1117" s="35">
        <f t="shared" si="656"/>
        <v>85659536</v>
      </c>
    </row>
    <row r="1118" spans="1:14" s="18" customFormat="1" ht="24" hidden="1" customHeight="1" x14ac:dyDescent="0.3">
      <c r="A1118" s="19"/>
      <c r="B1118" s="19"/>
      <c r="C1118" s="36" t="s">
        <v>48</v>
      </c>
      <c r="D1118" s="21"/>
      <c r="E1118" s="19">
        <v>9</v>
      </c>
      <c r="F1118" s="22">
        <v>183.8</v>
      </c>
      <c r="G1118" s="23">
        <f>2200+550+1070+250</f>
        <v>4070</v>
      </c>
      <c r="H1118" s="24">
        <f t="shared" ref="H1118:H1119" si="667">F1118*G1118</f>
        <v>748066</v>
      </c>
      <c r="I1118" s="23">
        <v>0</v>
      </c>
      <c r="J1118" s="23">
        <f t="shared" ref="J1118:J1119" si="668">SUM(H1118:I1118)</f>
        <v>748066</v>
      </c>
      <c r="K1118" s="32"/>
      <c r="L1118" s="33"/>
      <c r="M1118" s="34"/>
      <c r="N1118" s="35">
        <f t="shared" si="656"/>
        <v>86407602</v>
      </c>
    </row>
    <row r="1119" spans="1:14" s="18" customFormat="1" ht="24" hidden="1" customHeight="1" x14ac:dyDescent="0.3">
      <c r="A1119" s="19"/>
      <c r="B1119" s="19"/>
      <c r="C1119" s="36" t="s">
        <v>414</v>
      </c>
      <c r="D1119" s="37"/>
      <c r="E1119" s="19">
        <v>4</v>
      </c>
      <c r="F1119" s="22">
        <v>63.6</v>
      </c>
      <c r="G1119" s="23">
        <f>2200+550+980+250</f>
        <v>3980</v>
      </c>
      <c r="H1119" s="24">
        <f t="shared" si="667"/>
        <v>253128</v>
      </c>
      <c r="I1119" s="23">
        <v>0</v>
      </c>
      <c r="J1119" s="23">
        <f t="shared" si="668"/>
        <v>253128</v>
      </c>
      <c r="K1119" s="32"/>
      <c r="L1119" s="33"/>
      <c r="M1119" s="34"/>
      <c r="N1119" s="35">
        <f t="shared" si="656"/>
        <v>86660730</v>
      </c>
    </row>
    <row r="1120" spans="1:14" s="18" customFormat="1" ht="24" hidden="1" customHeight="1" x14ac:dyDescent="0.3">
      <c r="A1120" s="19"/>
      <c r="B1120" s="19">
        <v>13</v>
      </c>
      <c r="C1120" s="39" t="s">
        <v>386</v>
      </c>
      <c r="D1120" s="21"/>
      <c r="E1120" s="19"/>
      <c r="F1120" s="22"/>
      <c r="G1120" s="23"/>
      <c r="H1120" s="24"/>
      <c r="I1120" s="23"/>
      <c r="J1120" s="23"/>
      <c r="K1120" s="32"/>
      <c r="L1120" s="33"/>
      <c r="M1120" s="34"/>
      <c r="N1120" s="35">
        <f t="shared" si="656"/>
        <v>86660730</v>
      </c>
    </row>
    <row r="1121" spans="1:14" s="18" customFormat="1" ht="24" hidden="1" customHeight="1" x14ac:dyDescent="0.3">
      <c r="A1121" s="19"/>
      <c r="B1121" s="19"/>
      <c r="C1121" s="36" t="s">
        <v>287</v>
      </c>
      <c r="D1121" s="21"/>
      <c r="E1121" s="19">
        <v>27</v>
      </c>
      <c r="F1121" s="22">
        <v>402.6</v>
      </c>
      <c r="G1121" s="23">
        <f>2200+550+1200+300+390</f>
        <v>4640</v>
      </c>
      <c r="H1121" s="24">
        <f t="shared" ref="H1121" si="669">F1121*G1121</f>
        <v>1868064</v>
      </c>
      <c r="I1121" s="23">
        <v>0</v>
      </c>
      <c r="J1121" s="23">
        <f t="shared" ref="J1121" si="670">SUM(H1121:I1121)</f>
        <v>1868064</v>
      </c>
      <c r="K1121" s="32"/>
      <c r="L1121" s="33"/>
      <c r="M1121" s="34"/>
      <c r="N1121" s="35">
        <f t="shared" si="656"/>
        <v>88528794</v>
      </c>
    </row>
    <row r="1122" spans="1:14" s="18" customFormat="1" ht="24" hidden="1" customHeight="1" x14ac:dyDescent="0.3">
      <c r="A1122" s="19"/>
      <c r="B1122" s="19">
        <v>14</v>
      </c>
      <c r="C1122" s="29" t="s">
        <v>383</v>
      </c>
      <c r="D1122" s="21"/>
      <c r="E1122" s="19"/>
      <c r="F1122" s="22"/>
      <c r="G1122" s="23"/>
      <c r="H1122" s="24"/>
      <c r="I1122" s="23"/>
      <c r="J1122" s="23"/>
      <c r="K1122" s="32"/>
      <c r="L1122" s="33"/>
      <c r="M1122" s="34"/>
      <c r="N1122" s="35">
        <f t="shared" si="656"/>
        <v>88528794</v>
      </c>
    </row>
    <row r="1123" spans="1:14" s="18" customFormat="1" ht="24" hidden="1" customHeight="1" x14ac:dyDescent="0.3">
      <c r="A1123" s="19"/>
      <c r="B1123" s="19"/>
      <c r="C1123" s="39" t="s">
        <v>45</v>
      </c>
      <c r="D1123" s="21"/>
      <c r="E1123" s="19"/>
      <c r="F1123" s="22"/>
      <c r="G1123" s="23"/>
      <c r="H1123" s="24">
        <v>100000</v>
      </c>
      <c r="I1123" s="23">
        <f>H1123*0.1</f>
        <v>10000</v>
      </c>
      <c r="J1123" s="23">
        <f>SUM(H1123:I1123)</f>
        <v>110000</v>
      </c>
      <c r="K1123" s="32"/>
      <c r="L1123" s="33"/>
      <c r="M1123" s="34"/>
      <c r="N1123" s="35">
        <f t="shared" si="656"/>
        <v>88638794</v>
      </c>
    </row>
    <row r="1124" spans="1:14" s="18" customFormat="1" ht="24" hidden="1" customHeight="1" x14ac:dyDescent="0.3">
      <c r="A1124" s="19"/>
      <c r="B1124" s="19">
        <v>16</v>
      </c>
      <c r="C1124" s="39" t="s">
        <v>329</v>
      </c>
      <c r="D1124" s="37"/>
      <c r="E1124" s="19"/>
      <c r="F1124" s="22"/>
      <c r="G1124" s="23"/>
      <c r="H1124" s="24"/>
      <c r="I1124" s="23"/>
      <c r="J1124" s="23"/>
      <c r="K1124" s="32"/>
      <c r="L1124" s="33"/>
      <c r="M1124" s="34"/>
      <c r="N1124" s="35">
        <f t="shared" si="656"/>
        <v>88638794</v>
      </c>
    </row>
    <row r="1125" spans="1:14" s="18" customFormat="1" ht="24" hidden="1" customHeight="1" x14ac:dyDescent="0.3">
      <c r="A1125" s="19"/>
      <c r="B1125" s="19"/>
      <c r="C1125" s="36" t="s">
        <v>21</v>
      </c>
      <c r="D1125" s="37"/>
      <c r="E1125" s="19">
        <v>1</v>
      </c>
      <c r="F1125" s="22">
        <v>15.5</v>
      </c>
      <c r="G1125" s="23">
        <f>2200+550+1070+250+330</f>
        <v>4400</v>
      </c>
      <c r="H1125" s="24">
        <f t="shared" ref="H1125" si="671">F1125*G1125</f>
        <v>68200</v>
      </c>
      <c r="I1125" s="23">
        <v>0</v>
      </c>
      <c r="J1125" s="23">
        <f t="shared" ref="J1125" si="672">SUM(H1125:I1125)</f>
        <v>68200</v>
      </c>
      <c r="K1125" s="32"/>
      <c r="L1125" s="33"/>
      <c r="M1125" s="34"/>
      <c r="N1125" s="35">
        <f t="shared" si="656"/>
        <v>88706994</v>
      </c>
    </row>
    <row r="1126" spans="1:14" s="18" customFormat="1" ht="24" hidden="1" customHeight="1" x14ac:dyDescent="0.3">
      <c r="A1126" s="19"/>
      <c r="B1126" s="19">
        <v>16</v>
      </c>
      <c r="C1126" s="39" t="s">
        <v>415</v>
      </c>
      <c r="D1126" s="21"/>
      <c r="E1126" s="19"/>
      <c r="F1126" s="22"/>
      <c r="G1126" s="23"/>
      <c r="H1126" s="24"/>
      <c r="I1126" s="23"/>
      <c r="J1126" s="23"/>
      <c r="K1126" s="32"/>
      <c r="L1126" s="33"/>
      <c r="M1126" s="34"/>
      <c r="N1126" s="35">
        <f t="shared" si="656"/>
        <v>88706994</v>
      </c>
    </row>
    <row r="1127" spans="1:14" s="18" customFormat="1" ht="24" hidden="1" customHeight="1" x14ac:dyDescent="0.3">
      <c r="A1127" s="19"/>
      <c r="B1127" s="19"/>
      <c r="C1127" s="36" t="s">
        <v>48</v>
      </c>
      <c r="D1127" s="37"/>
      <c r="E1127" s="19">
        <v>3</v>
      </c>
      <c r="F1127" s="22">
        <v>9.1999999999999993</v>
      </c>
      <c r="G1127" s="23">
        <f>2200+550+1070+250</f>
        <v>4070</v>
      </c>
      <c r="H1127" s="24">
        <f t="shared" ref="H1127" si="673">F1127*G1127</f>
        <v>37444</v>
      </c>
      <c r="I1127" s="23">
        <v>0</v>
      </c>
      <c r="J1127" s="23">
        <f t="shared" ref="J1127" si="674">SUM(H1127:I1127)</f>
        <v>37444</v>
      </c>
      <c r="K1127" s="32"/>
      <c r="L1127" s="33"/>
      <c r="M1127" s="34"/>
      <c r="N1127" s="35">
        <f t="shared" si="656"/>
        <v>88744438</v>
      </c>
    </row>
    <row r="1128" spans="1:14" s="18" customFormat="1" ht="24" hidden="1" customHeight="1" x14ac:dyDescent="0.3">
      <c r="A1128" s="19"/>
      <c r="B1128" s="19">
        <v>16</v>
      </c>
      <c r="C1128" s="29" t="s">
        <v>400</v>
      </c>
      <c r="D1128" s="21"/>
      <c r="E1128" s="19"/>
      <c r="F1128" s="22"/>
      <c r="G1128" s="23"/>
      <c r="H1128" s="24"/>
      <c r="I1128" s="23"/>
      <c r="J1128" s="23"/>
      <c r="K1128" s="32"/>
      <c r="L1128" s="33"/>
      <c r="M1128" s="34"/>
      <c r="N1128" s="35">
        <f t="shared" si="656"/>
        <v>88744438</v>
      </c>
    </row>
    <row r="1129" spans="1:14" s="18" customFormat="1" ht="24" hidden="1" customHeight="1" x14ac:dyDescent="0.3">
      <c r="A1129" s="19"/>
      <c r="B1129" s="19"/>
      <c r="C1129" s="39" t="s">
        <v>46</v>
      </c>
      <c r="D1129" s="37"/>
      <c r="E1129" s="19">
        <v>9</v>
      </c>
      <c r="F1129" s="22">
        <v>53.4</v>
      </c>
      <c r="G1129" s="23">
        <v>2040</v>
      </c>
      <c r="H1129" s="24">
        <f t="shared" ref="H1129" si="675">F1129*G1129</f>
        <v>108936</v>
      </c>
      <c r="I1129" s="23">
        <v>0</v>
      </c>
      <c r="J1129" s="23">
        <f t="shared" ref="J1129" si="676">SUM(H1129:I1129)</f>
        <v>108936</v>
      </c>
      <c r="K1129" s="32"/>
      <c r="L1129" s="33"/>
      <c r="M1129" s="34"/>
      <c r="N1129" s="38">
        <f t="shared" si="656"/>
        <v>88853374</v>
      </c>
    </row>
    <row r="1130" spans="1:14" s="18" customFormat="1" ht="24" hidden="1" customHeight="1" x14ac:dyDescent="0.3">
      <c r="A1130" s="19"/>
      <c r="B1130" s="19"/>
      <c r="C1130" s="29"/>
      <c r="D1130" s="21"/>
      <c r="E1130" s="19"/>
      <c r="F1130" s="22"/>
      <c r="G1130" s="23"/>
      <c r="H1130" s="24"/>
      <c r="I1130" s="23"/>
      <c r="J1130" s="23"/>
      <c r="K1130" s="32"/>
      <c r="L1130" s="33"/>
      <c r="M1130" s="34"/>
      <c r="N1130" s="38">
        <f t="shared" si="656"/>
        <v>88853374</v>
      </c>
    </row>
    <row r="1131" spans="1:14" s="18" customFormat="1" ht="24" hidden="1" customHeight="1" x14ac:dyDescent="0.3">
      <c r="A1131" s="19"/>
      <c r="B1131" s="19"/>
      <c r="C1131" s="39"/>
      <c r="D1131" s="21"/>
      <c r="E1131" s="19"/>
      <c r="F1131" s="22"/>
      <c r="G1131" s="23"/>
      <c r="H1131" s="24"/>
      <c r="I1131" s="23"/>
      <c r="J1131" s="23"/>
      <c r="K1131" s="32"/>
      <c r="L1131" s="33"/>
      <c r="M1131" s="34"/>
      <c r="N1131" s="38">
        <f t="shared" si="656"/>
        <v>88853374</v>
      </c>
    </row>
    <row r="1132" spans="1:14" s="2" customFormat="1" ht="27" hidden="1" customHeight="1" thickBot="1" x14ac:dyDescent="0.35">
      <c r="A1132" s="1"/>
      <c r="B1132" s="1"/>
      <c r="C1132" s="1"/>
      <c r="E1132" s="86" t="s">
        <v>0</v>
      </c>
      <c r="F1132" s="86"/>
      <c r="G1132" s="86"/>
      <c r="H1132" s="86"/>
      <c r="I1132" s="86"/>
      <c r="J1132" s="86"/>
      <c r="K1132" s="1"/>
      <c r="L1132" s="3"/>
      <c r="M1132" s="3"/>
      <c r="N1132" s="1"/>
    </row>
    <row r="1133" spans="1:14" s="2" customFormat="1" ht="24" hidden="1" customHeight="1" thickTop="1" x14ac:dyDescent="0.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3"/>
      <c r="M1133" s="3"/>
      <c r="N1133" s="1"/>
    </row>
    <row r="1134" spans="1:14" s="2" customFormat="1" ht="24" hidden="1" customHeight="1" thickBot="1" x14ac:dyDescent="0.35">
      <c r="A1134" s="2" t="s">
        <v>1</v>
      </c>
      <c r="C1134" s="4"/>
      <c r="D1134" s="4"/>
      <c r="E1134" s="5"/>
      <c r="F1134" s="6"/>
      <c r="G1134" s="7"/>
      <c r="H1134" s="7"/>
      <c r="I1134" s="7"/>
      <c r="J1134" s="8"/>
      <c r="K1134" s="9"/>
      <c r="L1134" s="10"/>
      <c r="M1134" s="11"/>
      <c r="N1134" s="12" t="s">
        <v>2</v>
      </c>
    </row>
    <row r="1135" spans="1:14" s="18" customFormat="1" ht="24" hidden="1" customHeight="1" thickTop="1" thickBot="1" x14ac:dyDescent="0.35">
      <c r="A1135" s="13" t="s">
        <v>3</v>
      </c>
      <c r="B1135" s="13" t="s">
        <v>4</v>
      </c>
      <c r="C1135" s="87" t="s">
        <v>5</v>
      </c>
      <c r="D1135" s="88"/>
      <c r="E1135" s="13" t="s">
        <v>6</v>
      </c>
      <c r="F1135" s="14" t="s">
        <v>7</v>
      </c>
      <c r="G1135" s="15" t="s">
        <v>8</v>
      </c>
      <c r="H1135" s="15" t="s">
        <v>9</v>
      </c>
      <c r="I1135" s="15" t="s">
        <v>10</v>
      </c>
      <c r="J1135" s="15" t="s">
        <v>11</v>
      </c>
      <c r="K1135" s="16" t="s">
        <v>12</v>
      </c>
      <c r="L1135" s="89" t="s">
        <v>13</v>
      </c>
      <c r="M1135" s="90"/>
      <c r="N1135" s="17" t="s">
        <v>14</v>
      </c>
    </row>
    <row r="1136" spans="1:14" s="18" customFormat="1" ht="24" hidden="1" customHeight="1" thickTop="1" x14ac:dyDescent="0.3">
      <c r="A1136" s="41"/>
      <c r="B1136" s="41"/>
      <c r="C1136" s="73" t="s">
        <v>41</v>
      </c>
      <c r="D1136" s="40"/>
      <c r="E1136" s="41"/>
      <c r="F1136" s="42"/>
      <c r="G1136" s="43"/>
      <c r="H1136" s="44"/>
      <c r="I1136" s="43"/>
      <c r="J1136" s="43"/>
      <c r="K1136" s="25"/>
      <c r="L1136" s="26"/>
      <c r="M1136" s="27"/>
      <c r="N1136" s="28">
        <f>N1131</f>
        <v>88853374</v>
      </c>
    </row>
    <row r="1137" spans="1:14" s="18" customFormat="1" ht="24" hidden="1" customHeight="1" x14ac:dyDescent="0.3">
      <c r="A1137" s="19">
        <v>6</v>
      </c>
      <c r="B1137" s="19">
        <v>16</v>
      </c>
      <c r="C1137" s="29" t="s">
        <v>416</v>
      </c>
      <c r="D1137" s="21"/>
      <c r="E1137" s="19"/>
      <c r="F1137" s="22"/>
      <c r="G1137" s="23"/>
      <c r="H1137" s="24"/>
      <c r="I1137" s="23"/>
      <c r="J1137" s="23"/>
      <c r="K1137" s="32"/>
      <c r="L1137" s="33"/>
      <c r="M1137" s="34"/>
      <c r="N1137" s="35">
        <f>N1136+J1137+K1137</f>
        <v>88853374</v>
      </c>
    </row>
    <row r="1138" spans="1:14" s="18" customFormat="1" ht="24" hidden="1" customHeight="1" x14ac:dyDescent="0.3">
      <c r="A1138" s="19"/>
      <c r="B1138" s="19"/>
      <c r="C1138" s="36" t="s">
        <v>417</v>
      </c>
      <c r="D1138" s="37"/>
      <c r="E1138" s="19">
        <v>160</v>
      </c>
      <c r="F1138" s="22">
        <v>1984.1</v>
      </c>
      <c r="G1138" s="23">
        <f>2200+900+1070+250+330</f>
        <v>4750</v>
      </c>
      <c r="H1138" s="24">
        <f t="shared" ref="H1138:H1140" si="677">F1138*G1138</f>
        <v>9424475</v>
      </c>
      <c r="I1138" s="23">
        <v>0</v>
      </c>
      <c r="J1138" s="23">
        <f t="shared" ref="J1138" si="678">SUM(H1138:I1138)</f>
        <v>9424475</v>
      </c>
      <c r="K1138" s="32"/>
      <c r="L1138" s="33"/>
      <c r="M1138" s="34"/>
      <c r="N1138" s="35">
        <f>N1137+J1138+K1138</f>
        <v>98277849</v>
      </c>
    </row>
    <row r="1139" spans="1:14" s="18" customFormat="1" ht="24" hidden="1" customHeight="1" x14ac:dyDescent="0.3">
      <c r="A1139" s="19"/>
      <c r="B1139" s="19"/>
      <c r="C1139" s="29" t="s">
        <v>67</v>
      </c>
      <c r="D1139" s="21"/>
      <c r="E1139" s="19">
        <v>1</v>
      </c>
      <c r="F1139" s="22">
        <v>12.5</v>
      </c>
      <c r="G1139" s="23">
        <f>550+550+1070</f>
        <v>2170</v>
      </c>
      <c r="H1139" s="24">
        <f t="shared" si="677"/>
        <v>27125</v>
      </c>
      <c r="I1139" s="23">
        <v>0</v>
      </c>
      <c r="J1139" s="23">
        <f t="shared" ref="J1139" si="679">SUM(H1139:I1139)</f>
        <v>27125</v>
      </c>
      <c r="K1139" s="32"/>
      <c r="L1139" s="33"/>
      <c r="M1139" s="34"/>
      <c r="N1139" s="35">
        <f t="shared" ref="N1139:N1170" si="680">N1138+J1139+K1139</f>
        <v>98304974</v>
      </c>
    </row>
    <row r="1140" spans="1:14" s="18" customFormat="1" ht="24" hidden="1" customHeight="1" x14ac:dyDescent="0.3">
      <c r="A1140" s="19"/>
      <c r="B1140" s="19"/>
      <c r="C1140" s="39" t="s">
        <v>46</v>
      </c>
      <c r="D1140" s="21"/>
      <c r="E1140" s="19">
        <v>32</v>
      </c>
      <c r="F1140" s="22">
        <v>266.3</v>
      </c>
      <c r="G1140" s="23">
        <v>2040</v>
      </c>
      <c r="H1140" s="24">
        <f t="shared" si="677"/>
        <v>543252</v>
      </c>
      <c r="I1140" s="23">
        <v>0</v>
      </c>
      <c r="J1140" s="23">
        <f t="shared" ref="J1140" si="681">SUM(H1140:I1140)</f>
        <v>543252</v>
      </c>
      <c r="K1140" s="32"/>
      <c r="L1140" s="33"/>
      <c r="M1140" s="34"/>
      <c r="N1140" s="35">
        <f t="shared" si="680"/>
        <v>98848226</v>
      </c>
    </row>
    <row r="1141" spans="1:14" s="18" customFormat="1" ht="24" hidden="1" customHeight="1" x14ac:dyDescent="0.3">
      <c r="A1141" s="19"/>
      <c r="B1141" s="19">
        <v>17</v>
      </c>
      <c r="C1141" s="39" t="s">
        <v>409</v>
      </c>
      <c r="D1141" s="21"/>
      <c r="E1141" s="19"/>
      <c r="F1141" s="22"/>
      <c r="G1141" s="23"/>
      <c r="H1141" s="24"/>
      <c r="I1141" s="23"/>
      <c r="J1141" s="23"/>
      <c r="K1141" s="32"/>
      <c r="L1141" s="33"/>
      <c r="M1141" s="34"/>
      <c r="N1141" s="35">
        <f t="shared" si="680"/>
        <v>98848226</v>
      </c>
    </row>
    <row r="1142" spans="1:14" s="18" customFormat="1" ht="24" hidden="1" customHeight="1" x14ac:dyDescent="0.3">
      <c r="A1142" s="19"/>
      <c r="B1142" s="19"/>
      <c r="C1142" s="39" t="s">
        <v>179</v>
      </c>
      <c r="D1142" s="21"/>
      <c r="E1142" s="19"/>
      <c r="F1142" s="22"/>
      <c r="G1142" s="23"/>
      <c r="H1142" s="24">
        <v>160000</v>
      </c>
      <c r="I1142" s="23">
        <f>H1142*0.1</f>
        <v>16000</v>
      </c>
      <c r="J1142" s="23">
        <f>SUM(H1142:I1142)</f>
        <v>176000</v>
      </c>
      <c r="K1142" s="32"/>
      <c r="L1142" s="33"/>
      <c r="M1142" s="34"/>
      <c r="N1142" s="35">
        <f t="shared" si="680"/>
        <v>99024226</v>
      </c>
    </row>
    <row r="1143" spans="1:14" s="18" customFormat="1" ht="24" hidden="1" customHeight="1" x14ac:dyDescent="0.3">
      <c r="A1143" s="19"/>
      <c r="B1143" s="19">
        <v>17</v>
      </c>
      <c r="C1143" s="39" t="s">
        <v>418</v>
      </c>
      <c r="D1143" s="21"/>
      <c r="E1143" s="19"/>
      <c r="F1143" s="22"/>
      <c r="G1143" s="23"/>
      <c r="H1143" s="24"/>
      <c r="I1143" s="23"/>
      <c r="J1143" s="23"/>
      <c r="K1143" s="32"/>
      <c r="L1143" s="33"/>
      <c r="M1143" s="34"/>
      <c r="N1143" s="35">
        <f t="shared" si="680"/>
        <v>99024226</v>
      </c>
    </row>
    <row r="1144" spans="1:14" s="18" customFormat="1" ht="24" hidden="1" customHeight="1" x14ac:dyDescent="0.3">
      <c r="A1144" s="19"/>
      <c r="B1144" s="19"/>
      <c r="C1144" s="36" t="s">
        <v>419</v>
      </c>
      <c r="D1144" s="21"/>
      <c r="E1144" s="19">
        <v>206</v>
      </c>
      <c r="F1144" s="22">
        <v>7383.5</v>
      </c>
      <c r="G1144" s="23">
        <f>2200+1200+1200+1070+1070+250+250</f>
        <v>7240</v>
      </c>
      <c r="H1144" s="24">
        <f t="shared" ref="H1144:H1145" si="682">F1144*G1144</f>
        <v>53456540</v>
      </c>
      <c r="I1144" s="23">
        <v>0</v>
      </c>
      <c r="J1144" s="23">
        <f t="shared" ref="J1144:J1145" si="683">SUM(H1144:I1144)</f>
        <v>53456540</v>
      </c>
      <c r="K1144" s="32"/>
      <c r="L1144" s="33"/>
      <c r="M1144" s="34"/>
      <c r="N1144" s="35">
        <f t="shared" si="680"/>
        <v>152480766</v>
      </c>
    </row>
    <row r="1145" spans="1:14" s="18" customFormat="1" ht="24" hidden="1" customHeight="1" x14ac:dyDescent="0.3">
      <c r="A1145" s="19"/>
      <c r="B1145" s="19"/>
      <c r="C1145" s="36" t="s">
        <v>420</v>
      </c>
      <c r="D1145" s="37"/>
      <c r="E1145" s="19">
        <v>10</v>
      </c>
      <c r="F1145" s="22">
        <v>255.1</v>
      </c>
      <c r="G1145" s="23">
        <f>1400+700+1200+2200+1070+1070+250+250</f>
        <v>8140</v>
      </c>
      <c r="H1145" s="24">
        <f t="shared" si="682"/>
        <v>2076514</v>
      </c>
      <c r="I1145" s="23">
        <v>0</v>
      </c>
      <c r="J1145" s="23">
        <f t="shared" si="683"/>
        <v>2076514</v>
      </c>
      <c r="K1145" s="32"/>
      <c r="L1145" s="33"/>
      <c r="M1145" s="34"/>
      <c r="N1145" s="35">
        <f t="shared" si="680"/>
        <v>154557280</v>
      </c>
    </row>
    <row r="1146" spans="1:14" s="18" customFormat="1" ht="24" hidden="1" customHeight="1" x14ac:dyDescent="0.3">
      <c r="A1146" s="19"/>
      <c r="B1146" s="19">
        <v>18</v>
      </c>
      <c r="C1146" s="39" t="s">
        <v>383</v>
      </c>
      <c r="D1146" s="21"/>
      <c r="E1146" s="19"/>
      <c r="F1146" s="22"/>
      <c r="G1146" s="23"/>
      <c r="H1146" s="24"/>
      <c r="I1146" s="23"/>
      <c r="J1146" s="23"/>
      <c r="K1146" s="32"/>
      <c r="L1146" s="33"/>
      <c r="M1146" s="34"/>
      <c r="N1146" s="35">
        <f t="shared" si="680"/>
        <v>154557280</v>
      </c>
    </row>
    <row r="1147" spans="1:14" s="18" customFormat="1" ht="24" hidden="1" customHeight="1" x14ac:dyDescent="0.3">
      <c r="A1147" s="19"/>
      <c r="B1147" s="19"/>
      <c r="C1147" s="36" t="s">
        <v>21</v>
      </c>
      <c r="D1147" s="37"/>
      <c r="E1147" s="19">
        <v>9</v>
      </c>
      <c r="F1147" s="22">
        <v>56.1</v>
      </c>
      <c r="G1147" s="23">
        <f>2200+550+1070+250+330</f>
        <v>4400</v>
      </c>
      <c r="H1147" s="24">
        <f t="shared" ref="H1147:H1148" si="684">F1147*G1147</f>
        <v>246840</v>
      </c>
      <c r="I1147" s="23">
        <v>0</v>
      </c>
      <c r="J1147" s="23">
        <f t="shared" ref="J1147:J1148" si="685">SUM(H1147:I1147)</f>
        <v>246840</v>
      </c>
      <c r="K1147" s="32"/>
      <c r="L1147" s="33"/>
      <c r="M1147" s="34"/>
      <c r="N1147" s="35">
        <f t="shared" si="680"/>
        <v>154804120</v>
      </c>
    </row>
    <row r="1148" spans="1:14" s="18" customFormat="1" ht="24" hidden="1" customHeight="1" x14ac:dyDescent="0.3">
      <c r="A1148" s="19"/>
      <c r="B1148" s="19"/>
      <c r="C1148" s="39" t="s">
        <v>100</v>
      </c>
      <c r="D1148" s="21"/>
      <c r="E1148" s="19">
        <v>6</v>
      </c>
      <c r="F1148" s="22">
        <v>34.200000000000003</v>
      </c>
      <c r="G1148" s="23">
        <v>1280</v>
      </c>
      <c r="H1148" s="24">
        <f t="shared" si="684"/>
        <v>43776</v>
      </c>
      <c r="I1148" s="23">
        <v>0</v>
      </c>
      <c r="J1148" s="23">
        <f t="shared" si="685"/>
        <v>43776</v>
      </c>
      <c r="K1148" s="32"/>
      <c r="L1148" s="33"/>
      <c r="M1148" s="34"/>
      <c r="N1148" s="35">
        <f t="shared" si="680"/>
        <v>154847896</v>
      </c>
    </row>
    <row r="1149" spans="1:14" s="18" customFormat="1" ht="24" hidden="1" customHeight="1" x14ac:dyDescent="0.3">
      <c r="A1149" s="19"/>
      <c r="B1149" s="19">
        <v>18</v>
      </c>
      <c r="C1149" s="39" t="s">
        <v>386</v>
      </c>
      <c r="D1149" s="21"/>
      <c r="E1149" s="19"/>
      <c r="F1149" s="22"/>
      <c r="G1149" s="23"/>
      <c r="H1149" s="24"/>
      <c r="I1149" s="23"/>
      <c r="J1149" s="23"/>
      <c r="K1149" s="32"/>
      <c r="L1149" s="33"/>
      <c r="M1149" s="34"/>
      <c r="N1149" s="35">
        <f t="shared" si="680"/>
        <v>154847896</v>
      </c>
    </row>
    <row r="1150" spans="1:14" s="18" customFormat="1" ht="24" hidden="1" customHeight="1" x14ac:dyDescent="0.3">
      <c r="A1150" s="19"/>
      <c r="B1150" s="19"/>
      <c r="C1150" s="36" t="s">
        <v>21</v>
      </c>
      <c r="D1150" s="21"/>
      <c r="E1150" s="19">
        <v>2</v>
      </c>
      <c r="F1150" s="22">
        <v>22.6</v>
      </c>
      <c r="G1150" s="23">
        <f>2200+550+1070+250+330</f>
        <v>4400</v>
      </c>
      <c r="H1150" s="24">
        <f t="shared" ref="H1150:H1151" si="686">F1150*G1150</f>
        <v>99440</v>
      </c>
      <c r="I1150" s="23">
        <v>0</v>
      </c>
      <c r="J1150" s="23">
        <f t="shared" ref="J1150:J1151" si="687">SUM(H1150:I1150)</f>
        <v>99440</v>
      </c>
      <c r="K1150" s="32"/>
      <c r="L1150" s="33"/>
      <c r="M1150" s="34"/>
      <c r="N1150" s="35">
        <f t="shared" si="680"/>
        <v>154947336</v>
      </c>
    </row>
    <row r="1151" spans="1:14" s="18" customFormat="1" ht="24" hidden="1" customHeight="1" x14ac:dyDescent="0.3">
      <c r="A1151" s="19"/>
      <c r="B1151" s="19"/>
      <c r="C1151" s="29" t="s">
        <v>75</v>
      </c>
      <c r="D1151" s="37"/>
      <c r="E1151" s="19">
        <v>3</v>
      </c>
      <c r="F1151" s="22">
        <v>22.6</v>
      </c>
      <c r="G1151" s="23">
        <v>2540</v>
      </c>
      <c r="H1151" s="24">
        <f t="shared" si="686"/>
        <v>57404</v>
      </c>
      <c r="I1151" s="23">
        <v>0</v>
      </c>
      <c r="J1151" s="23">
        <f t="shared" si="687"/>
        <v>57404</v>
      </c>
      <c r="K1151" s="32"/>
      <c r="L1151" s="33"/>
      <c r="M1151" s="34"/>
      <c r="N1151" s="35">
        <f t="shared" si="680"/>
        <v>155004740</v>
      </c>
    </row>
    <row r="1152" spans="1:14" s="18" customFormat="1" ht="24" hidden="1" customHeight="1" x14ac:dyDescent="0.3">
      <c r="A1152" s="19"/>
      <c r="B1152" s="19">
        <v>19</v>
      </c>
      <c r="C1152" s="29" t="s">
        <v>421</v>
      </c>
      <c r="D1152" s="21"/>
      <c r="E1152" s="19"/>
      <c r="F1152" s="22"/>
      <c r="G1152" s="23"/>
      <c r="H1152" s="24"/>
      <c r="I1152" s="23"/>
      <c r="J1152" s="23"/>
      <c r="K1152" s="32"/>
      <c r="L1152" s="33"/>
      <c r="M1152" s="34"/>
      <c r="N1152" s="35">
        <f t="shared" si="680"/>
        <v>155004740</v>
      </c>
    </row>
    <row r="1153" spans="1:14" s="18" customFormat="1" ht="24" hidden="1" customHeight="1" x14ac:dyDescent="0.3">
      <c r="A1153" s="19"/>
      <c r="B1153" s="19"/>
      <c r="C1153" s="39" t="s">
        <v>179</v>
      </c>
      <c r="D1153" s="21"/>
      <c r="E1153" s="19"/>
      <c r="F1153" s="22"/>
      <c r="G1153" s="23"/>
      <c r="H1153" s="24">
        <v>170000</v>
      </c>
      <c r="I1153" s="23">
        <f>H1153*0.1</f>
        <v>17000</v>
      </c>
      <c r="J1153" s="23">
        <f>SUM(H1153:I1153)</f>
        <v>187000</v>
      </c>
      <c r="K1153" s="32"/>
      <c r="L1153" s="33"/>
      <c r="M1153" s="34"/>
      <c r="N1153" s="35">
        <f t="shared" si="680"/>
        <v>155191740</v>
      </c>
    </row>
    <row r="1154" spans="1:14" s="18" customFormat="1" ht="24" hidden="1" customHeight="1" x14ac:dyDescent="0.3">
      <c r="A1154" s="19"/>
      <c r="B1154" s="19">
        <v>19</v>
      </c>
      <c r="C1154" s="39" t="s">
        <v>307</v>
      </c>
      <c r="D1154" s="21"/>
      <c r="E1154" s="19"/>
      <c r="F1154" s="22"/>
      <c r="G1154" s="23"/>
      <c r="H1154" s="24">
        <v>170000</v>
      </c>
      <c r="I1154" s="23">
        <f>H1154*0.1</f>
        <v>17000</v>
      </c>
      <c r="J1154" s="23">
        <f>SUM(H1154:I1154)</f>
        <v>187000</v>
      </c>
      <c r="K1154" s="32"/>
      <c r="L1154" s="33"/>
      <c r="M1154" s="34"/>
      <c r="N1154" s="35">
        <f t="shared" si="680"/>
        <v>155378740</v>
      </c>
    </row>
    <row r="1155" spans="1:14" s="18" customFormat="1" ht="24" hidden="1" customHeight="1" x14ac:dyDescent="0.3">
      <c r="A1155" s="19"/>
      <c r="B1155" s="19"/>
      <c r="C1155" s="29" t="s">
        <v>81</v>
      </c>
      <c r="D1155" s="21"/>
      <c r="E1155" s="19"/>
      <c r="F1155" s="22"/>
      <c r="G1155" s="23"/>
      <c r="H1155" s="24">
        <v>70000</v>
      </c>
      <c r="I1155" s="23">
        <f>H1155*0.1</f>
        <v>7000</v>
      </c>
      <c r="J1155" s="23">
        <f>SUM(H1155:I1155)</f>
        <v>77000</v>
      </c>
      <c r="K1155" s="32"/>
      <c r="L1155" s="33"/>
      <c r="M1155" s="34"/>
      <c r="N1155" s="35">
        <f t="shared" si="680"/>
        <v>155455740</v>
      </c>
    </row>
    <row r="1156" spans="1:14" s="18" customFormat="1" ht="24" hidden="1" customHeight="1" x14ac:dyDescent="0.3">
      <c r="A1156" s="19"/>
      <c r="B1156" s="19">
        <v>19</v>
      </c>
      <c r="C1156" s="29" t="s">
        <v>400</v>
      </c>
      <c r="D1156" s="21"/>
      <c r="E1156" s="19"/>
      <c r="F1156" s="22"/>
      <c r="G1156" s="23"/>
      <c r="H1156" s="24"/>
      <c r="I1156" s="23"/>
      <c r="J1156" s="23"/>
      <c r="K1156" s="32"/>
      <c r="L1156" s="33"/>
      <c r="M1156" s="34"/>
      <c r="N1156" s="35">
        <f t="shared" si="680"/>
        <v>155455740</v>
      </c>
    </row>
    <row r="1157" spans="1:14" s="18" customFormat="1" ht="24" hidden="1" customHeight="1" x14ac:dyDescent="0.3">
      <c r="A1157" s="19"/>
      <c r="B1157" s="19"/>
      <c r="C1157" s="39" t="s">
        <v>46</v>
      </c>
      <c r="D1157" s="21"/>
      <c r="E1157" s="19">
        <v>1</v>
      </c>
      <c r="F1157" s="22">
        <v>20.2</v>
      </c>
      <c r="G1157" s="23">
        <v>2040</v>
      </c>
      <c r="H1157" s="24">
        <f t="shared" ref="H1157" si="688">F1157*G1157</f>
        <v>41208</v>
      </c>
      <c r="I1157" s="23">
        <v>0</v>
      </c>
      <c r="J1157" s="23">
        <f t="shared" ref="J1157" si="689">SUM(H1157:I1157)</f>
        <v>41208</v>
      </c>
      <c r="K1157" s="32"/>
      <c r="L1157" s="33"/>
      <c r="M1157" s="34"/>
      <c r="N1157" s="35">
        <f t="shared" si="680"/>
        <v>155496948</v>
      </c>
    </row>
    <row r="1158" spans="1:14" s="18" customFormat="1" ht="24" hidden="1" customHeight="1" x14ac:dyDescent="0.3">
      <c r="A1158" s="19"/>
      <c r="B1158" s="19">
        <v>19</v>
      </c>
      <c r="C1158" s="39" t="s">
        <v>422</v>
      </c>
      <c r="D1158" s="37"/>
      <c r="E1158" s="19"/>
      <c r="F1158" s="22"/>
      <c r="G1158" s="23"/>
      <c r="H1158" s="24"/>
      <c r="I1158" s="23"/>
      <c r="J1158" s="23"/>
      <c r="K1158" s="32"/>
      <c r="L1158" s="33"/>
      <c r="M1158" s="34"/>
      <c r="N1158" s="35">
        <f t="shared" si="680"/>
        <v>155496948</v>
      </c>
    </row>
    <row r="1159" spans="1:14" s="18" customFormat="1" ht="24" hidden="1" customHeight="1" x14ac:dyDescent="0.3">
      <c r="A1159" s="19"/>
      <c r="B1159" s="19"/>
      <c r="C1159" s="36" t="s">
        <v>353</v>
      </c>
      <c r="D1159" s="21"/>
      <c r="E1159" s="19">
        <v>42</v>
      </c>
      <c r="F1159" s="22">
        <v>129.9</v>
      </c>
      <c r="G1159" s="23">
        <f>2200+2200+550+1070+1070+250+250+330+330</f>
        <v>8250</v>
      </c>
      <c r="H1159" s="24">
        <f t="shared" ref="H1159:H1160" si="690">F1159*G1159</f>
        <v>1071675</v>
      </c>
      <c r="I1159" s="23">
        <v>0</v>
      </c>
      <c r="J1159" s="23">
        <f t="shared" ref="J1159:J1160" si="691">SUM(H1159:I1159)</f>
        <v>1071675</v>
      </c>
      <c r="K1159" s="32"/>
      <c r="L1159" s="33"/>
      <c r="M1159" s="34"/>
      <c r="N1159" s="35">
        <f t="shared" si="680"/>
        <v>156568623</v>
      </c>
    </row>
    <row r="1160" spans="1:14" s="18" customFormat="1" ht="24" hidden="1" customHeight="1" x14ac:dyDescent="0.3">
      <c r="A1160" s="19"/>
      <c r="B1160" s="19"/>
      <c r="C1160" s="36" t="s">
        <v>423</v>
      </c>
      <c r="D1160" s="21"/>
      <c r="E1160" s="19">
        <v>72</v>
      </c>
      <c r="F1160" s="22">
        <v>681.5</v>
      </c>
      <c r="G1160" s="23">
        <f>2200+800+1070+250+330</f>
        <v>4650</v>
      </c>
      <c r="H1160" s="24">
        <f t="shared" si="690"/>
        <v>3168975</v>
      </c>
      <c r="I1160" s="23">
        <v>0</v>
      </c>
      <c r="J1160" s="23">
        <f t="shared" si="691"/>
        <v>3168975</v>
      </c>
      <c r="K1160" s="32"/>
      <c r="L1160" s="33"/>
      <c r="M1160" s="34"/>
      <c r="N1160" s="35">
        <f t="shared" si="680"/>
        <v>159737598</v>
      </c>
    </row>
    <row r="1161" spans="1:14" s="18" customFormat="1" ht="24" hidden="1" customHeight="1" x14ac:dyDescent="0.3">
      <c r="A1161" s="19"/>
      <c r="B1161" s="19">
        <v>19</v>
      </c>
      <c r="C1161" s="29" t="s">
        <v>424</v>
      </c>
      <c r="D1161" s="21"/>
      <c r="E1161" s="19"/>
      <c r="F1161" s="22"/>
      <c r="G1161" s="23"/>
      <c r="H1161" s="24"/>
      <c r="I1161" s="23"/>
      <c r="J1161" s="23"/>
      <c r="K1161" s="32"/>
      <c r="L1161" s="33"/>
      <c r="M1161" s="34"/>
      <c r="N1161" s="35">
        <f t="shared" si="680"/>
        <v>159737598</v>
      </c>
    </row>
    <row r="1162" spans="1:14" s="18" customFormat="1" ht="24" hidden="1" customHeight="1" x14ac:dyDescent="0.3">
      <c r="A1162" s="19"/>
      <c r="B1162" s="19"/>
      <c r="C1162" s="36" t="s">
        <v>48</v>
      </c>
      <c r="D1162" s="21"/>
      <c r="E1162" s="19">
        <v>236</v>
      </c>
      <c r="F1162" s="22">
        <v>1792.9</v>
      </c>
      <c r="G1162" s="23">
        <f>2200+550+1070+250</f>
        <v>4070</v>
      </c>
      <c r="H1162" s="24">
        <f t="shared" ref="H1162:H1164" si="692">F1162*G1162</f>
        <v>7297103</v>
      </c>
      <c r="I1162" s="23">
        <v>0</v>
      </c>
      <c r="J1162" s="23">
        <f t="shared" ref="J1162:J1164" si="693">SUM(H1162:I1162)</f>
        <v>7297103</v>
      </c>
      <c r="K1162" s="32"/>
      <c r="L1162" s="33"/>
      <c r="M1162" s="34"/>
      <c r="N1162" s="35">
        <f t="shared" si="680"/>
        <v>167034701</v>
      </c>
    </row>
    <row r="1163" spans="1:14" s="18" customFormat="1" ht="24" hidden="1" customHeight="1" x14ac:dyDescent="0.3">
      <c r="A1163" s="19"/>
      <c r="B1163" s="19"/>
      <c r="C1163" s="36" t="s">
        <v>410</v>
      </c>
      <c r="D1163" s="21"/>
      <c r="E1163" s="19">
        <v>5</v>
      </c>
      <c r="F1163" s="22">
        <v>47.3</v>
      </c>
      <c r="G1163" s="23">
        <f>2200+1200+1070+250</f>
        <v>4720</v>
      </c>
      <c r="H1163" s="24">
        <f t="shared" si="692"/>
        <v>223256</v>
      </c>
      <c r="I1163" s="23">
        <v>0</v>
      </c>
      <c r="J1163" s="23">
        <f t="shared" si="693"/>
        <v>223256</v>
      </c>
      <c r="K1163" s="32"/>
      <c r="L1163" s="33"/>
      <c r="M1163" s="34"/>
      <c r="N1163" s="35">
        <f t="shared" si="680"/>
        <v>167257957</v>
      </c>
    </row>
    <row r="1164" spans="1:14" s="18" customFormat="1" ht="24" hidden="1" customHeight="1" x14ac:dyDescent="0.3">
      <c r="A1164" s="19"/>
      <c r="B1164" s="19"/>
      <c r="C1164" s="36" t="s">
        <v>425</v>
      </c>
      <c r="D1164" s="21"/>
      <c r="E1164" s="19">
        <v>2</v>
      </c>
      <c r="F1164" s="22">
        <v>7.8</v>
      </c>
      <c r="G1164" s="23">
        <f>2200+980+250+4620</f>
        <v>8050</v>
      </c>
      <c r="H1164" s="24">
        <f t="shared" si="692"/>
        <v>62790</v>
      </c>
      <c r="I1164" s="23">
        <v>0</v>
      </c>
      <c r="J1164" s="23">
        <f t="shared" si="693"/>
        <v>62790</v>
      </c>
      <c r="K1164" s="32"/>
      <c r="L1164" s="33"/>
      <c r="M1164" s="34"/>
      <c r="N1164" s="35">
        <f t="shared" si="680"/>
        <v>167320747</v>
      </c>
    </row>
    <row r="1165" spans="1:14" s="18" customFormat="1" ht="24" hidden="1" customHeight="1" x14ac:dyDescent="0.3">
      <c r="A1165" s="19"/>
      <c r="B1165" s="19">
        <v>20</v>
      </c>
      <c r="C1165" s="29" t="s">
        <v>426</v>
      </c>
      <c r="D1165" s="21"/>
      <c r="E1165" s="19"/>
      <c r="F1165" s="22"/>
      <c r="G1165" s="23"/>
      <c r="H1165" s="24"/>
      <c r="I1165" s="23"/>
      <c r="J1165" s="23"/>
      <c r="K1165" s="32"/>
      <c r="L1165" s="33"/>
      <c r="M1165" s="34"/>
      <c r="N1165" s="35">
        <f t="shared" si="680"/>
        <v>167320747</v>
      </c>
    </row>
    <row r="1166" spans="1:14" s="18" customFormat="1" ht="24" hidden="1" customHeight="1" x14ac:dyDescent="0.3">
      <c r="A1166" s="19"/>
      <c r="B1166" s="19"/>
      <c r="C1166" s="36" t="s">
        <v>21</v>
      </c>
      <c r="D1166" s="37"/>
      <c r="E1166" s="19">
        <v>62</v>
      </c>
      <c r="F1166" s="22">
        <v>480.6</v>
      </c>
      <c r="G1166" s="23">
        <f>2200+550+1070+250+330</f>
        <v>4400</v>
      </c>
      <c r="H1166" s="24">
        <f t="shared" ref="H1166" si="694">F1166*G1166</f>
        <v>2114640</v>
      </c>
      <c r="I1166" s="23">
        <v>0</v>
      </c>
      <c r="J1166" s="23">
        <f t="shared" ref="J1166" si="695">SUM(H1166:I1166)</f>
        <v>2114640</v>
      </c>
      <c r="K1166" s="32"/>
      <c r="L1166" s="33"/>
      <c r="M1166" s="34"/>
      <c r="N1166" s="35">
        <f t="shared" si="680"/>
        <v>169435387</v>
      </c>
    </row>
    <row r="1167" spans="1:14" s="18" customFormat="1" ht="24" hidden="1" customHeight="1" x14ac:dyDescent="0.3">
      <c r="A1167" s="19"/>
      <c r="B1167" s="19">
        <v>20</v>
      </c>
      <c r="C1167" s="29" t="s">
        <v>308</v>
      </c>
      <c r="D1167" s="21"/>
      <c r="E1167" s="19"/>
      <c r="F1167" s="22"/>
      <c r="G1167" s="23"/>
      <c r="H1167" s="24"/>
      <c r="I1167" s="23"/>
      <c r="J1167" s="23"/>
      <c r="K1167" s="32"/>
      <c r="L1167" s="33"/>
      <c r="M1167" s="34"/>
      <c r="N1167" s="35">
        <f t="shared" si="680"/>
        <v>169435387</v>
      </c>
    </row>
    <row r="1168" spans="1:14" s="18" customFormat="1" ht="24" hidden="1" customHeight="1" x14ac:dyDescent="0.3">
      <c r="A1168" s="19"/>
      <c r="B1168" s="19"/>
      <c r="C1168" s="36" t="s">
        <v>232</v>
      </c>
      <c r="D1168" s="37"/>
      <c r="E1168" s="19">
        <v>19</v>
      </c>
      <c r="F1168" s="22">
        <v>207.9</v>
      </c>
      <c r="G1168" s="23">
        <f>900+1250+1200+300</f>
        <v>3650</v>
      </c>
      <c r="H1168" s="24">
        <f t="shared" ref="H1168:H1169" si="696">F1168*G1168</f>
        <v>758835</v>
      </c>
      <c r="I1168" s="23">
        <v>0</v>
      </c>
      <c r="J1168" s="23">
        <f t="shared" ref="J1168:J1169" si="697">SUM(H1168:I1168)</f>
        <v>758835</v>
      </c>
      <c r="K1168" s="32"/>
      <c r="L1168" s="33"/>
      <c r="M1168" s="34"/>
      <c r="N1168" s="38">
        <f t="shared" si="680"/>
        <v>170194222</v>
      </c>
    </row>
    <row r="1169" spans="1:14" s="18" customFormat="1" ht="24" hidden="1" customHeight="1" x14ac:dyDescent="0.3">
      <c r="A1169" s="19"/>
      <c r="B1169" s="19"/>
      <c r="C1169" s="36" t="s">
        <v>241</v>
      </c>
      <c r="D1169" s="21"/>
      <c r="E1169" s="19">
        <v>19</v>
      </c>
      <c r="F1169" s="22">
        <v>141.19999999999999</v>
      </c>
      <c r="G1169" s="23">
        <f>900+1250+980+250</f>
        <v>3380</v>
      </c>
      <c r="H1169" s="24">
        <f t="shared" si="696"/>
        <v>477255.99999999994</v>
      </c>
      <c r="I1169" s="23">
        <v>0</v>
      </c>
      <c r="J1169" s="23">
        <f t="shared" si="697"/>
        <v>477255.99999999994</v>
      </c>
      <c r="K1169" s="32"/>
      <c r="L1169" s="33"/>
      <c r="M1169" s="34"/>
      <c r="N1169" s="38">
        <f t="shared" si="680"/>
        <v>170671478</v>
      </c>
    </row>
    <row r="1170" spans="1:14" s="18" customFormat="1" ht="24" hidden="1" customHeight="1" x14ac:dyDescent="0.3">
      <c r="A1170" s="19"/>
      <c r="B1170" s="19"/>
      <c r="C1170" s="39"/>
      <c r="D1170" s="21"/>
      <c r="E1170" s="19"/>
      <c r="F1170" s="22"/>
      <c r="G1170" s="23"/>
      <c r="H1170" s="24"/>
      <c r="I1170" s="23"/>
      <c r="J1170" s="23"/>
      <c r="K1170" s="32"/>
      <c r="L1170" s="33"/>
      <c r="M1170" s="34"/>
      <c r="N1170" s="38">
        <f t="shared" si="680"/>
        <v>170671478</v>
      </c>
    </row>
    <row r="1171" spans="1:14" s="2" customFormat="1" ht="27" hidden="1" customHeight="1" thickBot="1" x14ac:dyDescent="0.35">
      <c r="A1171" s="1"/>
      <c r="B1171" s="1"/>
      <c r="C1171" s="1"/>
      <c r="E1171" s="86" t="s">
        <v>0</v>
      </c>
      <c r="F1171" s="86"/>
      <c r="G1171" s="86"/>
      <c r="H1171" s="86"/>
      <c r="I1171" s="86"/>
      <c r="J1171" s="86"/>
      <c r="K1171" s="1"/>
      <c r="L1171" s="3"/>
      <c r="M1171" s="3"/>
      <c r="N1171" s="1"/>
    </row>
    <row r="1172" spans="1:14" s="2" customFormat="1" ht="24" hidden="1" customHeight="1" thickTop="1" x14ac:dyDescent="0.3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3"/>
      <c r="M1172" s="3"/>
      <c r="N1172" s="1"/>
    </row>
    <row r="1173" spans="1:14" s="2" customFormat="1" ht="24" hidden="1" customHeight="1" thickBot="1" x14ac:dyDescent="0.35">
      <c r="A1173" s="2" t="s">
        <v>1</v>
      </c>
      <c r="C1173" s="4"/>
      <c r="D1173" s="4"/>
      <c r="E1173" s="5"/>
      <c r="F1173" s="6"/>
      <c r="G1173" s="7"/>
      <c r="H1173" s="7"/>
      <c r="I1173" s="7"/>
      <c r="J1173" s="8"/>
      <c r="K1173" s="9"/>
      <c r="L1173" s="10"/>
      <c r="M1173" s="11"/>
      <c r="N1173" s="12" t="s">
        <v>2</v>
      </c>
    </row>
    <row r="1174" spans="1:14" s="18" customFormat="1" ht="24" hidden="1" customHeight="1" thickTop="1" thickBot="1" x14ac:dyDescent="0.35">
      <c r="A1174" s="13" t="s">
        <v>3</v>
      </c>
      <c r="B1174" s="13" t="s">
        <v>4</v>
      </c>
      <c r="C1174" s="87" t="s">
        <v>5</v>
      </c>
      <c r="D1174" s="88"/>
      <c r="E1174" s="13" t="s">
        <v>6</v>
      </c>
      <c r="F1174" s="14" t="s">
        <v>7</v>
      </c>
      <c r="G1174" s="15" t="s">
        <v>8</v>
      </c>
      <c r="H1174" s="15" t="s">
        <v>9</v>
      </c>
      <c r="I1174" s="15" t="s">
        <v>10</v>
      </c>
      <c r="J1174" s="15" t="s">
        <v>11</v>
      </c>
      <c r="K1174" s="16" t="s">
        <v>12</v>
      </c>
      <c r="L1174" s="89" t="s">
        <v>13</v>
      </c>
      <c r="M1174" s="90"/>
      <c r="N1174" s="17" t="s">
        <v>14</v>
      </c>
    </row>
    <row r="1175" spans="1:14" s="18" customFormat="1" ht="24" hidden="1" customHeight="1" thickTop="1" x14ac:dyDescent="0.3">
      <c r="A1175" s="41"/>
      <c r="B1175" s="41"/>
      <c r="C1175" s="73" t="s">
        <v>41</v>
      </c>
      <c r="D1175" s="40"/>
      <c r="E1175" s="41"/>
      <c r="F1175" s="42"/>
      <c r="G1175" s="43"/>
      <c r="H1175" s="44"/>
      <c r="I1175" s="43"/>
      <c r="J1175" s="43"/>
      <c r="K1175" s="25"/>
      <c r="L1175" s="26"/>
      <c r="M1175" s="27"/>
      <c r="N1175" s="28">
        <f>N1170</f>
        <v>170671478</v>
      </c>
    </row>
    <row r="1176" spans="1:14" s="18" customFormat="1" ht="24" hidden="1" customHeight="1" x14ac:dyDescent="0.3">
      <c r="A1176" s="19">
        <v>6</v>
      </c>
      <c r="B1176" s="19">
        <v>20</v>
      </c>
      <c r="C1176" s="29" t="s">
        <v>361</v>
      </c>
      <c r="D1176" s="21"/>
      <c r="E1176" s="19"/>
      <c r="F1176" s="22"/>
      <c r="G1176" s="23"/>
      <c r="H1176" s="24"/>
      <c r="I1176" s="23"/>
      <c r="J1176" s="23"/>
      <c r="K1176" s="32"/>
      <c r="L1176" s="33"/>
      <c r="M1176" s="34"/>
      <c r="N1176" s="35">
        <f>N1175+J1176+K1176</f>
        <v>170671478</v>
      </c>
    </row>
    <row r="1177" spans="1:14" s="18" customFormat="1" ht="24" hidden="1" customHeight="1" x14ac:dyDescent="0.3">
      <c r="A1177" s="19"/>
      <c r="B1177" s="19"/>
      <c r="C1177" s="36" t="s">
        <v>48</v>
      </c>
      <c r="D1177" s="37"/>
      <c r="E1177" s="19">
        <v>7</v>
      </c>
      <c r="F1177" s="22">
        <v>227.5</v>
      </c>
      <c r="G1177" s="23">
        <f>2200+550+1070+250</f>
        <v>4070</v>
      </c>
      <c r="H1177" s="24">
        <f t="shared" ref="H1177" si="698">F1177*G1177</f>
        <v>925925</v>
      </c>
      <c r="I1177" s="23">
        <v>0</v>
      </c>
      <c r="J1177" s="23">
        <f t="shared" ref="J1177" si="699">SUM(H1177:I1177)</f>
        <v>925925</v>
      </c>
      <c r="K1177" s="32"/>
      <c r="L1177" s="33"/>
      <c r="M1177" s="34"/>
      <c r="N1177" s="35">
        <f>N1176+J1177+K1177</f>
        <v>171597403</v>
      </c>
    </row>
    <row r="1178" spans="1:14" s="18" customFormat="1" ht="24" hidden="1" customHeight="1" x14ac:dyDescent="0.3">
      <c r="A1178" s="19"/>
      <c r="B1178" s="19">
        <v>20</v>
      </c>
      <c r="C1178" s="29" t="s">
        <v>413</v>
      </c>
      <c r="D1178" s="21"/>
      <c r="E1178" s="19"/>
      <c r="F1178" s="22"/>
      <c r="G1178" s="23"/>
      <c r="H1178" s="24"/>
      <c r="I1178" s="23"/>
      <c r="J1178" s="23"/>
      <c r="K1178" s="32"/>
      <c r="L1178" s="33"/>
      <c r="M1178" s="34"/>
      <c r="N1178" s="35">
        <f t="shared" ref="N1178:N1209" si="700">N1177+J1178+K1178</f>
        <v>171597403</v>
      </c>
    </row>
    <row r="1179" spans="1:14" s="18" customFormat="1" ht="24" hidden="1" customHeight="1" x14ac:dyDescent="0.3">
      <c r="A1179" s="19"/>
      <c r="B1179" s="19"/>
      <c r="C1179" s="36" t="s">
        <v>48</v>
      </c>
      <c r="D1179" s="37"/>
      <c r="E1179" s="19">
        <v>1</v>
      </c>
      <c r="F1179" s="22">
        <v>3.2</v>
      </c>
      <c r="G1179" s="23">
        <f>2200+550+1070+250</f>
        <v>4070</v>
      </c>
      <c r="H1179" s="24">
        <f t="shared" ref="H1179" si="701">F1179*G1179</f>
        <v>13024</v>
      </c>
      <c r="I1179" s="23">
        <v>0</v>
      </c>
      <c r="J1179" s="23">
        <f t="shared" ref="J1179" si="702">SUM(H1179:I1179)</f>
        <v>13024</v>
      </c>
      <c r="K1179" s="32"/>
      <c r="L1179" s="33"/>
      <c r="M1179" s="34"/>
      <c r="N1179" s="35">
        <f t="shared" si="700"/>
        <v>171610427</v>
      </c>
    </row>
    <row r="1180" spans="1:14" s="18" customFormat="1" ht="24" hidden="1" customHeight="1" x14ac:dyDescent="0.3">
      <c r="A1180" s="19"/>
      <c r="B1180" s="19">
        <v>20</v>
      </c>
      <c r="C1180" s="29" t="s">
        <v>427</v>
      </c>
      <c r="D1180" s="21"/>
      <c r="E1180" s="19"/>
      <c r="F1180" s="22"/>
      <c r="G1180" s="23"/>
      <c r="H1180" s="24"/>
      <c r="I1180" s="23"/>
      <c r="J1180" s="23"/>
      <c r="K1180" s="32"/>
      <c r="L1180" s="33"/>
      <c r="M1180" s="34"/>
      <c r="N1180" s="35">
        <f t="shared" si="700"/>
        <v>171610427</v>
      </c>
    </row>
    <row r="1181" spans="1:14" s="18" customFormat="1" ht="24" hidden="1" customHeight="1" x14ac:dyDescent="0.3">
      <c r="A1181" s="19"/>
      <c r="B1181" s="19"/>
      <c r="C1181" s="29" t="s">
        <v>46</v>
      </c>
      <c r="D1181" s="21"/>
      <c r="E1181" s="19">
        <v>20</v>
      </c>
      <c r="F1181" s="22">
        <v>432.1</v>
      </c>
      <c r="G1181" s="23">
        <v>2040</v>
      </c>
      <c r="H1181" s="24">
        <f t="shared" ref="H1181" si="703">F1181*G1181</f>
        <v>881484</v>
      </c>
      <c r="I1181" s="23">
        <v>0</v>
      </c>
      <c r="J1181" s="23">
        <f t="shared" ref="J1181" si="704">SUM(H1181:I1181)</f>
        <v>881484</v>
      </c>
      <c r="K1181" s="32"/>
      <c r="L1181" s="33"/>
      <c r="M1181" s="34"/>
      <c r="N1181" s="35">
        <f t="shared" si="700"/>
        <v>172491911</v>
      </c>
    </row>
    <row r="1182" spans="1:14" s="18" customFormat="1" ht="24" hidden="1" customHeight="1" x14ac:dyDescent="0.3">
      <c r="A1182" s="19"/>
      <c r="B1182" s="19">
        <v>20</v>
      </c>
      <c r="C1182" s="39" t="s">
        <v>428</v>
      </c>
      <c r="D1182" s="21"/>
      <c r="E1182" s="19"/>
      <c r="F1182" s="22"/>
      <c r="G1182" s="23"/>
      <c r="H1182" s="24"/>
      <c r="I1182" s="23"/>
      <c r="J1182" s="23"/>
      <c r="K1182" s="32"/>
      <c r="L1182" s="33"/>
      <c r="M1182" s="34"/>
      <c r="N1182" s="35">
        <f t="shared" si="700"/>
        <v>172491911</v>
      </c>
    </row>
    <row r="1183" spans="1:14" s="18" customFormat="1" ht="24" hidden="1" customHeight="1" x14ac:dyDescent="0.3">
      <c r="A1183" s="19"/>
      <c r="B1183" s="19"/>
      <c r="C1183" s="36" t="s">
        <v>429</v>
      </c>
      <c r="D1183" s="21"/>
      <c r="E1183" s="19">
        <v>25</v>
      </c>
      <c r="F1183" s="22">
        <v>160.19999999999999</v>
      </c>
      <c r="G1183" s="23">
        <v>5720</v>
      </c>
      <c r="H1183" s="24">
        <f t="shared" ref="H1183:H1184" si="705">F1183*G1183</f>
        <v>916343.99999999988</v>
      </c>
      <c r="I1183" s="23">
        <v>0</v>
      </c>
      <c r="J1183" s="23">
        <f t="shared" ref="J1183:J1185" si="706">SUM(H1183:I1183)</f>
        <v>916343.99999999988</v>
      </c>
      <c r="K1183" s="32"/>
      <c r="L1183" s="33"/>
      <c r="M1183" s="34"/>
      <c r="N1183" s="35">
        <f t="shared" si="700"/>
        <v>173408255</v>
      </c>
    </row>
    <row r="1184" spans="1:14" s="18" customFormat="1" ht="24" hidden="1" customHeight="1" x14ac:dyDescent="0.3">
      <c r="A1184" s="19"/>
      <c r="B1184" s="19"/>
      <c r="C1184" s="39" t="s">
        <v>430</v>
      </c>
      <c r="D1184" s="37"/>
      <c r="E1184" s="19"/>
      <c r="F1184" s="22">
        <v>660</v>
      </c>
      <c r="G1184" s="23">
        <v>440</v>
      </c>
      <c r="H1184" s="24">
        <f t="shared" si="705"/>
        <v>290400</v>
      </c>
      <c r="I1184" s="23">
        <v>0</v>
      </c>
      <c r="J1184" s="23">
        <f t="shared" si="706"/>
        <v>290400</v>
      </c>
      <c r="K1184" s="32"/>
      <c r="L1184" s="33"/>
      <c r="M1184" s="34"/>
      <c r="N1184" s="35">
        <f t="shared" si="700"/>
        <v>173698655</v>
      </c>
    </row>
    <row r="1185" spans="1:14" s="18" customFormat="1" ht="24" hidden="1" customHeight="1" x14ac:dyDescent="0.3">
      <c r="A1185" s="19"/>
      <c r="B1185" s="19"/>
      <c r="C1185" s="29" t="s">
        <v>431</v>
      </c>
      <c r="D1185" s="21"/>
      <c r="E1185" s="19">
        <v>200</v>
      </c>
      <c r="F1185" s="22"/>
      <c r="G1185" s="23">
        <v>2200</v>
      </c>
      <c r="H1185" s="24">
        <f>E1185*G1185</f>
        <v>440000</v>
      </c>
      <c r="I1185" s="23">
        <v>0</v>
      </c>
      <c r="J1185" s="23">
        <f t="shared" si="706"/>
        <v>440000</v>
      </c>
      <c r="K1185" s="32"/>
      <c r="L1185" s="33"/>
      <c r="M1185" s="34"/>
      <c r="N1185" s="35">
        <f t="shared" si="700"/>
        <v>174138655</v>
      </c>
    </row>
    <row r="1186" spans="1:14" s="18" customFormat="1" ht="24" hidden="1" customHeight="1" x14ac:dyDescent="0.3">
      <c r="A1186" s="19"/>
      <c r="B1186" s="19">
        <v>20</v>
      </c>
      <c r="C1186" s="29" t="s">
        <v>432</v>
      </c>
      <c r="D1186" s="21"/>
      <c r="E1186" s="19"/>
      <c r="F1186" s="22"/>
      <c r="G1186" s="23"/>
      <c r="H1186" s="24"/>
      <c r="I1186" s="23"/>
      <c r="J1186" s="23"/>
      <c r="K1186" s="32"/>
      <c r="L1186" s="33"/>
      <c r="M1186" s="34"/>
      <c r="N1186" s="35">
        <f t="shared" si="700"/>
        <v>174138655</v>
      </c>
    </row>
    <row r="1187" spans="1:14" s="18" customFormat="1" ht="24" hidden="1" customHeight="1" x14ac:dyDescent="0.3">
      <c r="A1187" s="19"/>
      <c r="B1187" s="19"/>
      <c r="C1187" s="36" t="s">
        <v>23</v>
      </c>
      <c r="D1187" s="21"/>
      <c r="E1187" s="19">
        <v>9</v>
      </c>
      <c r="F1187" s="22">
        <v>175.5</v>
      </c>
      <c r="G1187" s="23">
        <f>2200+550+1070+250+330</f>
        <v>4400</v>
      </c>
      <c r="H1187" s="24">
        <f t="shared" ref="H1187" si="707">F1187*G1187</f>
        <v>772200</v>
      </c>
      <c r="I1187" s="23">
        <v>0</v>
      </c>
      <c r="J1187" s="23">
        <f t="shared" ref="J1187" si="708">SUM(H1187:I1187)</f>
        <v>772200</v>
      </c>
      <c r="K1187" s="32"/>
      <c r="L1187" s="33"/>
      <c r="M1187" s="34"/>
      <c r="N1187" s="35">
        <f t="shared" si="700"/>
        <v>174910855</v>
      </c>
    </row>
    <row r="1188" spans="1:14" s="18" customFormat="1" ht="24" hidden="1" customHeight="1" x14ac:dyDescent="0.3">
      <c r="A1188" s="19"/>
      <c r="B1188" s="19">
        <v>20</v>
      </c>
      <c r="C1188" s="29" t="s">
        <v>400</v>
      </c>
      <c r="D1188" s="21"/>
      <c r="E1188" s="19"/>
      <c r="F1188" s="22"/>
      <c r="G1188" s="23"/>
      <c r="H1188" s="24"/>
      <c r="I1188" s="23"/>
      <c r="J1188" s="23"/>
      <c r="K1188" s="32"/>
      <c r="L1188" s="33"/>
      <c r="M1188" s="34"/>
      <c r="N1188" s="35">
        <f t="shared" si="700"/>
        <v>174910855</v>
      </c>
    </row>
    <row r="1189" spans="1:14" s="18" customFormat="1" ht="24" hidden="1" customHeight="1" x14ac:dyDescent="0.3">
      <c r="A1189" s="19"/>
      <c r="B1189" s="19"/>
      <c r="C1189" s="39" t="s">
        <v>46</v>
      </c>
      <c r="D1189" s="21"/>
      <c r="E1189" s="19">
        <v>2</v>
      </c>
      <c r="F1189" s="22">
        <v>6</v>
      </c>
      <c r="G1189" s="23">
        <v>2040</v>
      </c>
      <c r="H1189" s="24">
        <f t="shared" ref="H1189" si="709">F1189*G1189</f>
        <v>12240</v>
      </c>
      <c r="I1189" s="23">
        <v>0</v>
      </c>
      <c r="J1189" s="23">
        <f t="shared" ref="J1189" si="710">SUM(H1189:I1189)</f>
        <v>12240</v>
      </c>
      <c r="K1189" s="32"/>
      <c r="L1189" s="33"/>
      <c r="M1189" s="34"/>
      <c r="N1189" s="35">
        <f t="shared" si="700"/>
        <v>174923095</v>
      </c>
    </row>
    <row r="1190" spans="1:14" s="18" customFormat="1" ht="24" hidden="1" customHeight="1" x14ac:dyDescent="0.3">
      <c r="A1190" s="19"/>
      <c r="B1190" s="19">
        <v>23</v>
      </c>
      <c r="C1190" s="29" t="s">
        <v>433</v>
      </c>
      <c r="D1190" s="21"/>
      <c r="E1190" s="19"/>
      <c r="F1190" s="22"/>
      <c r="G1190" s="23"/>
      <c r="H1190" s="24"/>
      <c r="I1190" s="23"/>
      <c r="J1190" s="23"/>
      <c r="K1190" s="32"/>
      <c r="L1190" s="33"/>
      <c r="M1190" s="34"/>
      <c r="N1190" s="35">
        <f t="shared" si="700"/>
        <v>174923095</v>
      </c>
    </row>
    <row r="1191" spans="1:14" s="18" customFormat="1" ht="24" hidden="1" customHeight="1" x14ac:dyDescent="0.3">
      <c r="A1191" s="19"/>
      <c r="B1191" s="19"/>
      <c r="C1191" s="36" t="s">
        <v>241</v>
      </c>
      <c r="D1191" s="21"/>
      <c r="E1191" s="19">
        <v>6</v>
      </c>
      <c r="F1191" s="22">
        <v>45.8</v>
      </c>
      <c r="G1191" s="23">
        <f>900+1250+980+250</f>
        <v>3380</v>
      </c>
      <c r="H1191" s="24">
        <f t="shared" ref="H1191:H1193" si="711">F1191*G1191</f>
        <v>154804</v>
      </c>
      <c r="I1191" s="23">
        <v>0</v>
      </c>
      <c r="J1191" s="23">
        <f t="shared" ref="J1191:J1193" si="712">SUM(H1191:I1191)</f>
        <v>154804</v>
      </c>
      <c r="K1191" s="32"/>
      <c r="L1191" s="33"/>
      <c r="M1191" s="34"/>
      <c r="N1191" s="35">
        <f t="shared" si="700"/>
        <v>175077899</v>
      </c>
    </row>
    <row r="1192" spans="1:14" s="18" customFormat="1" ht="24" hidden="1" customHeight="1" x14ac:dyDescent="0.3">
      <c r="A1192" s="19"/>
      <c r="B1192" s="19"/>
      <c r="C1192" s="36" t="s">
        <v>61</v>
      </c>
      <c r="D1192" s="37"/>
      <c r="E1192" s="19">
        <v>44</v>
      </c>
      <c r="F1192" s="22">
        <v>132</v>
      </c>
      <c r="G1192" s="23">
        <f>2200+2200+550+1070+1070+250+250+330+330</f>
        <v>8250</v>
      </c>
      <c r="H1192" s="24">
        <f t="shared" si="711"/>
        <v>1089000</v>
      </c>
      <c r="I1192" s="23">
        <v>0</v>
      </c>
      <c r="J1192" s="23">
        <f t="shared" si="712"/>
        <v>1089000</v>
      </c>
      <c r="K1192" s="32"/>
      <c r="L1192" s="33"/>
      <c r="M1192" s="34"/>
      <c r="N1192" s="35">
        <f t="shared" si="700"/>
        <v>176166899</v>
      </c>
    </row>
    <row r="1193" spans="1:14" s="18" customFormat="1" ht="24" hidden="1" customHeight="1" x14ac:dyDescent="0.3">
      <c r="A1193" s="19"/>
      <c r="B1193" s="19"/>
      <c r="C1193" s="36" t="s">
        <v>23</v>
      </c>
      <c r="D1193" s="21"/>
      <c r="E1193" s="19">
        <v>54</v>
      </c>
      <c r="F1193" s="22">
        <v>595.6</v>
      </c>
      <c r="G1193" s="23">
        <f>2200+550+1070+250+330</f>
        <v>4400</v>
      </c>
      <c r="H1193" s="24">
        <f t="shared" si="711"/>
        <v>2620640</v>
      </c>
      <c r="I1193" s="23">
        <v>0</v>
      </c>
      <c r="J1193" s="23">
        <f t="shared" si="712"/>
        <v>2620640</v>
      </c>
      <c r="K1193" s="32"/>
      <c r="L1193" s="33"/>
      <c r="M1193" s="34"/>
      <c r="N1193" s="35">
        <f t="shared" si="700"/>
        <v>178787539</v>
      </c>
    </row>
    <row r="1194" spans="1:14" s="18" customFormat="1" ht="24" hidden="1" customHeight="1" x14ac:dyDescent="0.3">
      <c r="A1194" s="19"/>
      <c r="B1194" s="19">
        <v>23</v>
      </c>
      <c r="C1194" s="29" t="s">
        <v>337</v>
      </c>
      <c r="D1194" s="37"/>
      <c r="E1194" s="19"/>
      <c r="F1194" s="22"/>
      <c r="G1194" s="23"/>
      <c r="H1194" s="24"/>
      <c r="I1194" s="23"/>
      <c r="J1194" s="23"/>
      <c r="K1194" s="32"/>
      <c r="L1194" s="33"/>
      <c r="M1194" s="34"/>
      <c r="N1194" s="35">
        <f t="shared" si="700"/>
        <v>178787539</v>
      </c>
    </row>
    <row r="1195" spans="1:14" s="18" customFormat="1" ht="24" hidden="1" customHeight="1" x14ac:dyDescent="0.3">
      <c r="A1195" s="19"/>
      <c r="B1195" s="19"/>
      <c r="C1195" s="36" t="s">
        <v>21</v>
      </c>
      <c r="D1195" s="21"/>
      <c r="E1195" s="19">
        <v>62</v>
      </c>
      <c r="F1195" s="22">
        <v>642.20000000000005</v>
      </c>
      <c r="G1195" s="23">
        <f>2200+550+1070+250+330</f>
        <v>4400</v>
      </c>
      <c r="H1195" s="24">
        <f t="shared" ref="H1195:H1198" si="713">F1195*G1195</f>
        <v>2825680</v>
      </c>
      <c r="I1195" s="23">
        <v>0</v>
      </c>
      <c r="J1195" s="23">
        <f t="shared" ref="J1195:J1198" si="714">SUM(H1195:I1195)</f>
        <v>2825680</v>
      </c>
      <c r="K1195" s="32"/>
      <c r="L1195" s="33"/>
      <c r="M1195" s="34"/>
      <c r="N1195" s="35">
        <f t="shared" si="700"/>
        <v>181613219</v>
      </c>
    </row>
    <row r="1196" spans="1:14" s="18" customFormat="1" ht="24" hidden="1" customHeight="1" x14ac:dyDescent="0.3">
      <c r="A1196" s="19"/>
      <c r="B1196" s="19"/>
      <c r="C1196" s="36" t="s">
        <v>21</v>
      </c>
      <c r="D1196" s="37" t="s">
        <v>377</v>
      </c>
      <c r="E1196" s="19">
        <v>6</v>
      </c>
      <c r="F1196" s="22">
        <v>50.1</v>
      </c>
      <c r="G1196" s="23">
        <v>5280</v>
      </c>
      <c r="H1196" s="24">
        <f t="shared" si="713"/>
        <v>264528</v>
      </c>
      <c r="I1196" s="23">
        <v>0</v>
      </c>
      <c r="J1196" s="23">
        <f t="shared" si="714"/>
        <v>264528</v>
      </c>
      <c r="K1196" s="32"/>
      <c r="L1196" s="33"/>
      <c r="M1196" s="34"/>
      <c r="N1196" s="35">
        <f t="shared" si="700"/>
        <v>181877747</v>
      </c>
    </row>
    <row r="1197" spans="1:14" s="18" customFormat="1" ht="24" hidden="1" customHeight="1" x14ac:dyDescent="0.3">
      <c r="A1197" s="19"/>
      <c r="B1197" s="19"/>
      <c r="C1197" s="36" t="s">
        <v>434</v>
      </c>
      <c r="D1197" s="37"/>
      <c r="E1197" s="19">
        <v>85</v>
      </c>
      <c r="F1197" s="22">
        <v>885.1</v>
      </c>
      <c r="G1197" s="23">
        <f>2200+550+740+200</f>
        <v>3690</v>
      </c>
      <c r="H1197" s="24">
        <f t="shared" si="713"/>
        <v>3266019</v>
      </c>
      <c r="I1197" s="23">
        <v>0</v>
      </c>
      <c r="J1197" s="23">
        <f t="shared" si="714"/>
        <v>3266019</v>
      </c>
      <c r="K1197" s="32"/>
      <c r="L1197" s="33"/>
      <c r="M1197" s="34"/>
      <c r="N1197" s="35">
        <f t="shared" si="700"/>
        <v>185143766</v>
      </c>
    </row>
    <row r="1198" spans="1:14" s="18" customFormat="1" ht="24" hidden="1" customHeight="1" x14ac:dyDescent="0.3">
      <c r="A1198" s="19"/>
      <c r="B1198" s="19"/>
      <c r="C1198" s="36" t="s">
        <v>434</v>
      </c>
      <c r="D1198" s="37" t="s">
        <v>248</v>
      </c>
      <c r="E1198" s="19">
        <v>2</v>
      </c>
      <c r="F1198" s="22">
        <v>6.7</v>
      </c>
      <c r="G1198" s="23">
        <v>4797</v>
      </c>
      <c r="H1198" s="24">
        <f t="shared" si="713"/>
        <v>32139.9</v>
      </c>
      <c r="I1198" s="23">
        <v>0</v>
      </c>
      <c r="J1198" s="23">
        <f t="shared" si="714"/>
        <v>32139.9</v>
      </c>
      <c r="K1198" s="32"/>
      <c r="L1198" s="33"/>
      <c r="M1198" s="34"/>
      <c r="N1198" s="35">
        <f t="shared" si="700"/>
        <v>185175905.90000001</v>
      </c>
    </row>
    <row r="1199" spans="1:14" s="18" customFormat="1" ht="24" hidden="1" customHeight="1" x14ac:dyDescent="0.3">
      <c r="A1199" s="19"/>
      <c r="B1199" s="19">
        <v>23</v>
      </c>
      <c r="C1199" s="29" t="s">
        <v>340</v>
      </c>
      <c r="D1199" s="21"/>
      <c r="E1199" s="19"/>
      <c r="F1199" s="22"/>
      <c r="G1199" s="23"/>
      <c r="H1199" s="24"/>
      <c r="I1199" s="23"/>
      <c r="J1199" s="23"/>
      <c r="K1199" s="32"/>
      <c r="L1199" s="33"/>
      <c r="M1199" s="34"/>
      <c r="N1199" s="35">
        <f t="shared" si="700"/>
        <v>185175905.90000001</v>
      </c>
    </row>
    <row r="1200" spans="1:14" s="18" customFormat="1" ht="24" hidden="1" customHeight="1" x14ac:dyDescent="0.3">
      <c r="A1200" s="19"/>
      <c r="B1200" s="19"/>
      <c r="C1200" s="29" t="s">
        <v>435</v>
      </c>
      <c r="D1200" s="21"/>
      <c r="E1200" s="19">
        <v>1</v>
      </c>
      <c r="F1200" s="22">
        <v>30</v>
      </c>
      <c r="G1200" s="23">
        <f>1400+140</f>
        <v>1540</v>
      </c>
      <c r="H1200" s="24">
        <f t="shared" ref="H1200" si="715">F1200*G1200</f>
        <v>46200</v>
      </c>
      <c r="I1200" s="23">
        <v>0</v>
      </c>
      <c r="J1200" s="23">
        <f t="shared" ref="J1200" si="716">SUM(H1200:I1200)</f>
        <v>46200</v>
      </c>
      <c r="K1200" s="32"/>
      <c r="L1200" s="33"/>
      <c r="M1200" s="34"/>
      <c r="N1200" s="35">
        <f t="shared" si="700"/>
        <v>185222105.90000001</v>
      </c>
    </row>
    <row r="1201" spans="1:14" s="18" customFormat="1" ht="24" hidden="1" customHeight="1" x14ac:dyDescent="0.3">
      <c r="A1201" s="19"/>
      <c r="B1201" s="19">
        <v>23</v>
      </c>
      <c r="C1201" s="39" t="s">
        <v>436</v>
      </c>
      <c r="D1201" s="21"/>
      <c r="E1201" s="19"/>
      <c r="F1201" s="22"/>
      <c r="G1201" s="23"/>
      <c r="H1201" s="24"/>
      <c r="I1201" s="23"/>
      <c r="J1201" s="23"/>
      <c r="K1201" s="32"/>
      <c r="L1201" s="33"/>
      <c r="M1201" s="34"/>
      <c r="N1201" s="35">
        <f t="shared" si="700"/>
        <v>185222105.90000001</v>
      </c>
    </row>
    <row r="1202" spans="1:14" s="18" customFormat="1" ht="24" hidden="1" customHeight="1" x14ac:dyDescent="0.3">
      <c r="A1202" s="19"/>
      <c r="B1202" s="19"/>
      <c r="C1202" s="39" t="s">
        <v>45</v>
      </c>
      <c r="D1202" s="21"/>
      <c r="E1202" s="19"/>
      <c r="F1202" s="22"/>
      <c r="G1202" s="23"/>
      <c r="H1202" s="24">
        <v>130000</v>
      </c>
      <c r="I1202" s="23">
        <f>H1202*0.1</f>
        <v>13000</v>
      </c>
      <c r="J1202" s="23">
        <f>SUM(H1202:I1202)</f>
        <v>143000</v>
      </c>
      <c r="K1202" s="32"/>
      <c r="L1202" s="33"/>
      <c r="M1202" s="34"/>
      <c r="N1202" s="35">
        <f t="shared" si="700"/>
        <v>185365105.90000001</v>
      </c>
    </row>
    <row r="1203" spans="1:14" s="18" customFormat="1" ht="24" hidden="1" customHeight="1" x14ac:dyDescent="0.3">
      <c r="A1203" s="19"/>
      <c r="B1203" s="19">
        <v>23</v>
      </c>
      <c r="C1203" s="29" t="s">
        <v>437</v>
      </c>
      <c r="D1203" s="21"/>
      <c r="E1203" s="19"/>
      <c r="F1203" s="22"/>
      <c r="G1203" s="23"/>
      <c r="H1203" s="24">
        <v>130000</v>
      </c>
      <c r="I1203" s="23">
        <f>H1203*0.1</f>
        <v>13000</v>
      </c>
      <c r="J1203" s="23">
        <f>SUM(H1203:I1203)</f>
        <v>143000</v>
      </c>
      <c r="K1203" s="32"/>
      <c r="L1203" s="33"/>
      <c r="M1203" s="34"/>
      <c r="N1203" s="35">
        <f t="shared" si="700"/>
        <v>185508105.90000001</v>
      </c>
    </row>
    <row r="1204" spans="1:14" s="18" customFormat="1" ht="24" hidden="1" customHeight="1" x14ac:dyDescent="0.3">
      <c r="A1204" s="19"/>
      <c r="B1204" s="19"/>
      <c r="C1204" s="29" t="s">
        <v>81</v>
      </c>
      <c r="D1204" s="21"/>
      <c r="E1204" s="19"/>
      <c r="F1204" s="22"/>
      <c r="G1204" s="23"/>
      <c r="H1204" s="24">
        <v>70000</v>
      </c>
      <c r="I1204" s="23">
        <f>H1204*0.1</f>
        <v>7000</v>
      </c>
      <c r="J1204" s="23">
        <f>SUM(H1204:I1204)</f>
        <v>77000</v>
      </c>
      <c r="K1204" s="32"/>
      <c r="L1204" s="33"/>
      <c r="M1204" s="34"/>
      <c r="N1204" s="35">
        <f t="shared" si="700"/>
        <v>185585105.90000001</v>
      </c>
    </row>
    <row r="1205" spans="1:14" s="18" customFormat="1" ht="24" hidden="1" customHeight="1" x14ac:dyDescent="0.3">
      <c r="A1205" s="19"/>
      <c r="B1205" s="19">
        <v>23</v>
      </c>
      <c r="C1205" s="29" t="s">
        <v>438</v>
      </c>
      <c r="D1205" s="37"/>
      <c r="E1205" s="19"/>
      <c r="F1205" s="22"/>
      <c r="G1205" s="23"/>
      <c r="H1205" s="24"/>
      <c r="I1205" s="23"/>
      <c r="J1205" s="23"/>
      <c r="K1205" s="32"/>
      <c r="L1205" s="33"/>
      <c r="M1205" s="34"/>
      <c r="N1205" s="35">
        <f t="shared" si="700"/>
        <v>185585105.90000001</v>
      </c>
    </row>
    <row r="1206" spans="1:14" s="18" customFormat="1" ht="24" hidden="1" customHeight="1" x14ac:dyDescent="0.3">
      <c r="A1206" s="19"/>
      <c r="B1206" s="19"/>
      <c r="C1206" s="29" t="s">
        <v>439</v>
      </c>
      <c r="D1206" s="21"/>
      <c r="E1206" s="19"/>
      <c r="F1206" s="22"/>
      <c r="G1206" s="23"/>
      <c r="H1206" s="24">
        <f>(160000*2)/2</f>
        <v>160000</v>
      </c>
      <c r="I1206" s="23">
        <f>H1206*0.1</f>
        <v>16000</v>
      </c>
      <c r="J1206" s="23">
        <f>SUM(H1206:I1206)</f>
        <v>176000</v>
      </c>
      <c r="K1206" s="32"/>
      <c r="L1206" s="33"/>
      <c r="M1206" s="34"/>
      <c r="N1206" s="35">
        <f t="shared" si="700"/>
        <v>185761105.90000001</v>
      </c>
    </row>
    <row r="1207" spans="1:14" s="18" customFormat="1" ht="24" hidden="1" customHeight="1" x14ac:dyDescent="0.3">
      <c r="A1207" s="19"/>
      <c r="B1207" s="19">
        <v>24</v>
      </c>
      <c r="C1207" s="29" t="s">
        <v>361</v>
      </c>
      <c r="D1207" s="37"/>
      <c r="E1207" s="19"/>
      <c r="F1207" s="22"/>
      <c r="G1207" s="23"/>
      <c r="H1207" s="24"/>
      <c r="I1207" s="23"/>
      <c r="J1207" s="23"/>
      <c r="K1207" s="32"/>
      <c r="L1207" s="33"/>
      <c r="M1207" s="34"/>
      <c r="N1207" s="38">
        <f t="shared" si="700"/>
        <v>185761105.90000001</v>
      </c>
    </row>
    <row r="1208" spans="1:14" s="18" customFormat="1" ht="24" hidden="1" customHeight="1" x14ac:dyDescent="0.3">
      <c r="A1208" s="19"/>
      <c r="B1208" s="19"/>
      <c r="C1208" s="29" t="s">
        <v>440</v>
      </c>
      <c r="D1208" s="21"/>
      <c r="E1208" s="19">
        <v>21</v>
      </c>
      <c r="F1208" s="22">
        <v>418.9</v>
      </c>
      <c r="G1208" s="23">
        <f>550+1000+740+200</f>
        <v>2490</v>
      </c>
      <c r="H1208" s="24">
        <f t="shared" ref="H1208" si="717">F1208*G1208</f>
        <v>1043061</v>
      </c>
      <c r="I1208" s="23">
        <v>0</v>
      </c>
      <c r="J1208" s="23">
        <f t="shared" ref="J1208" si="718">SUM(H1208:I1208)</f>
        <v>1043061</v>
      </c>
      <c r="K1208" s="32"/>
      <c r="L1208" s="33"/>
      <c r="M1208" s="34"/>
      <c r="N1208" s="38">
        <f t="shared" si="700"/>
        <v>186804166.90000001</v>
      </c>
    </row>
    <row r="1209" spans="1:14" s="18" customFormat="1" ht="24" hidden="1" customHeight="1" x14ac:dyDescent="0.3">
      <c r="A1209" s="19"/>
      <c r="B1209" s="19"/>
      <c r="C1209" s="39"/>
      <c r="D1209" s="21"/>
      <c r="E1209" s="19"/>
      <c r="F1209" s="22"/>
      <c r="G1209" s="23"/>
      <c r="H1209" s="24"/>
      <c r="I1209" s="23"/>
      <c r="J1209" s="23"/>
      <c r="K1209" s="32"/>
      <c r="L1209" s="33"/>
      <c r="M1209" s="34"/>
      <c r="N1209" s="38">
        <f t="shared" si="700"/>
        <v>186804166.90000001</v>
      </c>
    </row>
    <row r="1210" spans="1:14" s="2" customFormat="1" ht="27" hidden="1" customHeight="1" thickBot="1" x14ac:dyDescent="0.35">
      <c r="A1210" s="1"/>
      <c r="B1210" s="1"/>
      <c r="C1210" s="1"/>
      <c r="E1210" s="86" t="s">
        <v>0</v>
      </c>
      <c r="F1210" s="86"/>
      <c r="G1210" s="86"/>
      <c r="H1210" s="86"/>
      <c r="I1210" s="86"/>
      <c r="J1210" s="86"/>
      <c r="K1210" s="1"/>
      <c r="L1210" s="3"/>
      <c r="M1210" s="3"/>
      <c r="N1210" s="1"/>
    </row>
    <row r="1211" spans="1:14" s="2" customFormat="1" ht="24" hidden="1" customHeight="1" thickTop="1" x14ac:dyDescent="0.3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3"/>
      <c r="M1211" s="3"/>
      <c r="N1211" s="1"/>
    </row>
    <row r="1212" spans="1:14" s="2" customFormat="1" ht="24" hidden="1" customHeight="1" thickBot="1" x14ac:dyDescent="0.35">
      <c r="A1212" s="2" t="s">
        <v>1</v>
      </c>
      <c r="C1212" s="4"/>
      <c r="D1212" s="4"/>
      <c r="E1212" s="5"/>
      <c r="F1212" s="6"/>
      <c r="G1212" s="7"/>
      <c r="H1212" s="7"/>
      <c r="I1212" s="7"/>
      <c r="J1212" s="8"/>
      <c r="K1212" s="9"/>
      <c r="L1212" s="10"/>
      <c r="M1212" s="11"/>
      <c r="N1212" s="12" t="s">
        <v>2</v>
      </c>
    </row>
    <row r="1213" spans="1:14" s="18" customFormat="1" ht="24" hidden="1" customHeight="1" thickTop="1" thickBot="1" x14ac:dyDescent="0.35">
      <c r="A1213" s="13" t="s">
        <v>3</v>
      </c>
      <c r="B1213" s="13" t="s">
        <v>4</v>
      </c>
      <c r="C1213" s="87" t="s">
        <v>5</v>
      </c>
      <c r="D1213" s="88"/>
      <c r="E1213" s="13" t="s">
        <v>6</v>
      </c>
      <c r="F1213" s="14" t="s">
        <v>7</v>
      </c>
      <c r="G1213" s="15" t="s">
        <v>8</v>
      </c>
      <c r="H1213" s="15" t="s">
        <v>9</v>
      </c>
      <c r="I1213" s="15" t="s">
        <v>10</v>
      </c>
      <c r="J1213" s="15" t="s">
        <v>11</v>
      </c>
      <c r="K1213" s="16" t="s">
        <v>12</v>
      </c>
      <c r="L1213" s="89" t="s">
        <v>13</v>
      </c>
      <c r="M1213" s="90"/>
      <c r="N1213" s="17" t="s">
        <v>14</v>
      </c>
    </row>
    <row r="1214" spans="1:14" s="18" customFormat="1" ht="24" hidden="1" customHeight="1" thickTop="1" x14ac:dyDescent="0.3">
      <c r="A1214" s="41"/>
      <c r="B1214" s="41"/>
      <c r="C1214" s="73" t="s">
        <v>41</v>
      </c>
      <c r="D1214" s="40"/>
      <c r="E1214" s="41"/>
      <c r="F1214" s="42"/>
      <c r="G1214" s="43"/>
      <c r="H1214" s="44"/>
      <c r="I1214" s="43"/>
      <c r="J1214" s="43"/>
      <c r="K1214" s="25"/>
      <c r="L1214" s="26"/>
      <c r="M1214" s="27"/>
      <c r="N1214" s="28">
        <f>N1209</f>
        <v>186804166.90000001</v>
      </c>
    </row>
    <row r="1215" spans="1:14" s="18" customFormat="1" ht="24" hidden="1" customHeight="1" x14ac:dyDescent="0.3">
      <c r="A1215" s="19">
        <v>6</v>
      </c>
      <c r="B1215" s="19">
        <v>24</v>
      </c>
      <c r="C1215" s="29" t="s">
        <v>441</v>
      </c>
      <c r="D1215" s="21"/>
      <c r="E1215" s="19"/>
      <c r="F1215" s="22"/>
      <c r="G1215" s="23"/>
      <c r="H1215" s="24"/>
      <c r="I1215" s="23"/>
      <c r="J1215" s="23"/>
      <c r="K1215" s="32"/>
      <c r="L1215" s="33"/>
      <c r="M1215" s="34"/>
      <c r="N1215" s="35">
        <f>N1214+J1215+K1215</f>
        <v>186804166.90000001</v>
      </c>
    </row>
    <row r="1216" spans="1:14" s="18" customFormat="1" ht="24" hidden="1" customHeight="1" x14ac:dyDescent="0.3">
      <c r="A1216" s="19"/>
      <c r="B1216" s="19"/>
      <c r="C1216" s="36" t="s">
        <v>48</v>
      </c>
      <c r="D1216" s="37"/>
      <c r="E1216" s="19">
        <v>182</v>
      </c>
      <c r="F1216" s="22">
        <v>1188.9000000000001</v>
      </c>
      <c r="G1216" s="23">
        <f>2200+550+1070+250</f>
        <v>4070</v>
      </c>
      <c r="H1216" s="24">
        <f t="shared" ref="H1216" si="719">F1216*G1216</f>
        <v>4838823</v>
      </c>
      <c r="I1216" s="23">
        <v>0</v>
      </c>
      <c r="J1216" s="23">
        <f t="shared" ref="J1216" si="720">SUM(H1216:I1216)</f>
        <v>4838823</v>
      </c>
      <c r="K1216" s="32"/>
      <c r="L1216" s="33"/>
      <c r="M1216" s="34"/>
      <c r="N1216" s="35">
        <f>N1215+J1216+K1216</f>
        <v>191642989.90000001</v>
      </c>
    </row>
    <row r="1217" spans="1:14" s="18" customFormat="1" ht="24" hidden="1" customHeight="1" x14ac:dyDescent="0.3">
      <c r="A1217" s="19"/>
      <c r="B1217" s="19">
        <v>24</v>
      </c>
      <c r="C1217" s="29" t="s">
        <v>442</v>
      </c>
      <c r="D1217" s="21"/>
      <c r="E1217" s="19"/>
      <c r="F1217" s="22"/>
      <c r="G1217" s="23"/>
      <c r="H1217" s="24"/>
      <c r="I1217" s="23"/>
      <c r="J1217" s="23"/>
      <c r="K1217" s="32"/>
      <c r="L1217" s="33"/>
      <c r="M1217" s="34"/>
      <c r="N1217" s="35">
        <f t="shared" ref="N1217:N1248" si="721">N1216+J1217+K1217</f>
        <v>191642989.90000001</v>
      </c>
    </row>
    <row r="1218" spans="1:14" s="18" customFormat="1" ht="24" hidden="1" customHeight="1" x14ac:dyDescent="0.3">
      <c r="A1218" s="19"/>
      <c r="B1218" s="19"/>
      <c r="C1218" s="36" t="s">
        <v>443</v>
      </c>
      <c r="D1218" s="21"/>
      <c r="E1218" s="19">
        <v>49</v>
      </c>
      <c r="F1218" s="22">
        <v>535.5</v>
      </c>
      <c r="G1218" s="23">
        <f>900+1000+1070+250</f>
        <v>3220</v>
      </c>
      <c r="H1218" s="24">
        <f t="shared" ref="H1218" si="722">F1218*G1218</f>
        <v>1724310</v>
      </c>
      <c r="I1218" s="23">
        <v>0</v>
      </c>
      <c r="J1218" s="23">
        <f t="shared" ref="J1218" si="723">SUM(H1218:I1218)</f>
        <v>1724310</v>
      </c>
      <c r="K1218" s="32"/>
      <c r="L1218" s="33"/>
      <c r="M1218" s="34"/>
      <c r="N1218" s="35">
        <f t="shared" si="721"/>
        <v>193367299.90000001</v>
      </c>
    </row>
    <row r="1219" spans="1:14" s="18" customFormat="1" ht="24" hidden="1" customHeight="1" x14ac:dyDescent="0.3">
      <c r="A1219" s="19"/>
      <c r="B1219" s="19">
        <v>24</v>
      </c>
      <c r="C1219" s="39" t="s">
        <v>239</v>
      </c>
      <c r="D1219" s="21"/>
      <c r="E1219" s="19"/>
      <c r="F1219" s="22"/>
      <c r="G1219" s="23"/>
      <c r="H1219" s="24"/>
      <c r="I1219" s="23"/>
      <c r="J1219" s="23"/>
      <c r="K1219" s="32"/>
      <c r="L1219" s="33"/>
      <c r="M1219" s="34"/>
      <c r="N1219" s="35">
        <f t="shared" si="721"/>
        <v>193367299.90000001</v>
      </c>
    </row>
    <row r="1220" spans="1:14" s="18" customFormat="1" ht="24" hidden="1" customHeight="1" x14ac:dyDescent="0.3">
      <c r="A1220" s="19"/>
      <c r="B1220" s="19"/>
      <c r="C1220" s="36" t="s">
        <v>21</v>
      </c>
      <c r="D1220" s="21"/>
      <c r="E1220" s="19">
        <v>3</v>
      </c>
      <c r="F1220" s="22">
        <v>25.5</v>
      </c>
      <c r="G1220" s="23">
        <f>2200+550+1070+250+330</f>
        <v>4400</v>
      </c>
      <c r="H1220" s="24">
        <f t="shared" ref="H1220" si="724">F1220*G1220</f>
        <v>112200</v>
      </c>
      <c r="I1220" s="23">
        <v>0</v>
      </c>
      <c r="J1220" s="23">
        <f t="shared" ref="J1220" si="725">SUM(H1220:I1220)</f>
        <v>112200</v>
      </c>
      <c r="K1220" s="32"/>
      <c r="L1220" s="33"/>
      <c r="M1220" s="34"/>
      <c r="N1220" s="35">
        <f t="shared" si="721"/>
        <v>193479499.90000001</v>
      </c>
    </row>
    <row r="1221" spans="1:14" s="18" customFormat="1" ht="24" hidden="1" customHeight="1" x14ac:dyDescent="0.3">
      <c r="A1221" s="19"/>
      <c r="B1221" s="19">
        <v>24</v>
      </c>
      <c r="C1221" s="39" t="s">
        <v>444</v>
      </c>
      <c r="D1221" s="21"/>
      <c r="E1221" s="19"/>
      <c r="F1221" s="22"/>
      <c r="G1221" s="23"/>
      <c r="H1221" s="24"/>
      <c r="I1221" s="23"/>
      <c r="J1221" s="23"/>
      <c r="K1221" s="32"/>
      <c r="L1221" s="33"/>
      <c r="M1221" s="34"/>
      <c r="N1221" s="35">
        <f t="shared" si="721"/>
        <v>193479499.90000001</v>
      </c>
    </row>
    <row r="1222" spans="1:14" s="18" customFormat="1" ht="24" hidden="1" customHeight="1" x14ac:dyDescent="0.3">
      <c r="A1222" s="19"/>
      <c r="B1222" s="19"/>
      <c r="C1222" s="36" t="s">
        <v>21</v>
      </c>
      <c r="D1222" s="21"/>
      <c r="E1222" s="19">
        <v>91</v>
      </c>
      <c r="F1222" s="22">
        <v>848.8</v>
      </c>
      <c r="G1222" s="23">
        <f>2200+550+1070+250+330</f>
        <v>4400</v>
      </c>
      <c r="H1222" s="24">
        <f t="shared" ref="H1222" si="726">F1222*G1222</f>
        <v>3734720</v>
      </c>
      <c r="I1222" s="23">
        <v>0</v>
      </c>
      <c r="J1222" s="23">
        <f t="shared" ref="J1222" si="727">SUM(H1222:I1222)</f>
        <v>3734720</v>
      </c>
      <c r="K1222" s="32"/>
      <c r="L1222" s="33"/>
      <c r="M1222" s="34"/>
      <c r="N1222" s="35">
        <f t="shared" si="721"/>
        <v>197214219.90000001</v>
      </c>
    </row>
    <row r="1223" spans="1:14" s="18" customFormat="1" ht="24" hidden="1" customHeight="1" x14ac:dyDescent="0.3">
      <c r="A1223" s="19"/>
      <c r="B1223" s="19">
        <v>24</v>
      </c>
      <c r="C1223" s="39" t="s">
        <v>445</v>
      </c>
      <c r="D1223" s="37"/>
      <c r="E1223" s="19"/>
      <c r="F1223" s="22"/>
      <c r="G1223" s="23"/>
      <c r="H1223" s="24"/>
      <c r="I1223" s="23"/>
      <c r="J1223" s="23"/>
      <c r="K1223" s="32"/>
      <c r="L1223" s="33"/>
      <c r="M1223" s="34"/>
      <c r="N1223" s="35">
        <f t="shared" si="721"/>
        <v>197214219.90000001</v>
      </c>
    </row>
    <row r="1224" spans="1:14" s="18" customFormat="1" ht="24" hidden="1" customHeight="1" x14ac:dyDescent="0.3">
      <c r="A1224" s="19"/>
      <c r="B1224" s="19"/>
      <c r="C1224" s="29" t="s">
        <v>126</v>
      </c>
      <c r="D1224" s="21"/>
      <c r="E1224" s="19">
        <v>7</v>
      </c>
      <c r="F1224" s="22">
        <v>86.8</v>
      </c>
      <c r="G1224" s="23">
        <f>550+1000+980+250</f>
        <v>2780</v>
      </c>
      <c r="H1224" s="24">
        <f t="shared" ref="H1224:H1229" si="728">F1224*G1224</f>
        <v>241304</v>
      </c>
      <c r="I1224" s="23">
        <v>0</v>
      </c>
      <c r="J1224" s="23">
        <f t="shared" ref="J1224:J1229" si="729">SUM(H1224:I1224)</f>
        <v>241304</v>
      </c>
      <c r="K1224" s="32"/>
      <c r="L1224" s="33"/>
      <c r="M1224" s="34"/>
      <c r="N1224" s="35">
        <f t="shared" si="721"/>
        <v>197455523.90000001</v>
      </c>
    </row>
    <row r="1225" spans="1:14" s="18" customFormat="1" ht="24" hidden="1" customHeight="1" x14ac:dyDescent="0.3">
      <c r="A1225" s="19"/>
      <c r="B1225" s="19"/>
      <c r="C1225" s="29" t="s">
        <v>234</v>
      </c>
      <c r="D1225" s="21"/>
      <c r="E1225" s="19">
        <v>6</v>
      </c>
      <c r="F1225" s="22">
        <v>37.799999999999997</v>
      </c>
      <c r="G1225" s="23">
        <f>800+550+980</f>
        <v>2330</v>
      </c>
      <c r="H1225" s="24">
        <f t="shared" si="728"/>
        <v>88074</v>
      </c>
      <c r="I1225" s="23">
        <v>0</v>
      </c>
      <c r="J1225" s="23">
        <f t="shared" si="729"/>
        <v>88074</v>
      </c>
      <c r="K1225" s="32"/>
      <c r="L1225" s="33"/>
      <c r="M1225" s="34"/>
      <c r="N1225" s="35">
        <f t="shared" si="721"/>
        <v>197543597.90000001</v>
      </c>
    </row>
    <row r="1226" spans="1:14" s="18" customFormat="1" ht="24" hidden="1" customHeight="1" x14ac:dyDescent="0.3">
      <c r="A1226" s="19"/>
      <c r="B1226" s="19"/>
      <c r="C1226" s="29" t="s">
        <v>446</v>
      </c>
      <c r="D1226" s="21"/>
      <c r="E1226" s="19">
        <v>6</v>
      </c>
      <c r="F1226" s="22">
        <v>37</v>
      </c>
      <c r="G1226" s="23">
        <f>550+550+500+980</f>
        <v>2580</v>
      </c>
      <c r="H1226" s="24">
        <f t="shared" si="728"/>
        <v>95460</v>
      </c>
      <c r="I1226" s="23">
        <v>0</v>
      </c>
      <c r="J1226" s="23">
        <f t="shared" si="729"/>
        <v>95460</v>
      </c>
      <c r="K1226" s="32"/>
      <c r="L1226" s="33"/>
      <c r="M1226" s="34"/>
      <c r="N1226" s="35">
        <f t="shared" si="721"/>
        <v>197639057.90000001</v>
      </c>
    </row>
    <row r="1227" spans="1:14" s="18" customFormat="1" ht="24" hidden="1" customHeight="1" x14ac:dyDescent="0.3">
      <c r="A1227" s="19"/>
      <c r="B1227" s="19"/>
      <c r="C1227" s="39" t="s">
        <v>115</v>
      </c>
      <c r="D1227" s="21"/>
      <c r="E1227" s="19">
        <v>2</v>
      </c>
      <c r="F1227" s="22">
        <v>31.7</v>
      </c>
      <c r="G1227" s="23">
        <f>550+550+980</f>
        <v>2080</v>
      </c>
      <c r="H1227" s="24">
        <f t="shared" si="728"/>
        <v>65936</v>
      </c>
      <c r="I1227" s="23">
        <v>0</v>
      </c>
      <c r="J1227" s="23">
        <f t="shared" si="729"/>
        <v>65936</v>
      </c>
      <c r="K1227" s="32"/>
      <c r="L1227" s="33"/>
      <c r="M1227" s="34"/>
      <c r="N1227" s="35">
        <f t="shared" si="721"/>
        <v>197704993.90000001</v>
      </c>
    </row>
    <row r="1228" spans="1:14" s="18" customFormat="1" ht="24" hidden="1" customHeight="1" x14ac:dyDescent="0.3">
      <c r="A1228" s="19"/>
      <c r="B1228" s="19"/>
      <c r="C1228" s="39" t="s">
        <v>447</v>
      </c>
      <c r="D1228" s="21"/>
      <c r="E1228" s="19">
        <v>4</v>
      </c>
      <c r="F1228" s="22">
        <v>12</v>
      </c>
      <c r="G1228" s="23">
        <f>550+1100+980</f>
        <v>2630</v>
      </c>
      <c r="H1228" s="24">
        <f t="shared" si="728"/>
        <v>31560</v>
      </c>
      <c r="I1228" s="23">
        <v>0</v>
      </c>
      <c r="J1228" s="23">
        <f t="shared" si="729"/>
        <v>31560</v>
      </c>
      <c r="K1228" s="32"/>
      <c r="L1228" s="33"/>
      <c r="M1228" s="34"/>
      <c r="N1228" s="35">
        <f t="shared" si="721"/>
        <v>197736553.90000001</v>
      </c>
    </row>
    <row r="1229" spans="1:14" s="18" customFormat="1" ht="24" hidden="1" customHeight="1" x14ac:dyDescent="0.3">
      <c r="A1229" s="19"/>
      <c r="B1229" s="19"/>
      <c r="C1229" s="29" t="s">
        <v>448</v>
      </c>
      <c r="D1229" s="21"/>
      <c r="E1229" s="19">
        <v>2</v>
      </c>
      <c r="F1229" s="22">
        <v>26.3</v>
      </c>
      <c r="G1229" s="23">
        <f>1500+150</f>
        <v>1650</v>
      </c>
      <c r="H1229" s="24">
        <f t="shared" si="728"/>
        <v>43395</v>
      </c>
      <c r="I1229" s="23">
        <v>0</v>
      </c>
      <c r="J1229" s="23">
        <f t="shared" si="729"/>
        <v>43395</v>
      </c>
      <c r="K1229" s="32"/>
      <c r="L1229" s="33"/>
      <c r="M1229" s="34"/>
      <c r="N1229" s="35">
        <f t="shared" si="721"/>
        <v>197779948.90000001</v>
      </c>
    </row>
    <row r="1230" spans="1:14" s="18" customFormat="1" ht="24" hidden="1" customHeight="1" x14ac:dyDescent="0.3">
      <c r="A1230" s="19"/>
      <c r="B1230" s="19">
        <v>25</v>
      </c>
      <c r="C1230" s="29" t="s">
        <v>399</v>
      </c>
      <c r="D1230" s="21"/>
      <c r="E1230" s="19"/>
      <c r="F1230" s="22"/>
      <c r="G1230" s="23"/>
      <c r="H1230" s="24"/>
      <c r="I1230" s="23"/>
      <c r="J1230" s="23"/>
      <c r="K1230" s="32"/>
      <c r="L1230" s="33"/>
      <c r="M1230" s="34"/>
      <c r="N1230" s="35">
        <f t="shared" si="721"/>
        <v>197779948.90000001</v>
      </c>
    </row>
    <row r="1231" spans="1:14" s="18" customFormat="1" ht="24" hidden="1" customHeight="1" x14ac:dyDescent="0.3">
      <c r="A1231" s="19"/>
      <c r="B1231" s="19"/>
      <c r="C1231" s="36" t="s">
        <v>86</v>
      </c>
      <c r="D1231" s="37"/>
      <c r="E1231" s="19">
        <v>2</v>
      </c>
      <c r="F1231" s="22">
        <v>22.5</v>
      </c>
      <c r="G1231" s="23">
        <f>550+1000+1070+250</f>
        <v>2870</v>
      </c>
      <c r="H1231" s="24">
        <f t="shared" ref="H1231" si="730">F1231*G1231</f>
        <v>64575</v>
      </c>
      <c r="I1231" s="23">
        <v>0</v>
      </c>
      <c r="J1231" s="23">
        <f t="shared" ref="J1231" si="731">SUM(H1231:I1231)</f>
        <v>64575</v>
      </c>
      <c r="K1231" s="32"/>
      <c r="L1231" s="33"/>
      <c r="M1231" s="34"/>
      <c r="N1231" s="35">
        <f t="shared" si="721"/>
        <v>197844523.90000001</v>
      </c>
    </row>
    <row r="1232" spans="1:14" s="18" customFormat="1" ht="24" hidden="1" customHeight="1" x14ac:dyDescent="0.3">
      <c r="A1232" s="19"/>
      <c r="B1232" s="19">
        <v>25</v>
      </c>
      <c r="C1232" s="29" t="s">
        <v>239</v>
      </c>
      <c r="D1232" s="21"/>
      <c r="E1232" s="19"/>
      <c r="F1232" s="22"/>
      <c r="G1232" s="23"/>
      <c r="H1232" s="24"/>
      <c r="I1232" s="23"/>
      <c r="J1232" s="23"/>
      <c r="K1232" s="32"/>
      <c r="L1232" s="33"/>
      <c r="M1232" s="34"/>
      <c r="N1232" s="35">
        <f t="shared" si="721"/>
        <v>197844523.90000001</v>
      </c>
    </row>
    <row r="1233" spans="1:14" s="18" customFormat="1" ht="24" hidden="1" customHeight="1" x14ac:dyDescent="0.3">
      <c r="A1233" s="19"/>
      <c r="B1233" s="19"/>
      <c r="C1233" s="36" t="s">
        <v>21</v>
      </c>
      <c r="D1233" s="37"/>
      <c r="E1233" s="19">
        <v>3</v>
      </c>
      <c r="F1233" s="22">
        <v>22.9</v>
      </c>
      <c r="G1233" s="23">
        <f>2200+550+1070+250+330</f>
        <v>4400</v>
      </c>
      <c r="H1233" s="24">
        <f t="shared" ref="H1233" si="732">F1233*G1233</f>
        <v>100760</v>
      </c>
      <c r="I1233" s="23">
        <v>0</v>
      </c>
      <c r="J1233" s="23">
        <f t="shared" ref="J1233" si="733">SUM(H1233:I1233)</f>
        <v>100760</v>
      </c>
      <c r="K1233" s="32"/>
      <c r="L1233" s="33"/>
      <c r="M1233" s="34"/>
      <c r="N1233" s="35">
        <f t="shared" si="721"/>
        <v>197945283.90000001</v>
      </c>
    </row>
    <row r="1234" spans="1:14" s="18" customFormat="1" ht="24" hidden="1" customHeight="1" x14ac:dyDescent="0.3">
      <c r="A1234" s="19"/>
      <c r="B1234" s="19">
        <v>26</v>
      </c>
      <c r="C1234" s="39" t="s">
        <v>418</v>
      </c>
      <c r="D1234" s="21"/>
      <c r="E1234" s="19"/>
      <c r="F1234" s="22"/>
      <c r="G1234" s="23"/>
      <c r="H1234" s="24"/>
      <c r="I1234" s="23"/>
      <c r="J1234" s="23"/>
      <c r="K1234" s="32"/>
      <c r="L1234" s="33"/>
      <c r="M1234" s="34"/>
      <c r="N1234" s="35">
        <f t="shared" si="721"/>
        <v>197945283.90000001</v>
      </c>
    </row>
    <row r="1235" spans="1:14" s="18" customFormat="1" ht="24" hidden="1" customHeight="1" x14ac:dyDescent="0.3">
      <c r="A1235" s="19"/>
      <c r="B1235" s="19"/>
      <c r="C1235" s="36" t="s">
        <v>419</v>
      </c>
      <c r="D1235" s="21"/>
      <c r="E1235" s="19">
        <v>2</v>
      </c>
      <c r="F1235" s="22">
        <v>96.7</v>
      </c>
      <c r="G1235" s="23">
        <f>2200+1200+1200+1070+1070+250+250</f>
        <v>7240</v>
      </c>
      <c r="H1235" s="24">
        <f t="shared" ref="H1235" si="734">F1235*G1235</f>
        <v>700108</v>
      </c>
      <c r="I1235" s="23">
        <v>0</v>
      </c>
      <c r="J1235" s="23">
        <f t="shared" ref="J1235" si="735">SUM(H1235:I1235)</f>
        <v>700108</v>
      </c>
      <c r="K1235" s="32"/>
      <c r="L1235" s="33"/>
      <c r="M1235" s="34"/>
      <c r="N1235" s="35">
        <f t="shared" si="721"/>
        <v>198645391.90000001</v>
      </c>
    </row>
    <row r="1236" spans="1:14" s="18" customFormat="1" ht="24" hidden="1" customHeight="1" x14ac:dyDescent="0.3">
      <c r="A1236" s="19"/>
      <c r="B1236" s="19">
        <v>26</v>
      </c>
      <c r="C1236" s="39" t="s">
        <v>449</v>
      </c>
      <c r="D1236" s="37"/>
      <c r="E1236" s="19"/>
      <c r="F1236" s="22"/>
      <c r="G1236" s="23"/>
      <c r="H1236" s="24"/>
      <c r="I1236" s="23"/>
      <c r="J1236" s="23"/>
      <c r="K1236" s="32"/>
      <c r="L1236" s="33"/>
      <c r="M1236" s="34"/>
      <c r="N1236" s="35">
        <f t="shared" si="721"/>
        <v>198645391.90000001</v>
      </c>
    </row>
    <row r="1237" spans="1:14" s="18" customFormat="1" ht="24" hidden="1" customHeight="1" x14ac:dyDescent="0.3">
      <c r="A1237" s="19"/>
      <c r="B1237" s="19"/>
      <c r="C1237" s="36" t="s">
        <v>48</v>
      </c>
      <c r="D1237" s="21"/>
      <c r="E1237" s="19">
        <v>1</v>
      </c>
      <c r="F1237" s="22">
        <v>22</v>
      </c>
      <c r="G1237" s="23">
        <f>2200+550+1070+250</f>
        <v>4070</v>
      </c>
      <c r="H1237" s="24">
        <f t="shared" ref="H1237" si="736">F1237*G1237</f>
        <v>89540</v>
      </c>
      <c r="I1237" s="23">
        <v>0</v>
      </c>
      <c r="J1237" s="23">
        <f t="shared" ref="J1237" si="737">SUM(H1237:I1237)</f>
        <v>89540</v>
      </c>
      <c r="K1237" s="32"/>
      <c r="L1237" s="33"/>
      <c r="M1237" s="34"/>
      <c r="N1237" s="35">
        <f t="shared" si="721"/>
        <v>198734931.90000001</v>
      </c>
    </row>
    <row r="1238" spans="1:14" s="18" customFormat="1" ht="24" hidden="1" customHeight="1" x14ac:dyDescent="0.3">
      <c r="A1238" s="19"/>
      <c r="B1238" s="19">
        <v>26</v>
      </c>
      <c r="C1238" s="29" t="s">
        <v>450</v>
      </c>
      <c r="D1238" s="21"/>
      <c r="E1238" s="19"/>
      <c r="F1238" s="22"/>
      <c r="G1238" s="23"/>
      <c r="H1238" s="24"/>
      <c r="I1238" s="23"/>
      <c r="J1238" s="23"/>
      <c r="K1238" s="32"/>
      <c r="L1238" s="33"/>
      <c r="M1238" s="34"/>
      <c r="N1238" s="35">
        <f t="shared" si="721"/>
        <v>198734931.90000001</v>
      </c>
    </row>
    <row r="1239" spans="1:14" s="18" customFormat="1" ht="24" hidden="1" customHeight="1" x14ac:dyDescent="0.3">
      <c r="A1239" s="19"/>
      <c r="B1239" s="19"/>
      <c r="C1239" s="29" t="s">
        <v>92</v>
      </c>
      <c r="D1239" s="21"/>
      <c r="E1239" s="19"/>
      <c r="F1239" s="22"/>
      <c r="G1239" s="23"/>
      <c r="H1239" s="24">
        <v>504000</v>
      </c>
      <c r="I1239" s="23">
        <f>H1239*0.1</f>
        <v>50400</v>
      </c>
      <c r="J1239" s="23">
        <f>SUM(H1239:I1239)</f>
        <v>554400</v>
      </c>
      <c r="K1239" s="32"/>
      <c r="L1239" s="33"/>
      <c r="M1239" s="34"/>
      <c r="N1239" s="35">
        <f t="shared" si="721"/>
        <v>199289331.90000001</v>
      </c>
    </row>
    <row r="1240" spans="1:14" s="18" customFormat="1" ht="24" hidden="1" customHeight="1" x14ac:dyDescent="0.3">
      <c r="A1240" s="19"/>
      <c r="B1240" s="19">
        <v>26</v>
      </c>
      <c r="C1240" s="39" t="s">
        <v>451</v>
      </c>
      <c r="D1240" s="21"/>
      <c r="E1240" s="19"/>
      <c r="F1240" s="22"/>
      <c r="G1240" s="23"/>
      <c r="H1240" s="24"/>
      <c r="I1240" s="23"/>
      <c r="J1240" s="23"/>
      <c r="K1240" s="32"/>
      <c r="L1240" s="33"/>
      <c r="M1240" s="34"/>
      <c r="N1240" s="35">
        <f t="shared" si="721"/>
        <v>199289331.90000001</v>
      </c>
    </row>
    <row r="1241" spans="1:14" s="18" customFormat="1" ht="24" hidden="1" customHeight="1" x14ac:dyDescent="0.3">
      <c r="A1241" s="19"/>
      <c r="B1241" s="19"/>
      <c r="C1241" s="39" t="s">
        <v>105</v>
      </c>
      <c r="D1241" s="21"/>
      <c r="E1241" s="19"/>
      <c r="F1241" s="22"/>
      <c r="G1241" s="23"/>
      <c r="H1241" s="24">
        <v>108000</v>
      </c>
      <c r="I1241" s="23">
        <f>H1241*0.1</f>
        <v>10800</v>
      </c>
      <c r="J1241" s="23">
        <f>SUM(H1241:I1241)</f>
        <v>118800</v>
      </c>
      <c r="K1241" s="32"/>
      <c r="L1241" s="33"/>
      <c r="M1241" s="34"/>
      <c r="N1241" s="48">
        <f t="shared" si="721"/>
        <v>199408131.90000001</v>
      </c>
    </row>
    <row r="1242" spans="1:14" s="18" customFormat="1" ht="24" hidden="1" customHeight="1" x14ac:dyDescent="0.3">
      <c r="A1242" s="19"/>
      <c r="B1242" s="19"/>
      <c r="C1242" s="29"/>
      <c r="D1242" s="21"/>
      <c r="E1242" s="19"/>
      <c r="F1242" s="22"/>
      <c r="G1242" s="23"/>
      <c r="H1242" s="24"/>
      <c r="I1242" s="23"/>
      <c r="J1242" s="47">
        <v>-24408132</v>
      </c>
      <c r="K1242" s="32"/>
      <c r="L1242" s="33">
        <v>45838</v>
      </c>
      <c r="M1242" s="34">
        <v>175000000</v>
      </c>
      <c r="N1242" s="35">
        <f t="shared" si="721"/>
        <v>174999999.90000001</v>
      </c>
    </row>
    <row r="1243" spans="1:14" s="18" customFormat="1" ht="24" hidden="1" customHeight="1" thickBot="1" x14ac:dyDescent="0.35">
      <c r="A1243" s="49">
        <v>6</v>
      </c>
      <c r="B1243" s="49">
        <v>30</v>
      </c>
      <c r="C1243" s="77"/>
      <c r="D1243" s="51" t="s">
        <v>153</v>
      </c>
      <c r="E1243" s="49"/>
      <c r="F1243" s="52"/>
      <c r="G1243" s="53"/>
      <c r="H1243" s="54"/>
      <c r="I1243" s="53"/>
      <c r="J1243" s="53"/>
      <c r="K1243" s="55">
        <v>-175000000</v>
      </c>
      <c r="L1243" s="56"/>
      <c r="M1243" s="57"/>
      <c r="N1243" s="58">
        <v>0</v>
      </c>
    </row>
    <row r="1244" spans="1:14" s="18" customFormat="1" ht="24" hidden="1" customHeight="1" thickTop="1" x14ac:dyDescent="0.3">
      <c r="A1244" s="59"/>
      <c r="B1244" s="59"/>
      <c r="C1244" s="60"/>
      <c r="D1244" s="80"/>
      <c r="E1244" s="59"/>
      <c r="F1244" s="62"/>
      <c r="G1244" s="63"/>
      <c r="H1244" s="64"/>
      <c r="I1244" s="63"/>
      <c r="J1244" s="63"/>
      <c r="K1244" s="65"/>
      <c r="L1244" s="66"/>
      <c r="M1244" s="67"/>
      <c r="N1244" s="68">
        <f t="shared" si="721"/>
        <v>0</v>
      </c>
    </row>
    <row r="1245" spans="1:14" s="18" customFormat="1" ht="24" hidden="1" customHeight="1" x14ac:dyDescent="0.3">
      <c r="A1245" s="19"/>
      <c r="B1245" s="19"/>
      <c r="C1245" s="29"/>
      <c r="D1245" s="21"/>
      <c r="E1245" s="19"/>
      <c r="F1245" s="22"/>
      <c r="G1245" s="23"/>
      <c r="H1245" s="24"/>
      <c r="I1245" s="23"/>
      <c r="J1245" s="23"/>
      <c r="K1245" s="32"/>
      <c r="L1245" s="33"/>
      <c r="M1245" s="34"/>
      <c r="N1245" s="35">
        <f t="shared" si="721"/>
        <v>0</v>
      </c>
    </row>
    <row r="1246" spans="1:14" s="18" customFormat="1" ht="24" hidden="1" customHeight="1" x14ac:dyDescent="0.3">
      <c r="A1246" s="19"/>
      <c r="B1246" s="19"/>
      <c r="C1246" s="29"/>
      <c r="D1246" s="37"/>
      <c r="E1246" s="19"/>
      <c r="F1246" s="22"/>
      <c r="G1246" s="23"/>
      <c r="H1246" s="24"/>
      <c r="I1246" s="23"/>
      <c r="J1246" s="23"/>
      <c r="K1246" s="32"/>
      <c r="L1246" s="33"/>
      <c r="M1246" s="34"/>
      <c r="N1246" s="38">
        <f t="shared" si="721"/>
        <v>0</v>
      </c>
    </row>
    <row r="1247" spans="1:14" s="18" customFormat="1" ht="24" hidden="1" customHeight="1" x14ac:dyDescent="0.3">
      <c r="A1247" s="19"/>
      <c r="B1247" s="19"/>
      <c r="C1247" s="29"/>
      <c r="D1247" s="21"/>
      <c r="E1247" s="19"/>
      <c r="F1247" s="22"/>
      <c r="G1247" s="23"/>
      <c r="H1247" s="24"/>
      <c r="I1247" s="23"/>
      <c r="J1247" s="23"/>
      <c r="K1247" s="32"/>
      <c r="L1247" s="33"/>
      <c r="M1247" s="34"/>
      <c r="N1247" s="38">
        <f t="shared" si="721"/>
        <v>0</v>
      </c>
    </row>
    <row r="1248" spans="1:14" s="18" customFormat="1" ht="24" hidden="1" customHeight="1" x14ac:dyDescent="0.3">
      <c r="A1248" s="19"/>
      <c r="B1248" s="19"/>
      <c r="C1248" s="39"/>
      <c r="D1248" s="21"/>
      <c r="E1248" s="19"/>
      <c r="F1248" s="22"/>
      <c r="G1248" s="23"/>
      <c r="H1248" s="24"/>
      <c r="I1248" s="23"/>
      <c r="J1248" s="23"/>
      <c r="K1248" s="32"/>
      <c r="L1248" s="33"/>
      <c r="M1248" s="34"/>
      <c r="N1248" s="38">
        <f t="shared" si="721"/>
        <v>0</v>
      </c>
    </row>
    <row r="1249" spans="1:14" s="2" customFormat="1" ht="27" hidden="1" customHeight="1" thickBot="1" x14ac:dyDescent="0.35">
      <c r="A1249" s="1"/>
      <c r="B1249" s="1"/>
      <c r="C1249" s="1"/>
      <c r="E1249" s="86" t="s">
        <v>0</v>
      </c>
      <c r="F1249" s="86"/>
      <c r="G1249" s="86"/>
      <c r="H1249" s="86"/>
      <c r="I1249" s="86"/>
      <c r="J1249" s="86"/>
      <c r="K1249" s="1"/>
      <c r="L1249" s="3"/>
      <c r="M1249" s="3"/>
      <c r="N1249" s="1"/>
    </row>
    <row r="1250" spans="1:14" s="2" customFormat="1" ht="24" hidden="1" customHeight="1" thickTop="1" x14ac:dyDescent="0.3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3"/>
      <c r="M1250" s="3"/>
      <c r="N1250" s="1"/>
    </row>
    <row r="1251" spans="1:14" s="2" customFormat="1" ht="24" hidden="1" customHeight="1" thickBot="1" x14ac:dyDescent="0.35">
      <c r="A1251" s="2" t="s">
        <v>1</v>
      </c>
      <c r="C1251" s="4"/>
      <c r="D1251" s="4"/>
      <c r="E1251" s="5"/>
      <c r="F1251" s="6"/>
      <c r="G1251" s="7"/>
      <c r="H1251" s="7"/>
      <c r="I1251" s="7"/>
      <c r="J1251" s="8"/>
      <c r="K1251" s="9"/>
      <c r="L1251" s="10"/>
      <c r="M1251" s="11"/>
      <c r="N1251" s="12" t="s">
        <v>2</v>
      </c>
    </row>
    <row r="1252" spans="1:14" s="18" customFormat="1" ht="24" hidden="1" customHeight="1" thickTop="1" thickBot="1" x14ac:dyDescent="0.35">
      <c r="A1252" s="13" t="s">
        <v>3</v>
      </c>
      <c r="B1252" s="13" t="s">
        <v>4</v>
      </c>
      <c r="C1252" s="87" t="s">
        <v>5</v>
      </c>
      <c r="D1252" s="88"/>
      <c r="E1252" s="13" t="s">
        <v>6</v>
      </c>
      <c r="F1252" s="14" t="s">
        <v>7</v>
      </c>
      <c r="G1252" s="15" t="s">
        <v>8</v>
      </c>
      <c r="H1252" s="15" t="s">
        <v>9</v>
      </c>
      <c r="I1252" s="15" t="s">
        <v>10</v>
      </c>
      <c r="J1252" s="15" t="s">
        <v>11</v>
      </c>
      <c r="K1252" s="16" t="s">
        <v>12</v>
      </c>
      <c r="L1252" s="89" t="s">
        <v>13</v>
      </c>
      <c r="M1252" s="90"/>
      <c r="N1252" s="17" t="s">
        <v>14</v>
      </c>
    </row>
    <row r="1253" spans="1:14" s="18" customFormat="1" ht="24" hidden="1" customHeight="1" thickTop="1" x14ac:dyDescent="0.3">
      <c r="A1253" s="41">
        <v>6</v>
      </c>
      <c r="B1253" s="41">
        <v>25</v>
      </c>
      <c r="C1253" s="73" t="s">
        <v>452</v>
      </c>
      <c r="D1253" s="40"/>
      <c r="E1253" s="41"/>
      <c r="F1253" s="42"/>
      <c r="G1253" s="43"/>
      <c r="H1253" s="44"/>
      <c r="I1253" s="43"/>
      <c r="J1253" s="43"/>
      <c r="K1253" s="25"/>
      <c r="L1253" s="26"/>
      <c r="M1253" s="27"/>
      <c r="N1253" s="28">
        <f>N1248</f>
        <v>0</v>
      </c>
    </row>
    <row r="1254" spans="1:14" s="18" customFormat="1" ht="24" hidden="1" customHeight="1" x14ac:dyDescent="0.3">
      <c r="A1254" s="19"/>
      <c r="B1254" s="19"/>
      <c r="C1254" s="36" t="s">
        <v>61</v>
      </c>
      <c r="D1254" s="21"/>
      <c r="E1254" s="19">
        <v>2</v>
      </c>
      <c r="F1254" s="22">
        <v>8.1999999999999993</v>
      </c>
      <c r="G1254" s="23">
        <f>2000+2000+500+950+950+200+200+300+300</f>
        <v>7400</v>
      </c>
      <c r="H1254" s="24">
        <f t="shared" ref="H1254:H1255" si="738">F1254*G1254</f>
        <v>60679.999999999993</v>
      </c>
      <c r="I1254" s="23">
        <v>0</v>
      </c>
      <c r="J1254" s="23">
        <f t="shared" ref="J1254:J1255" si="739">SUM(H1254:I1254)</f>
        <v>60679.999999999993</v>
      </c>
      <c r="K1254" s="32"/>
      <c r="L1254" s="33"/>
      <c r="M1254" s="34"/>
      <c r="N1254" s="35">
        <f>N1253+J1254+K1254</f>
        <v>60679.999999999993</v>
      </c>
    </row>
    <row r="1255" spans="1:14" s="18" customFormat="1" ht="24" hidden="1" customHeight="1" x14ac:dyDescent="0.3">
      <c r="A1255" s="19"/>
      <c r="B1255" s="19"/>
      <c r="C1255" s="36" t="s">
        <v>21</v>
      </c>
      <c r="D1255" s="37"/>
      <c r="E1255" s="19">
        <v>28</v>
      </c>
      <c r="F1255" s="22">
        <v>195.8</v>
      </c>
      <c r="G1255" s="23">
        <f>2000+500+950+200+300</f>
        <v>3950</v>
      </c>
      <c r="H1255" s="24">
        <f t="shared" si="738"/>
        <v>773410</v>
      </c>
      <c r="I1255" s="23">
        <v>0</v>
      </c>
      <c r="J1255" s="23">
        <f t="shared" si="739"/>
        <v>773410</v>
      </c>
      <c r="K1255" s="32"/>
      <c r="L1255" s="33"/>
      <c r="M1255" s="34"/>
      <c r="N1255" s="35">
        <f>N1254+J1255+K1255</f>
        <v>834090</v>
      </c>
    </row>
    <row r="1256" spans="1:14" s="18" customFormat="1" ht="24" hidden="1" customHeight="1" x14ac:dyDescent="0.3">
      <c r="A1256" s="19"/>
      <c r="B1256" s="19">
        <v>27</v>
      </c>
      <c r="C1256" s="29" t="s">
        <v>433</v>
      </c>
      <c r="D1256" s="21"/>
      <c r="E1256" s="19"/>
      <c r="F1256" s="22"/>
      <c r="G1256" s="23"/>
      <c r="H1256" s="24"/>
      <c r="I1256" s="23"/>
      <c r="J1256" s="23"/>
      <c r="K1256" s="32"/>
      <c r="L1256" s="33"/>
      <c r="M1256" s="34"/>
      <c r="N1256" s="35">
        <f t="shared" ref="N1256:N1287" si="740">N1255+J1256+K1256</f>
        <v>834090</v>
      </c>
    </row>
    <row r="1257" spans="1:14" s="18" customFormat="1" ht="24" hidden="1" customHeight="1" x14ac:dyDescent="0.3">
      <c r="A1257" s="19"/>
      <c r="B1257" s="19"/>
      <c r="C1257" s="36" t="s">
        <v>241</v>
      </c>
      <c r="D1257" s="21"/>
      <c r="E1257" s="19">
        <v>1</v>
      </c>
      <c r="F1257" s="22">
        <v>9.1999999999999993</v>
      </c>
      <c r="G1257" s="23">
        <f>900+1250+900+150</f>
        <v>3200</v>
      </c>
      <c r="H1257" s="24">
        <f t="shared" ref="H1257" si="741">F1257*G1257</f>
        <v>29439.999999999996</v>
      </c>
      <c r="I1257" s="23">
        <v>0</v>
      </c>
      <c r="J1257" s="23">
        <f t="shared" ref="J1257" si="742">SUM(H1257:I1257)</f>
        <v>29439.999999999996</v>
      </c>
      <c r="K1257" s="32"/>
      <c r="L1257" s="33"/>
      <c r="M1257" s="34"/>
      <c r="N1257" s="35">
        <f t="shared" si="740"/>
        <v>863530</v>
      </c>
    </row>
    <row r="1258" spans="1:14" s="18" customFormat="1" ht="24" hidden="1" customHeight="1" x14ac:dyDescent="0.3">
      <c r="A1258" s="19"/>
      <c r="B1258" s="19">
        <v>27</v>
      </c>
      <c r="C1258" s="39" t="s">
        <v>453</v>
      </c>
      <c r="D1258" s="21"/>
      <c r="E1258" s="19"/>
      <c r="F1258" s="22"/>
      <c r="G1258" s="23"/>
      <c r="H1258" s="24"/>
      <c r="I1258" s="23"/>
      <c r="J1258" s="23"/>
      <c r="K1258" s="32"/>
      <c r="L1258" s="33"/>
      <c r="M1258" s="34"/>
      <c r="N1258" s="35">
        <f t="shared" si="740"/>
        <v>863530</v>
      </c>
    </row>
    <row r="1259" spans="1:14" s="18" customFormat="1" ht="24" hidden="1" customHeight="1" x14ac:dyDescent="0.3">
      <c r="A1259" s="19"/>
      <c r="B1259" s="19"/>
      <c r="C1259" s="29" t="s">
        <v>222</v>
      </c>
      <c r="D1259" s="21"/>
      <c r="E1259" s="19"/>
      <c r="F1259" s="22"/>
      <c r="G1259" s="23"/>
      <c r="H1259" s="24">
        <v>234000</v>
      </c>
      <c r="I1259" s="23">
        <f>H1259*0.1</f>
        <v>23400</v>
      </c>
      <c r="J1259" s="23">
        <f>SUM(H1259:I1259)</f>
        <v>257400</v>
      </c>
      <c r="K1259" s="32"/>
      <c r="L1259" s="33"/>
      <c r="M1259" s="34"/>
      <c r="N1259" s="35">
        <f t="shared" si="740"/>
        <v>1120930</v>
      </c>
    </row>
    <row r="1260" spans="1:14" s="18" customFormat="1" ht="24" hidden="1" customHeight="1" x14ac:dyDescent="0.3">
      <c r="A1260" s="19"/>
      <c r="B1260" s="19">
        <v>30</v>
      </c>
      <c r="C1260" s="39" t="s">
        <v>416</v>
      </c>
      <c r="D1260" s="21"/>
      <c r="E1260" s="19"/>
      <c r="F1260" s="22"/>
      <c r="G1260" s="23"/>
      <c r="H1260" s="24"/>
      <c r="I1260" s="23"/>
      <c r="J1260" s="23"/>
      <c r="K1260" s="32"/>
      <c r="L1260" s="33"/>
      <c r="M1260" s="34"/>
      <c r="N1260" s="35">
        <f t="shared" si="740"/>
        <v>1120930</v>
      </c>
    </row>
    <row r="1261" spans="1:14" s="18" customFormat="1" ht="24" hidden="1" customHeight="1" x14ac:dyDescent="0.3">
      <c r="A1261" s="19"/>
      <c r="B1261" s="19"/>
      <c r="C1261" s="36" t="s">
        <v>417</v>
      </c>
      <c r="D1261" s="21"/>
      <c r="E1261" s="19">
        <v>24</v>
      </c>
      <c r="F1261" s="22">
        <v>512.9</v>
      </c>
      <c r="G1261" s="23">
        <f>2000+800+950+200+300</f>
        <v>4250</v>
      </c>
      <c r="H1261" s="24">
        <f t="shared" ref="H1261:H1263" si="743">F1261*G1261</f>
        <v>2179825</v>
      </c>
      <c r="I1261" s="23">
        <v>0</v>
      </c>
      <c r="J1261" s="23">
        <f t="shared" ref="J1261:J1263" si="744">SUM(H1261:I1261)</f>
        <v>2179825</v>
      </c>
      <c r="K1261" s="32"/>
      <c r="L1261" s="33"/>
      <c r="M1261" s="34"/>
      <c r="N1261" s="35">
        <f t="shared" si="740"/>
        <v>3300755</v>
      </c>
    </row>
    <row r="1262" spans="1:14" s="18" customFormat="1" ht="24" hidden="1" customHeight="1" x14ac:dyDescent="0.3">
      <c r="A1262" s="19"/>
      <c r="B1262" s="19"/>
      <c r="C1262" s="36" t="s">
        <v>33</v>
      </c>
      <c r="D1262" s="21"/>
      <c r="E1262" s="19">
        <v>5</v>
      </c>
      <c r="F1262" s="22">
        <v>61.6</v>
      </c>
      <c r="G1262" s="23">
        <f>2000+500+950+200+300</f>
        <v>3950</v>
      </c>
      <c r="H1262" s="24">
        <f t="shared" si="743"/>
        <v>243320</v>
      </c>
      <c r="I1262" s="23">
        <v>0</v>
      </c>
      <c r="J1262" s="23">
        <f t="shared" si="744"/>
        <v>243320</v>
      </c>
      <c r="K1262" s="32"/>
      <c r="L1262" s="33"/>
      <c r="M1262" s="34"/>
      <c r="N1262" s="35">
        <f t="shared" si="740"/>
        <v>3544075</v>
      </c>
    </row>
    <row r="1263" spans="1:14" s="18" customFormat="1" ht="24" hidden="1" customHeight="1" x14ac:dyDescent="0.3">
      <c r="A1263" s="19"/>
      <c r="B1263" s="19"/>
      <c r="C1263" s="39" t="s">
        <v>46</v>
      </c>
      <c r="D1263" s="21"/>
      <c r="E1263" s="19">
        <v>11</v>
      </c>
      <c r="F1263" s="22">
        <v>575.79999999999995</v>
      </c>
      <c r="G1263" s="23">
        <v>1950</v>
      </c>
      <c r="H1263" s="24">
        <f t="shared" si="743"/>
        <v>1122810</v>
      </c>
      <c r="I1263" s="23">
        <v>0</v>
      </c>
      <c r="J1263" s="23">
        <f t="shared" si="744"/>
        <v>1122810</v>
      </c>
      <c r="K1263" s="32"/>
      <c r="L1263" s="33"/>
      <c r="M1263" s="34"/>
      <c r="N1263" s="35">
        <f t="shared" si="740"/>
        <v>4666885</v>
      </c>
    </row>
    <row r="1264" spans="1:14" s="18" customFormat="1" ht="24" hidden="1" customHeight="1" x14ac:dyDescent="0.3">
      <c r="A1264" s="19"/>
      <c r="B1264" s="19">
        <v>30</v>
      </c>
      <c r="C1264" s="39" t="s">
        <v>418</v>
      </c>
      <c r="D1264" s="37"/>
      <c r="E1264" s="19"/>
      <c r="F1264" s="22"/>
      <c r="G1264" s="23"/>
      <c r="H1264" s="24"/>
      <c r="I1264" s="23"/>
      <c r="J1264" s="23"/>
      <c r="K1264" s="32"/>
      <c r="L1264" s="33"/>
      <c r="M1264" s="34"/>
      <c r="N1264" s="35">
        <f t="shared" si="740"/>
        <v>4666885</v>
      </c>
    </row>
    <row r="1265" spans="1:14" s="18" customFormat="1" ht="24" hidden="1" customHeight="1" x14ac:dyDescent="0.3">
      <c r="A1265" s="19"/>
      <c r="B1265" s="19"/>
      <c r="C1265" s="36" t="s">
        <v>419</v>
      </c>
      <c r="D1265" s="21"/>
      <c r="E1265" s="19">
        <v>32</v>
      </c>
      <c r="F1265" s="22">
        <v>495.9</v>
      </c>
      <c r="G1265" s="23">
        <f>2200+1100+1100+950+950+200+200</f>
        <v>6700</v>
      </c>
      <c r="H1265" s="24">
        <f t="shared" ref="H1265:H1268" si="745">F1265*G1265</f>
        <v>3322530</v>
      </c>
      <c r="I1265" s="23">
        <v>0</v>
      </c>
      <c r="J1265" s="23">
        <f t="shared" ref="J1265:J1268" si="746">SUM(H1265:I1265)</f>
        <v>3322530</v>
      </c>
      <c r="K1265" s="32"/>
      <c r="L1265" s="33"/>
      <c r="M1265" s="34"/>
      <c r="N1265" s="35">
        <f t="shared" si="740"/>
        <v>7989415</v>
      </c>
    </row>
    <row r="1266" spans="1:14" s="18" customFormat="1" ht="24" hidden="1" customHeight="1" x14ac:dyDescent="0.3">
      <c r="A1266" s="19"/>
      <c r="B1266" s="19"/>
      <c r="C1266" s="36" t="s">
        <v>355</v>
      </c>
      <c r="D1266" s="21"/>
      <c r="E1266" s="19">
        <v>1</v>
      </c>
      <c r="F1266" s="22">
        <v>3</v>
      </c>
      <c r="G1266" s="23">
        <f>1400+700+1100+2000+950+950+200+200</f>
        <v>7500</v>
      </c>
      <c r="H1266" s="24">
        <f t="shared" si="745"/>
        <v>22500</v>
      </c>
      <c r="I1266" s="23">
        <v>0</v>
      </c>
      <c r="J1266" s="23">
        <f t="shared" si="746"/>
        <v>22500</v>
      </c>
      <c r="K1266" s="32"/>
      <c r="L1266" s="33"/>
      <c r="M1266" s="34"/>
      <c r="N1266" s="35">
        <f t="shared" si="740"/>
        <v>8011915</v>
      </c>
    </row>
    <row r="1267" spans="1:14" s="18" customFormat="1" ht="24" hidden="1" customHeight="1" x14ac:dyDescent="0.3">
      <c r="A1267" s="19"/>
      <c r="B1267" s="19"/>
      <c r="C1267" s="36" t="s">
        <v>454</v>
      </c>
      <c r="D1267" s="21"/>
      <c r="E1267" s="19">
        <v>2</v>
      </c>
      <c r="F1267" s="22">
        <v>28.7</v>
      </c>
      <c r="G1267" s="23">
        <f>1400+700+2000+950+200</f>
        <v>5250</v>
      </c>
      <c r="H1267" s="24">
        <f t="shared" si="745"/>
        <v>150675</v>
      </c>
      <c r="I1267" s="23">
        <v>0</v>
      </c>
      <c r="J1267" s="23">
        <f t="shared" si="746"/>
        <v>150675</v>
      </c>
      <c r="K1267" s="32"/>
      <c r="L1267" s="33"/>
      <c r="M1267" s="34"/>
      <c r="N1267" s="35">
        <f t="shared" si="740"/>
        <v>8162590</v>
      </c>
    </row>
    <row r="1268" spans="1:14" s="18" customFormat="1" ht="24" hidden="1" customHeight="1" x14ac:dyDescent="0.3">
      <c r="A1268" s="19"/>
      <c r="B1268" s="19"/>
      <c r="C1268" s="36" t="s">
        <v>455</v>
      </c>
      <c r="D1268" s="21"/>
      <c r="E1268" s="19">
        <v>1</v>
      </c>
      <c r="F1268" s="22">
        <v>14.6</v>
      </c>
      <c r="G1268" s="23">
        <f>2200+1100+950+200</f>
        <v>4450</v>
      </c>
      <c r="H1268" s="24">
        <f t="shared" si="745"/>
        <v>64970</v>
      </c>
      <c r="I1268" s="23">
        <v>0</v>
      </c>
      <c r="J1268" s="23">
        <f t="shared" si="746"/>
        <v>64970</v>
      </c>
      <c r="K1268" s="32"/>
      <c r="L1268" s="33"/>
      <c r="M1268" s="34"/>
      <c r="N1268" s="35">
        <f t="shared" si="740"/>
        <v>8227560</v>
      </c>
    </row>
    <row r="1269" spans="1:14" s="18" customFormat="1" ht="24" hidden="1" customHeight="1" x14ac:dyDescent="0.3">
      <c r="A1269" s="19"/>
      <c r="B1269" s="19">
        <v>30</v>
      </c>
      <c r="C1269" s="39" t="s">
        <v>456</v>
      </c>
      <c r="D1269" s="21"/>
      <c r="E1269" s="19"/>
      <c r="F1269" s="22"/>
      <c r="G1269" s="23"/>
      <c r="H1269" s="24"/>
      <c r="I1269" s="23"/>
      <c r="J1269" s="23"/>
      <c r="K1269" s="32"/>
      <c r="L1269" s="33"/>
      <c r="M1269" s="34"/>
      <c r="N1269" s="35">
        <f t="shared" si="740"/>
        <v>8227560</v>
      </c>
    </row>
    <row r="1270" spans="1:14" s="18" customFormat="1" ht="24" hidden="1" customHeight="1" x14ac:dyDescent="0.3">
      <c r="A1270" s="19"/>
      <c r="B1270" s="19"/>
      <c r="C1270" s="36" t="s">
        <v>21</v>
      </c>
      <c r="D1270" s="21"/>
      <c r="E1270" s="19">
        <v>206</v>
      </c>
      <c r="F1270" s="22">
        <v>1969</v>
      </c>
      <c r="G1270" s="23">
        <f>2000+500+950+200+300</f>
        <v>3950</v>
      </c>
      <c r="H1270" s="24">
        <f t="shared" ref="H1270:H1272" si="747">F1270*G1270</f>
        <v>7777550</v>
      </c>
      <c r="I1270" s="23">
        <v>0</v>
      </c>
      <c r="J1270" s="23">
        <f t="shared" ref="J1270:J1272" si="748">SUM(H1270:I1270)</f>
        <v>7777550</v>
      </c>
      <c r="K1270" s="32"/>
      <c r="L1270" s="33"/>
      <c r="M1270" s="34"/>
      <c r="N1270" s="35">
        <f t="shared" si="740"/>
        <v>16005110</v>
      </c>
    </row>
    <row r="1271" spans="1:14" s="18" customFormat="1" ht="24" hidden="1" customHeight="1" x14ac:dyDescent="0.3">
      <c r="A1271" s="19"/>
      <c r="B1271" s="19"/>
      <c r="C1271" s="29" t="s">
        <v>75</v>
      </c>
      <c r="D1271" s="21"/>
      <c r="E1271" s="19">
        <v>2</v>
      </c>
      <c r="F1271" s="22">
        <v>6</v>
      </c>
      <c r="G1271" s="23">
        <v>2500</v>
      </c>
      <c r="H1271" s="24">
        <f t="shared" si="747"/>
        <v>15000</v>
      </c>
      <c r="I1271" s="23">
        <v>0</v>
      </c>
      <c r="J1271" s="23">
        <f t="shared" si="748"/>
        <v>15000</v>
      </c>
      <c r="K1271" s="32"/>
      <c r="L1271" s="33"/>
      <c r="M1271" s="34"/>
      <c r="N1271" s="35">
        <f t="shared" si="740"/>
        <v>16020110</v>
      </c>
    </row>
    <row r="1272" spans="1:14" s="18" customFormat="1" ht="24" hidden="1" customHeight="1" x14ac:dyDescent="0.3">
      <c r="A1272" s="19"/>
      <c r="B1272" s="19"/>
      <c r="C1272" s="29" t="s">
        <v>213</v>
      </c>
      <c r="D1272" s="37"/>
      <c r="E1272" s="19">
        <v>8</v>
      </c>
      <c r="F1272" s="22">
        <v>67.400000000000006</v>
      </c>
      <c r="G1272" s="23">
        <v>2500</v>
      </c>
      <c r="H1272" s="24">
        <f t="shared" si="747"/>
        <v>168500</v>
      </c>
      <c r="I1272" s="23">
        <v>0</v>
      </c>
      <c r="J1272" s="23">
        <f t="shared" si="748"/>
        <v>168500</v>
      </c>
      <c r="K1272" s="32"/>
      <c r="L1272" s="33"/>
      <c r="M1272" s="34"/>
      <c r="N1272" s="35">
        <f t="shared" si="740"/>
        <v>16188610</v>
      </c>
    </row>
    <row r="1273" spans="1:14" s="18" customFormat="1" ht="24" hidden="1" customHeight="1" x14ac:dyDescent="0.3">
      <c r="A1273" s="19"/>
      <c r="B1273" s="19">
        <v>30</v>
      </c>
      <c r="C1273" s="29" t="s">
        <v>158</v>
      </c>
      <c r="D1273" s="21"/>
      <c r="E1273" s="19"/>
      <c r="F1273" s="22"/>
      <c r="G1273" s="23"/>
      <c r="H1273" s="24"/>
      <c r="I1273" s="23"/>
      <c r="J1273" s="23"/>
      <c r="K1273" s="32"/>
      <c r="L1273" s="33"/>
      <c r="M1273" s="34"/>
      <c r="N1273" s="35">
        <f t="shared" si="740"/>
        <v>16188610</v>
      </c>
    </row>
    <row r="1274" spans="1:14" s="18" customFormat="1" ht="24" hidden="1" customHeight="1" x14ac:dyDescent="0.3">
      <c r="A1274" s="19"/>
      <c r="B1274" s="19"/>
      <c r="C1274" s="29" t="s">
        <v>220</v>
      </c>
      <c r="D1274" s="37"/>
      <c r="E1274" s="19">
        <v>4</v>
      </c>
      <c r="F1274" s="22">
        <v>12</v>
      </c>
      <c r="G1274" s="23">
        <f>500+1000+900</f>
        <v>2400</v>
      </c>
      <c r="H1274" s="24">
        <f t="shared" ref="H1274" si="749">F1274*G1274</f>
        <v>28800</v>
      </c>
      <c r="I1274" s="23">
        <v>0</v>
      </c>
      <c r="J1274" s="23">
        <f t="shared" ref="J1274" si="750">SUM(H1274:I1274)</f>
        <v>28800</v>
      </c>
      <c r="K1274" s="32"/>
      <c r="L1274" s="33"/>
      <c r="M1274" s="34"/>
      <c r="N1274" s="35">
        <f t="shared" si="740"/>
        <v>16217410</v>
      </c>
    </row>
    <row r="1275" spans="1:14" s="18" customFormat="1" ht="24" hidden="1" customHeight="1" x14ac:dyDescent="0.3">
      <c r="A1275" s="19">
        <v>7</v>
      </c>
      <c r="B1275" s="19">
        <v>1</v>
      </c>
      <c r="C1275" s="39" t="s">
        <v>441</v>
      </c>
      <c r="D1275" s="21"/>
      <c r="E1275" s="19"/>
      <c r="F1275" s="22"/>
      <c r="G1275" s="23"/>
      <c r="H1275" s="24"/>
      <c r="I1275" s="23"/>
      <c r="J1275" s="23"/>
      <c r="K1275" s="32"/>
      <c r="L1275" s="33"/>
      <c r="M1275" s="34"/>
      <c r="N1275" s="35">
        <f t="shared" si="740"/>
        <v>16217410</v>
      </c>
    </row>
    <row r="1276" spans="1:14" s="18" customFormat="1" ht="24" hidden="1" customHeight="1" x14ac:dyDescent="0.3">
      <c r="A1276" s="19"/>
      <c r="B1276" s="19"/>
      <c r="C1276" s="29" t="s">
        <v>92</v>
      </c>
      <c r="D1276" s="21"/>
      <c r="E1276" s="19"/>
      <c r="F1276" s="22"/>
      <c r="G1276" s="23"/>
      <c r="H1276" s="24">
        <v>288000</v>
      </c>
      <c r="I1276" s="23">
        <f>H1276*0.1</f>
        <v>28800</v>
      </c>
      <c r="J1276" s="23">
        <f>SUM(H1276:I1276)</f>
        <v>316800</v>
      </c>
      <c r="K1276" s="32"/>
      <c r="L1276" s="33"/>
      <c r="M1276" s="34"/>
      <c r="N1276" s="35">
        <f t="shared" si="740"/>
        <v>16534210</v>
      </c>
    </row>
    <row r="1277" spans="1:14" s="18" customFormat="1" ht="24" hidden="1" customHeight="1" x14ac:dyDescent="0.3">
      <c r="A1277" s="19"/>
      <c r="B1277" s="19">
        <v>1</v>
      </c>
      <c r="C1277" s="29" t="s">
        <v>457</v>
      </c>
      <c r="D1277" s="21"/>
      <c r="E1277" s="19"/>
      <c r="F1277" s="22"/>
      <c r="G1277" s="23"/>
      <c r="H1277" s="24"/>
      <c r="I1277" s="23"/>
      <c r="J1277" s="23"/>
      <c r="K1277" s="32"/>
      <c r="L1277" s="33"/>
      <c r="M1277" s="34"/>
      <c r="N1277" s="35">
        <f t="shared" si="740"/>
        <v>16534210</v>
      </c>
    </row>
    <row r="1278" spans="1:14" s="18" customFormat="1" ht="24" hidden="1" customHeight="1" x14ac:dyDescent="0.3">
      <c r="A1278" s="19"/>
      <c r="B1278" s="19"/>
      <c r="C1278" s="29" t="s">
        <v>105</v>
      </c>
      <c r="D1278" s="21"/>
      <c r="E1278" s="19"/>
      <c r="F1278" s="22"/>
      <c r="G1278" s="23"/>
      <c r="H1278" s="24">
        <v>108000</v>
      </c>
      <c r="I1278" s="23">
        <f>H1278*0.1</f>
        <v>10800</v>
      </c>
      <c r="J1278" s="23">
        <f>SUM(H1278:I1278)</f>
        <v>118800</v>
      </c>
      <c r="K1278" s="32"/>
      <c r="L1278" s="33"/>
      <c r="M1278" s="34"/>
      <c r="N1278" s="35">
        <f t="shared" si="740"/>
        <v>16653010</v>
      </c>
    </row>
    <row r="1279" spans="1:14" s="18" customFormat="1" ht="24" hidden="1" customHeight="1" x14ac:dyDescent="0.3">
      <c r="A1279" s="19"/>
      <c r="B1279" s="19">
        <v>2</v>
      </c>
      <c r="C1279" s="39" t="s">
        <v>399</v>
      </c>
      <c r="D1279" s="21"/>
      <c r="E1279" s="19"/>
      <c r="F1279" s="22"/>
      <c r="G1279" s="23"/>
      <c r="H1279" s="24"/>
      <c r="I1279" s="23"/>
      <c r="J1279" s="23"/>
      <c r="K1279" s="32"/>
      <c r="L1279" s="33"/>
      <c r="M1279" s="34"/>
      <c r="N1279" s="35">
        <f t="shared" si="740"/>
        <v>16653010</v>
      </c>
    </row>
    <row r="1280" spans="1:14" s="18" customFormat="1" ht="24" hidden="1" customHeight="1" x14ac:dyDescent="0.3">
      <c r="A1280" s="19"/>
      <c r="B1280" s="19"/>
      <c r="C1280" s="36" t="s">
        <v>48</v>
      </c>
      <c r="D1280" s="21"/>
      <c r="E1280" s="19">
        <v>12</v>
      </c>
      <c r="F1280" s="22">
        <v>90.1</v>
      </c>
      <c r="G1280" s="23">
        <f>2000+500+950+200</f>
        <v>3650</v>
      </c>
      <c r="H1280" s="24">
        <f t="shared" ref="H1280" si="751">F1280*G1280</f>
        <v>328865</v>
      </c>
      <c r="I1280" s="23">
        <v>0</v>
      </c>
      <c r="J1280" s="23">
        <f t="shared" ref="J1280" si="752">SUM(H1280:I1280)</f>
        <v>328865</v>
      </c>
      <c r="K1280" s="32"/>
      <c r="L1280" s="33"/>
      <c r="M1280" s="34"/>
      <c r="N1280" s="35">
        <f t="shared" si="740"/>
        <v>16981875</v>
      </c>
    </row>
    <row r="1281" spans="1:14" s="18" customFormat="1" ht="24" hidden="1" customHeight="1" x14ac:dyDescent="0.3">
      <c r="A1281" s="19"/>
      <c r="B1281" s="19">
        <v>2</v>
      </c>
      <c r="C1281" s="39" t="s">
        <v>458</v>
      </c>
      <c r="D1281" s="37"/>
      <c r="E1281" s="19"/>
      <c r="F1281" s="22"/>
      <c r="G1281" s="23"/>
      <c r="H1281" s="24"/>
      <c r="I1281" s="23"/>
      <c r="J1281" s="23"/>
      <c r="K1281" s="32"/>
      <c r="L1281" s="33"/>
      <c r="M1281" s="34"/>
      <c r="N1281" s="35">
        <f t="shared" si="740"/>
        <v>16981875</v>
      </c>
    </row>
    <row r="1282" spans="1:14" s="18" customFormat="1" ht="24" hidden="1" customHeight="1" x14ac:dyDescent="0.3">
      <c r="A1282" s="19"/>
      <c r="B1282" s="19"/>
      <c r="C1282" s="29" t="s">
        <v>126</v>
      </c>
      <c r="D1282" s="21"/>
      <c r="E1282" s="19">
        <v>12</v>
      </c>
      <c r="F1282" s="22">
        <v>112.9</v>
      </c>
      <c r="G1282" s="23">
        <f>500+1000+900+150</f>
        <v>2550</v>
      </c>
      <c r="H1282" s="24">
        <f t="shared" ref="H1282:H1284" si="753">F1282*G1282</f>
        <v>287895</v>
      </c>
      <c r="I1282" s="23">
        <v>0</v>
      </c>
      <c r="J1282" s="23">
        <f t="shared" ref="J1282:J1284" si="754">SUM(H1282:I1282)</f>
        <v>287895</v>
      </c>
      <c r="K1282" s="32"/>
      <c r="L1282" s="33"/>
      <c r="M1282" s="34"/>
      <c r="N1282" s="35">
        <f t="shared" si="740"/>
        <v>17269770</v>
      </c>
    </row>
    <row r="1283" spans="1:14" s="18" customFormat="1" ht="24" hidden="1" customHeight="1" x14ac:dyDescent="0.3">
      <c r="A1283" s="19"/>
      <c r="B1283" s="19"/>
      <c r="C1283" s="29" t="s">
        <v>459</v>
      </c>
      <c r="D1283" s="21"/>
      <c r="E1283" s="19">
        <v>12</v>
      </c>
      <c r="F1283" s="22">
        <v>112.9</v>
      </c>
      <c r="G1283" s="23">
        <f>800+1000+900+150</f>
        <v>2850</v>
      </c>
      <c r="H1283" s="24">
        <f t="shared" si="753"/>
        <v>321765</v>
      </c>
      <c r="I1283" s="23">
        <v>0</v>
      </c>
      <c r="J1283" s="23">
        <f t="shared" si="754"/>
        <v>321765</v>
      </c>
      <c r="K1283" s="32"/>
      <c r="L1283" s="33"/>
      <c r="M1283" s="34"/>
      <c r="N1283" s="35">
        <f t="shared" si="740"/>
        <v>17591535</v>
      </c>
    </row>
    <row r="1284" spans="1:14" s="18" customFormat="1" ht="24" hidden="1" customHeight="1" x14ac:dyDescent="0.3">
      <c r="A1284" s="19"/>
      <c r="B1284" s="19"/>
      <c r="C1284" s="39" t="s">
        <v>107</v>
      </c>
      <c r="D1284" s="21"/>
      <c r="E1284" s="19">
        <v>12</v>
      </c>
      <c r="F1284" s="22">
        <v>59.8</v>
      </c>
      <c r="G1284" s="23">
        <f>500+500+750</f>
        <v>1750</v>
      </c>
      <c r="H1284" s="24">
        <f t="shared" si="753"/>
        <v>104650</v>
      </c>
      <c r="I1284" s="23">
        <v>0</v>
      </c>
      <c r="J1284" s="23">
        <f t="shared" si="754"/>
        <v>104650</v>
      </c>
      <c r="K1284" s="32"/>
      <c r="L1284" s="33"/>
      <c r="M1284" s="34"/>
      <c r="N1284" s="35">
        <f t="shared" si="740"/>
        <v>17696185</v>
      </c>
    </row>
    <row r="1285" spans="1:14" s="18" customFormat="1" ht="24" hidden="1" customHeight="1" x14ac:dyDescent="0.3">
      <c r="A1285" s="19"/>
      <c r="B1285" s="19">
        <v>2</v>
      </c>
      <c r="C1285" s="29" t="s">
        <v>444</v>
      </c>
      <c r="D1285" s="37"/>
      <c r="E1285" s="19"/>
      <c r="F1285" s="22"/>
      <c r="G1285" s="23"/>
      <c r="H1285" s="24"/>
      <c r="I1285" s="23"/>
      <c r="J1285" s="23"/>
      <c r="K1285" s="32"/>
      <c r="L1285" s="33"/>
      <c r="M1285" s="34"/>
      <c r="N1285" s="38">
        <f t="shared" si="740"/>
        <v>17696185</v>
      </c>
    </row>
    <row r="1286" spans="1:14" s="18" customFormat="1" ht="24" hidden="1" customHeight="1" x14ac:dyDescent="0.3">
      <c r="A1286" s="19"/>
      <c r="B1286" s="19"/>
      <c r="C1286" s="29" t="s">
        <v>92</v>
      </c>
      <c r="D1286" s="21"/>
      <c r="E1286" s="19"/>
      <c r="F1286" s="22"/>
      <c r="G1286" s="23"/>
      <c r="H1286" s="24">
        <v>666000</v>
      </c>
      <c r="I1286" s="23">
        <f>H1286*0.1</f>
        <v>66600</v>
      </c>
      <c r="J1286" s="23">
        <f>SUM(H1286:I1286)</f>
        <v>732600</v>
      </c>
      <c r="K1286" s="32"/>
      <c r="L1286" s="33"/>
      <c r="M1286" s="34"/>
      <c r="N1286" s="38">
        <f t="shared" si="740"/>
        <v>18428785</v>
      </c>
    </row>
    <row r="1287" spans="1:14" s="18" customFormat="1" ht="24" hidden="1" customHeight="1" x14ac:dyDescent="0.3">
      <c r="A1287" s="19"/>
      <c r="B1287" s="19"/>
      <c r="C1287" s="39"/>
      <c r="D1287" s="21"/>
      <c r="E1287" s="19"/>
      <c r="F1287" s="22"/>
      <c r="G1287" s="23"/>
      <c r="H1287" s="24"/>
      <c r="I1287" s="23"/>
      <c r="J1287" s="23"/>
      <c r="K1287" s="32"/>
      <c r="L1287" s="33"/>
      <c r="M1287" s="34"/>
      <c r="N1287" s="38">
        <f t="shared" si="740"/>
        <v>18428785</v>
      </c>
    </row>
    <row r="1288" spans="1:14" s="2" customFormat="1" ht="27" hidden="1" customHeight="1" thickBot="1" x14ac:dyDescent="0.35">
      <c r="A1288" s="1"/>
      <c r="B1288" s="1"/>
      <c r="C1288" s="1"/>
      <c r="E1288" s="86" t="s">
        <v>0</v>
      </c>
      <c r="F1288" s="86"/>
      <c r="G1288" s="86"/>
      <c r="H1288" s="86"/>
      <c r="I1288" s="86"/>
      <c r="J1288" s="86"/>
      <c r="K1288" s="1"/>
      <c r="L1288" s="3"/>
      <c r="M1288" s="3"/>
      <c r="N1288" s="1"/>
    </row>
    <row r="1289" spans="1:14" s="2" customFormat="1" ht="24" hidden="1" customHeight="1" thickTop="1" x14ac:dyDescent="0.3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3"/>
      <c r="M1289" s="3"/>
      <c r="N1289" s="1"/>
    </row>
    <row r="1290" spans="1:14" s="2" customFormat="1" ht="24" hidden="1" customHeight="1" thickBot="1" x14ac:dyDescent="0.35">
      <c r="A1290" s="2" t="s">
        <v>1</v>
      </c>
      <c r="C1290" s="4"/>
      <c r="D1290" s="4"/>
      <c r="E1290" s="5"/>
      <c r="F1290" s="6"/>
      <c r="G1290" s="7"/>
      <c r="H1290" s="7"/>
      <c r="I1290" s="7"/>
      <c r="J1290" s="8"/>
      <c r="K1290" s="9"/>
      <c r="L1290" s="10"/>
      <c r="M1290" s="11"/>
      <c r="N1290" s="12" t="s">
        <v>2</v>
      </c>
    </row>
    <row r="1291" spans="1:14" s="18" customFormat="1" ht="24" hidden="1" customHeight="1" thickTop="1" thickBot="1" x14ac:dyDescent="0.35">
      <c r="A1291" s="13" t="s">
        <v>3</v>
      </c>
      <c r="B1291" s="13" t="s">
        <v>4</v>
      </c>
      <c r="C1291" s="87" t="s">
        <v>5</v>
      </c>
      <c r="D1291" s="88"/>
      <c r="E1291" s="13" t="s">
        <v>6</v>
      </c>
      <c r="F1291" s="14" t="s">
        <v>7</v>
      </c>
      <c r="G1291" s="15" t="s">
        <v>8</v>
      </c>
      <c r="H1291" s="15" t="s">
        <v>9</v>
      </c>
      <c r="I1291" s="15" t="s">
        <v>10</v>
      </c>
      <c r="J1291" s="15" t="s">
        <v>11</v>
      </c>
      <c r="K1291" s="16" t="s">
        <v>12</v>
      </c>
      <c r="L1291" s="89" t="s">
        <v>13</v>
      </c>
      <c r="M1291" s="90"/>
      <c r="N1291" s="17" t="s">
        <v>14</v>
      </c>
    </row>
    <row r="1292" spans="1:14" s="18" customFormat="1" ht="24" hidden="1" customHeight="1" thickTop="1" x14ac:dyDescent="0.3">
      <c r="A1292" s="41"/>
      <c r="B1292" s="41"/>
      <c r="C1292" s="73" t="s">
        <v>41</v>
      </c>
      <c r="D1292" s="40"/>
      <c r="E1292" s="41"/>
      <c r="F1292" s="42"/>
      <c r="G1292" s="43"/>
      <c r="H1292" s="44"/>
      <c r="I1292" s="43"/>
      <c r="J1292" s="43"/>
      <c r="K1292" s="25"/>
      <c r="L1292" s="26"/>
      <c r="M1292" s="27"/>
      <c r="N1292" s="28">
        <f>N1287</f>
        <v>18428785</v>
      </c>
    </row>
    <row r="1293" spans="1:14" s="18" customFormat="1" ht="24" hidden="1" customHeight="1" x14ac:dyDescent="0.3">
      <c r="A1293" s="19">
        <v>7</v>
      </c>
      <c r="B1293" s="19">
        <v>2</v>
      </c>
      <c r="C1293" s="29" t="s">
        <v>433</v>
      </c>
      <c r="D1293" s="21"/>
      <c r="E1293" s="19"/>
      <c r="F1293" s="22"/>
      <c r="G1293" s="23"/>
      <c r="H1293" s="24"/>
      <c r="I1293" s="23"/>
      <c r="J1293" s="23"/>
      <c r="K1293" s="32"/>
      <c r="L1293" s="33"/>
      <c r="M1293" s="34"/>
      <c r="N1293" s="35">
        <f>N1292+J1293+K1293</f>
        <v>18428785</v>
      </c>
    </row>
    <row r="1294" spans="1:14" s="18" customFormat="1" ht="24" hidden="1" customHeight="1" x14ac:dyDescent="0.3">
      <c r="A1294" s="19"/>
      <c r="B1294" s="19"/>
      <c r="C1294" s="39" t="s">
        <v>179</v>
      </c>
      <c r="D1294" s="37"/>
      <c r="E1294" s="19"/>
      <c r="F1294" s="22"/>
      <c r="G1294" s="23"/>
      <c r="H1294" s="24">
        <v>288000</v>
      </c>
      <c r="I1294" s="23">
        <f>H1294*0.1</f>
        <v>28800</v>
      </c>
      <c r="J1294" s="23">
        <f>SUM(H1294:I1294)</f>
        <v>316800</v>
      </c>
      <c r="K1294" s="32"/>
      <c r="L1294" s="33"/>
      <c r="M1294" s="34"/>
      <c r="N1294" s="35">
        <f>N1293+J1294+K1294</f>
        <v>18745585</v>
      </c>
    </row>
    <row r="1295" spans="1:14" s="18" customFormat="1" ht="24" hidden="1" customHeight="1" x14ac:dyDescent="0.3">
      <c r="A1295" s="19"/>
      <c r="B1295" s="19">
        <v>3</v>
      </c>
      <c r="C1295" s="29" t="s">
        <v>460</v>
      </c>
      <c r="D1295" s="21"/>
      <c r="E1295" s="19"/>
      <c r="F1295" s="22"/>
      <c r="G1295" s="23"/>
      <c r="H1295" s="24"/>
      <c r="I1295" s="23"/>
      <c r="J1295" s="23"/>
      <c r="K1295" s="32"/>
      <c r="L1295" s="33"/>
      <c r="M1295" s="34"/>
      <c r="N1295" s="35">
        <f t="shared" ref="N1295:N1326" si="755">N1294+J1295+K1295</f>
        <v>18745585</v>
      </c>
    </row>
    <row r="1296" spans="1:14" s="18" customFormat="1" ht="24" hidden="1" customHeight="1" x14ac:dyDescent="0.3">
      <c r="A1296" s="19"/>
      <c r="B1296" s="19"/>
      <c r="C1296" s="36" t="s">
        <v>61</v>
      </c>
      <c r="D1296" s="21"/>
      <c r="E1296" s="19">
        <v>9</v>
      </c>
      <c r="F1296" s="22">
        <v>92.5</v>
      </c>
      <c r="G1296" s="23">
        <f>2000+2000+500+950+950+200+200+300+300</f>
        <v>7400</v>
      </c>
      <c r="H1296" s="24">
        <f t="shared" ref="H1296:H1297" si="756">F1296*G1296</f>
        <v>684500</v>
      </c>
      <c r="I1296" s="23">
        <v>0</v>
      </c>
      <c r="J1296" s="23">
        <f t="shared" ref="J1296:J1297" si="757">SUM(H1296:I1296)</f>
        <v>684500</v>
      </c>
      <c r="K1296" s="32"/>
      <c r="L1296" s="33"/>
      <c r="M1296" s="34"/>
      <c r="N1296" s="35">
        <f t="shared" si="755"/>
        <v>19430085</v>
      </c>
    </row>
    <row r="1297" spans="1:14" s="18" customFormat="1" ht="24" hidden="1" customHeight="1" x14ac:dyDescent="0.3">
      <c r="A1297" s="19"/>
      <c r="B1297" s="19"/>
      <c r="C1297" s="39" t="s">
        <v>75</v>
      </c>
      <c r="D1297" s="21"/>
      <c r="E1297" s="19">
        <v>6</v>
      </c>
      <c r="F1297" s="22">
        <v>101.7</v>
      </c>
      <c r="G1297" s="23">
        <v>2500</v>
      </c>
      <c r="H1297" s="24">
        <f t="shared" si="756"/>
        <v>254250</v>
      </c>
      <c r="I1297" s="23">
        <v>0</v>
      </c>
      <c r="J1297" s="23">
        <f t="shared" si="757"/>
        <v>254250</v>
      </c>
      <c r="K1297" s="32"/>
      <c r="L1297" s="33"/>
      <c r="M1297" s="34"/>
      <c r="N1297" s="35">
        <f t="shared" si="755"/>
        <v>19684335</v>
      </c>
    </row>
    <row r="1298" spans="1:14" s="18" customFormat="1" ht="24" hidden="1" customHeight="1" x14ac:dyDescent="0.3">
      <c r="A1298" s="19"/>
      <c r="B1298" s="19">
        <v>3</v>
      </c>
      <c r="C1298" s="29" t="s">
        <v>461</v>
      </c>
      <c r="D1298" s="21"/>
      <c r="E1298" s="19"/>
      <c r="F1298" s="22"/>
      <c r="G1298" s="23"/>
      <c r="H1298" s="24"/>
      <c r="I1298" s="23"/>
      <c r="J1298" s="23"/>
      <c r="K1298" s="32"/>
      <c r="L1298" s="33"/>
      <c r="M1298" s="34"/>
      <c r="N1298" s="35">
        <f t="shared" si="755"/>
        <v>19684335</v>
      </c>
    </row>
    <row r="1299" spans="1:14" s="18" customFormat="1" ht="24" hidden="1" customHeight="1" x14ac:dyDescent="0.3">
      <c r="A1299" s="19"/>
      <c r="B1299" s="19"/>
      <c r="C1299" s="36" t="s">
        <v>462</v>
      </c>
      <c r="D1299" s="21"/>
      <c r="E1299" s="19">
        <v>18</v>
      </c>
      <c r="F1299" s="22">
        <v>409.9</v>
      </c>
      <c r="G1299" s="23">
        <f>2400+900+1100+300</f>
        <v>4700</v>
      </c>
      <c r="H1299" s="24">
        <f t="shared" ref="H1299" si="758">F1299*G1299</f>
        <v>1926530</v>
      </c>
      <c r="I1299" s="23">
        <v>0</v>
      </c>
      <c r="J1299" s="23">
        <f t="shared" ref="J1299" si="759">SUM(H1299:I1299)</f>
        <v>1926530</v>
      </c>
      <c r="K1299" s="32"/>
      <c r="L1299" s="33"/>
      <c r="M1299" s="34"/>
      <c r="N1299" s="35">
        <f t="shared" si="755"/>
        <v>21610865</v>
      </c>
    </row>
    <row r="1300" spans="1:14" s="18" customFormat="1" ht="24" hidden="1" customHeight="1" x14ac:dyDescent="0.3">
      <c r="A1300" s="19"/>
      <c r="B1300" s="19">
        <v>3</v>
      </c>
      <c r="C1300" s="29" t="s">
        <v>399</v>
      </c>
      <c r="D1300" s="21"/>
      <c r="E1300" s="19"/>
      <c r="F1300" s="22"/>
      <c r="G1300" s="23"/>
      <c r="H1300" s="24"/>
      <c r="I1300" s="23"/>
      <c r="J1300" s="23"/>
      <c r="K1300" s="32"/>
      <c r="L1300" s="33"/>
      <c r="M1300" s="34"/>
      <c r="N1300" s="35">
        <f t="shared" si="755"/>
        <v>21610865</v>
      </c>
    </row>
    <row r="1301" spans="1:14" s="18" customFormat="1" ht="24" hidden="1" customHeight="1" x14ac:dyDescent="0.3">
      <c r="A1301" s="19"/>
      <c r="B1301" s="19"/>
      <c r="C1301" s="36" t="s">
        <v>48</v>
      </c>
      <c r="D1301" s="37"/>
      <c r="E1301" s="19">
        <v>1</v>
      </c>
      <c r="F1301" s="22">
        <v>3</v>
      </c>
      <c r="G1301" s="23">
        <f>2000+500+950+200</f>
        <v>3650</v>
      </c>
      <c r="H1301" s="24">
        <f t="shared" ref="H1301:H1302" si="760">F1301*G1301</f>
        <v>10950</v>
      </c>
      <c r="I1301" s="23">
        <v>0</v>
      </c>
      <c r="J1301" s="23">
        <f t="shared" ref="J1301:J1302" si="761">SUM(H1301:I1301)</f>
        <v>10950</v>
      </c>
      <c r="K1301" s="32"/>
      <c r="L1301" s="33"/>
      <c r="M1301" s="34"/>
      <c r="N1301" s="35">
        <f t="shared" si="755"/>
        <v>21621815</v>
      </c>
    </row>
    <row r="1302" spans="1:14" s="18" customFormat="1" ht="24" hidden="1" customHeight="1" x14ac:dyDescent="0.3">
      <c r="A1302" s="19"/>
      <c r="B1302" s="19"/>
      <c r="C1302" s="29" t="s">
        <v>75</v>
      </c>
      <c r="D1302" s="21"/>
      <c r="E1302" s="19">
        <v>1</v>
      </c>
      <c r="F1302" s="22">
        <v>5.6</v>
      </c>
      <c r="G1302" s="23">
        <v>2500</v>
      </c>
      <c r="H1302" s="24">
        <f t="shared" si="760"/>
        <v>14000</v>
      </c>
      <c r="I1302" s="23">
        <v>0</v>
      </c>
      <c r="J1302" s="23">
        <f t="shared" si="761"/>
        <v>14000</v>
      </c>
      <c r="K1302" s="32"/>
      <c r="L1302" s="33"/>
      <c r="M1302" s="34"/>
      <c r="N1302" s="35">
        <f t="shared" si="755"/>
        <v>21635815</v>
      </c>
    </row>
    <row r="1303" spans="1:14" s="18" customFormat="1" ht="24" hidden="1" customHeight="1" x14ac:dyDescent="0.3">
      <c r="A1303" s="19"/>
      <c r="B1303" s="19">
        <v>3</v>
      </c>
      <c r="C1303" s="29" t="s">
        <v>243</v>
      </c>
      <c r="D1303" s="21"/>
      <c r="E1303" s="19"/>
      <c r="F1303" s="22"/>
      <c r="G1303" s="23"/>
      <c r="H1303" s="24"/>
      <c r="I1303" s="23"/>
      <c r="J1303" s="23"/>
      <c r="K1303" s="32"/>
      <c r="L1303" s="33"/>
      <c r="M1303" s="34"/>
      <c r="N1303" s="35">
        <f t="shared" si="755"/>
        <v>21635815</v>
      </c>
    </row>
    <row r="1304" spans="1:14" s="18" customFormat="1" ht="24" hidden="1" customHeight="1" x14ac:dyDescent="0.3">
      <c r="A1304" s="19"/>
      <c r="B1304" s="19"/>
      <c r="C1304" s="36" t="s">
        <v>61</v>
      </c>
      <c r="D1304" s="21"/>
      <c r="E1304" s="19">
        <v>5</v>
      </c>
      <c r="F1304" s="22">
        <v>26.7</v>
      </c>
      <c r="G1304" s="23">
        <f>2000+2000+500+950+950+200+200+300+300</f>
        <v>7400</v>
      </c>
      <c r="H1304" s="24">
        <f t="shared" ref="H1304:H1305" si="762">F1304*G1304</f>
        <v>197580</v>
      </c>
      <c r="I1304" s="23">
        <v>0</v>
      </c>
      <c r="J1304" s="23">
        <f t="shared" ref="J1304:J1305" si="763">SUM(H1304:I1304)</f>
        <v>197580</v>
      </c>
      <c r="K1304" s="32"/>
      <c r="L1304" s="33"/>
      <c r="M1304" s="34"/>
      <c r="N1304" s="35">
        <f t="shared" si="755"/>
        <v>21833395</v>
      </c>
    </row>
    <row r="1305" spans="1:14" s="18" customFormat="1" ht="24" hidden="1" customHeight="1" x14ac:dyDescent="0.3">
      <c r="A1305" s="19"/>
      <c r="B1305" s="19"/>
      <c r="C1305" s="36" t="s">
        <v>112</v>
      </c>
      <c r="D1305" s="21"/>
      <c r="E1305" s="19">
        <v>49</v>
      </c>
      <c r="F1305" s="22">
        <v>727.6</v>
      </c>
      <c r="G1305" s="23">
        <f>2400+900+900+150+250</f>
        <v>4600</v>
      </c>
      <c r="H1305" s="24">
        <f t="shared" si="762"/>
        <v>3346960</v>
      </c>
      <c r="I1305" s="23">
        <v>0</v>
      </c>
      <c r="J1305" s="23">
        <f t="shared" si="763"/>
        <v>3346960</v>
      </c>
      <c r="K1305" s="32"/>
      <c r="L1305" s="33"/>
      <c r="M1305" s="34"/>
      <c r="N1305" s="35">
        <f t="shared" si="755"/>
        <v>25180355</v>
      </c>
    </row>
    <row r="1306" spans="1:14" s="18" customFormat="1" ht="24" hidden="1" customHeight="1" x14ac:dyDescent="0.3">
      <c r="A1306" s="19"/>
      <c r="B1306" s="19">
        <v>4</v>
      </c>
      <c r="C1306" s="29" t="s">
        <v>463</v>
      </c>
      <c r="D1306" s="21"/>
      <c r="E1306" s="19"/>
      <c r="F1306" s="22"/>
      <c r="G1306" s="23"/>
      <c r="H1306" s="24"/>
      <c r="I1306" s="23"/>
      <c r="J1306" s="23"/>
      <c r="K1306" s="32"/>
      <c r="L1306" s="33"/>
      <c r="M1306" s="34"/>
      <c r="N1306" s="35">
        <f t="shared" si="755"/>
        <v>25180355</v>
      </c>
    </row>
    <row r="1307" spans="1:14" s="18" customFormat="1" ht="24" hidden="1" customHeight="1" x14ac:dyDescent="0.3">
      <c r="A1307" s="19"/>
      <c r="B1307" s="19"/>
      <c r="C1307" s="29" t="s">
        <v>92</v>
      </c>
      <c r="D1307" s="21"/>
      <c r="E1307" s="19"/>
      <c r="F1307" s="22"/>
      <c r="G1307" s="23"/>
      <c r="H1307" s="24">
        <v>288000</v>
      </c>
      <c r="I1307" s="23">
        <f>H1307*0.1</f>
        <v>28800</v>
      </c>
      <c r="J1307" s="23">
        <f>SUM(H1307:I1307)</f>
        <v>316800</v>
      </c>
      <c r="K1307" s="32"/>
      <c r="L1307" s="33"/>
      <c r="M1307" s="34"/>
      <c r="N1307" s="35">
        <f t="shared" si="755"/>
        <v>25497155</v>
      </c>
    </row>
    <row r="1308" spans="1:14" s="18" customFormat="1" ht="24" hidden="1" customHeight="1" x14ac:dyDescent="0.3">
      <c r="A1308" s="19"/>
      <c r="B1308" s="19">
        <v>4</v>
      </c>
      <c r="C1308" s="39" t="s">
        <v>464</v>
      </c>
      <c r="D1308" s="21"/>
      <c r="E1308" s="19"/>
      <c r="F1308" s="22"/>
      <c r="G1308" s="23"/>
      <c r="H1308" s="24"/>
      <c r="I1308" s="23"/>
      <c r="J1308" s="23"/>
      <c r="K1308" s="32"/>
      <c r="L1308" s="33"/>
      <c r="M1308" s="34"/>
      <c r="N1308" s="35">
        <f t="shared" si="755"/>
        <v>25497155</v>
      </c>
    </row>
    <row r="1309" spans="1:14" s="18" customFormat="1" ht="24" hidden="1" customHeight="1" x14ac:dyDescent="0.3">
      <c r="A1309" s="19"/>
      <c r="B1309" s="19"/>
      <c r="C1309" s="29" t="s">
        <v>45</v>
      </c>
      <c r="D1309" s="37"/>
      <c r="E1309" s="19"/>
      <c r="F1309" s="22"/>
      <c r="G1309" s="23"/>
      <c r="H1309" s="24">
        <v>140000</v>
      </c>
      <c r="I1309" s="23">
        <f>H1309*0.1</f>
        <v>14000</v>
      </c>
      <c r="J1309" s="23">
        <f>SUM(H1309:I1309)</f>
        <v>154000</v>
      </c>
      <c r="K1309" s="32"/>
      <c r="L1309" s="33"/>
      <c r="M1309" s="34"/>
      <c r="N1309" s="35">
        <f t="shared" si="755"/>
        <v>25651155</v>
      </c>
    </row>
    <row r="1310" spans="1:14" s="18" customFormat="1" ht="24" hidden="1" customHeight="1" x14ac:dyDescent="0.3">
      <c r="A1310" s="19"/>
      <c r="B1310" s="19">
        <v>5</v>
      </c>
      <c r="C1310" s="29" t="s">
        <v>465</v>
      </c>
      <c r="D1310" s="21"/>
      <c r="E1310" s="19"/>
      <c r="F1310" s="22"/>
      <c r="G1310" s="23"/>
      <c r="H1310" s="24"/>
      <c r="I1310" s="23"/>
      <c r="J1310" s="23"/>
      <c r="K1310" s="32"/>
      <c r="L1310" s="33"/>
      <c r="M1310" s="34"/>
      <c r="N1310" s="35">
        <f t="shared" si="755"/>
        <v>25651155</v>
      </c>
    </row>
    <row r="1311" spans="1:14" s="18" customFormat="1" ht="24" hidden="1" customHeight="1" x14ac:dyDescent="0.3">
      <c r="A1311" s="19"/>
      <c r="B1311" s="19"/>
      <c r="C1311" s="29" t="s">
        <v>45</v>
      </c>
      <c r="D1311" s="37"/>
      <c r="E1311" s="19"/>
      <c r="F1311" s="22"/>
      <c r="G1311" s="23"/>
      <c r="H1311" s="24">
        <v>160000</v>
      </c>
      <c r="I1311" s="23">
        <f>H1311*0.1</f>
        <v>16000</v>
      </c>
      <c r="J1311" s="23">
        <f>SUM(H1311:I1311)</f>
        <v>176000</v>
      </c>
      <c r="K1311" s="32"/>
      <c r="L1311" s="33"/>
      <c r="M1311" s="34"/>
      <c r="N1311" s="35">
        <f t="shared" si="755"/>
        <v>25827155</v>
      </c>
    </row>
    <row r="1312" spans="1:14" s="18" customFormat="1" ht="24" hidden="1" customHeight="1" x14ac:dyDescent="0.3">
      <c r="A1312" s="19"/>
      <c r="B1312" s="19">
        <v>7</v>
      </c>
      <c r="C1312" s="29" t="s">
        <v>466</v>
      </c>
      <c r="D1312" s="21"/>
      <c r="E1312" s="19"/>
      <c r="F1312" s="22"/>
      <c r="G1312" s="23"/>
      <c r="H1312" s="24"/>
      <c r="I1312" s="23"/>
      <c r="J1312" s="23"/>
      <c r="K1312" s="32"/>
      <c r="L1312" s="33"/>
      <c r="M1312" s="34"/>
      <c r="N1312" s="35">
        <f t="shared" si="755"/>
        <v>25827155</v>
      </c>
    </row>
    <row r="1313" spans="1:14" s="18" customFormat="1" ht="24" hidden="1" customHeight="1" x14ac:dyDescent="0.3">
      <c r="A1313" s="19"/>
      <c r="B1313" s="19"/>
      <c r="C1313" s="36" t="s">
        <v>21</v>
      </c>
      <c r="D1313" s="37"/>
      <c r="E1313" s="19">
        <v>2</v>
      </c>
      <c r="F1313" s="22">
        <v>42.9</v>
      </c>
      <c r="G1313" s="23">
        <f>2000+500+950+200+300</f>
        <v>3950</v>
      </c>
      <c r="H1313" s="24">
        <f t="shared" ref="H1313" si="764">F1313*G1313</f>
        <v>169455</v>
      </c>
      <c r="I1313" s="23">
        <v>0</v>
      </c>
      <c r="J1313" s="23">
        <f t="shared" ref="J1313" si="765">SUM(H1313:I1313)</f>
        <v>169455</v>
      </c>
      <c r="K1313" s="32"/>
      <c r="L1313" s="33"/>
      <c r="M1313" s="34"/>
      <c r="N1313" s="35">
        <f t="shared" si="755"/>
        <v>25996610</v>
      </c>
    </row>
    <row r="1314" spans="1:14" s="18" customFormat="1" ht="24" hidden="1" customHeight="1" x14ac:dyDescent="0.3">
      <c r="A1314" s="19"/>
      <c r="B1314" s="19">
        <v>7</v>
      </c>
      <c r="C1314" s="29" t="s">
        <v>467</v>
      </c>
      <c r="D1314" s="21"/>
      <c r="E1314" s="19"/>
      <c r="F1314" s="22"/>
      <c r="G1314" s="23"/>
      <c r="H1314" s="24"/>
      <c r="I1314" s="23"/>
      <c r="J1314" s="23"/>
      <c r="K1314" s="32"/>
      <c r="L1314" s="33"/>
      <c r="M1314" s="34"/>
      <c r="N1314" s="35">
        <f t="shared" si="755"/>
        <v>25996610</v>
      </c>
    </row>
    <row r="1315" spans="1:14" s="18" customFormat="1" ht="24" hidden="1" customHeight="1" x14ac:dyDescent="0.3">
      <c r="A1315" s="19"/>
      <c r="B1315" s="19"/>
      <c r="C1315" s="36" t="s">
        <v>21</v>
      </c>
      <c r="D1315" s="21"/>
      <c r="E1315" s="19">
        <v>30</v>
      </c>
      <c r="F1315" s="22">
        <v>470.6</v>
      </c>
      <c r="G1315" s="23">
        <f>2000+500+950+200+300</f>
        <v>3950</v>
      </c>
      <c r="H1315" s="24">
        <f t="shared" ref="H1315:H1316" si="766">F1315*G1315</f>
        <v>1858870</v>
      </c>
      <c r="I1315" s="23">
        <v>0</v>
      </c>
      <c r="J1315" s="23">
        <f t="shared" ref="J1315:J1316" si="767">SUM(H1315:I1315)</f>
        <v>1858870</v>
      </c>
      <c r="K1315" s="32"/>
      <c r="L1315" s="33"/>
      <c r="M1315" s="34"/>
      <c r="N1315" s="35">
        <f t="shared" si="755"/>
        <v>27855480</v>
      </c>
    </row>
    <row r="1316" spans="1:14" s="18" customFormat="1" ht="24" hidden="1" customHeight="1" x14ac:dyDescent="0.3">
      <c r="A1316" s="19"/>
      <c r="B1316" s="19"/>
      <c r="C1316" s="39" t="s">
        <v>75</v>
      </c>
      <c r="D1316" s="37"/>
      <c r="E1316" s="19">
        <v>2</v>
      </c>
      <c r="F1316" s="22">
        <v>43.7</v>
      </c>
      <c r="G1316" s="23">
        <v>2500</v>
      </c>
      <c r="H1316" s="24">
        <f t="shared" si="766"/>
        <v>109250</v>
      </c>
      <c r="I1316" s="23">
        <v>0</v>
      </c>
      <c r="J1316" s="23">
        <f t="shared" si="767"/>
        <v>109250</v>
      </c>
      <c r="K1316" s="32"/>
      <c r="L1316" s="33"/>
      <c r="M1316" s="34"/>
      <c r="N1316" s="35">
        <f t="shared" si="755"/>
        <v>27964730</v>
      </c>
    </row>
    <row r="1317" spans="1:14" s="18" customFormat="1" ht="24" hidden="1" customHeight="1" x14ac:dyDescent="0.3">
      <c r="A1317" s="19"/>
      <c r="B1317" s="19">
        <v>7</v>
      </c>
      <c r="C1317" s="29" t="s">
        <v>340</v>
      </c>
      <c r="D1317" s="21"/>
      <c r="E1317" s="19"/>
      <c r="F1317" s="22"/>
      <c r="G1317" s="23"/>
      <c r="H1317" s="24"/>
      <c r="I1317" s="23"/>
      <c r="J1317" s="23"/>
      <c r="K1317" s="32"/>
      <c r="L1317" s="33"/>
      <c r="M1317" s="34"/>
      <c r="N1317" s="35">
        <f t="shared" si="755"/>
        <v>27964730</v>
      </c>
    </row>
    <row r="1318" spans="1:14" s="18" customFormat="1" ht="24" hidden="1" customHeight="1" x14ac:dyDescent="0.3">
      <c r="A1318" s="19"/>
      <c r="B1318" s="19"/>
      <c r="C1318" s="29" t="s">
        <v>435</v>
      </c>
      <c r="D1318" s="21"/>
      <c r="E1318" s="19">
        <v>2</v>
      </c>
      <c r="F1318" s="22">
        <v>54.8</v>
      </c>
      <c r="G1318" s="23">
        <v>1540</v>
      </c>
      <c r="H1318" s="24">
        <f t="shared" ref="H1318" si="768">F1318*G1318</f>
        <v>84392</v>
      </c>
      <c r="I1318" s="23">
        <v>0</v>
      </c>
      <c r="J1318" s="23">
        <f t="shared" ref="J1318" si="769">SUM(H1318:I1318)</f>
        <v>84392</v>
      </c>
      <c r="K1318" s="32"/>
      <c r="L1318" s="33"/>
      <c r="M1318" s="34"/>
      <c r="N1318" s="35">
        <f t="shared" si="755"/>
        <v>28049122</v>
      </c>
    </row>
    <row r="1319" spans="1:14" s="18" customFormat="1" ht="24" hidden="1" customHeight="1" x14ac:dyDescent="0.3">
      <c r="A1319" s="19"/>
      <c r="B1319" s="19">
        <v>7</v>
      </c>
      <c r="C1319" s="29" t="s">
        <v>442</v>
      </c>
      <c r="D1319" s="21"/>
      <c r="E1319" s="19"/>
      <c r="F1319" s="22"/>
      <c r="G1319" s="23"/>
      <c r="H1319" s="24"/>
      <c r="I1319" s="23"/>
      <c r="J1319" s="23"/>
      <c r="K1319" s="32"/>
      <c r="L1319" s="33"/>
      <c r="M1319" s="34"/>
      <c r="N1319" s="35">
        <f t="shared" si="755"/>
        <v>28049122</v>
      </c>
    </row>
    <row r="1320" spans="1:14" s="18" customFormat="1" ht="24" hidden="1" customHeight="1" x14ac:dyDescent="0.3">
      <c r="A1320" s="19"/>
      <c r="B1320" s="19"/>
      <c r="C1320" s="36" t="s">
        <v>443</v>
      </c>
      <c r="D1320" s="21"/>
      <c r="E1320" s="19">
        <v>1</v>
      </c>
      <c r="F1320" s="22">
        <v>3</v>
      </c>
      <c r="G1320" s="23">
        <f>900+1000+950+200</f>
        <v>3050</v>
      </c>
      <c r="H1320" s="24">
        <f t="shared" ref="H1320" si="770">F1320*G1320</f>
        <v>9150</v>
      </c>
      <c r="I1320" s="23">
        <v>0</v>
      </c>
      <c r="J1320" s="23">
        <f t="shared" ref="J1320" si="771">SUM(H1320:I1320)</f>
        <v>9150</v>
      </c>
      <c r="K1320" s="32"/>
      <c r="L1320" s="33"/>
      <c r="M1320" s="34"/>
      <c r="N1320" s="35">
        <f t="shared" si="755"/>
        <v>28058272</v>
      </c>
    </row>
    <row r="1321" spans="1:14" s="18" customFormat="1" ht="24" hidden="1" customHeight="1" x14ac:dyDescent="0.3">
      <c r="A1321" s="19"/>
      <c r="B1321" s="19">
        <v>7</v>
      </c>
      <c r="C1321" s="39" t="s">
        <v>337</v>
      </c>
      <c r="D1321" s="21"/>
      <c r="E1321" s="19"/>
      <c r="F1321" s="22"/>
      <c r="G1321" s="23"/>
      <c r="H1321" s="24"/>
      <c r="I1321" s="23"/>
      <c r="J1321" s="23"/>
      <c r="K1321" s="32"/>
      <c r="L1321" s="33"/>
      <c r="M1321" s="34"/>
      <c r="N1321" s="35">
        <f t="shared" si="755"/>
        <v>28058272</v>
      </c>
    </row>
    <row r="1322" spans="1:14" s="18" customFormat="1" ht="24" hidden="1" customHeight="1" x14ac:dyDescent="0.3">
      <c r="A1322" s="19"/>
      <c r="B1322" s="19"/>
      <c r="C1322" s="36" t="s">
        <v>21</v>
      </c>
      <c r="D1322" s="37"/>
      <c r="E1322" s="19">
        <v>265</v>
      </c>
      <c r="F1322" s="22">
        <v>2093.4</v>
      </c>
      <c r="G1322" s="23">
        <f>2000+500+950+200+300</f>
        <v>3950</v>
      </c>
      <c r="H1322" s="24">
        <f t="shared" ref="H1322:H1323" si="772">F1322*G1322</f>
        <v>8268930</v>
      </c>
      <c r="I1322" s="23">
        <v>0</v>
      </c>
      <c r="J1322" s="23">
        <f t="shared" ref="J1322" si="773">SUM(H1322:I1322)</f>
        <v>8268930</v>
      </c>
      <c r="K1322" s="32"/>
      <c r="L1322" s="33"/>
      <c r="M1322" s="34"/>
      <c r="N1322" s="35">
        <f t="shared" si="755"/>
        <v>36327202</v>
      </c>
    </row>
    <row r="1323" spans="1:14" s="18" customFormat="1" ht="24" hidden="1" customHeight="1" x14ac:dyDescent="0.3">
      <c r="A1323" s="19"/>
      <c r="B1323" s="19"/>
      <c r="C1323" s="29" t="s">
        <v>468</v>
      </c>
      <c r="D1323" s="21"/>
      <c r="E1323" s="19">
        <v>1</v>
      </c>
      <c r="F1323" s="22">
        <v>3</v>
      </c>
      <c r="G1323" s="23">
        <f>800+500+750</f>
        <v>2050</v>
      </c>
      <c r="H1323" s="24">
        <f t="shared" si="772"/>
        <v>6150</v>
      </c>
      <c r="I1323" s="23">
        <v>0</v>
      </c>
      <c r="J1323" s="23">
        <f t="shared" ref="J1323" si="774">SUM(H1323:I1323)</f>
        <v>6150</v>
      </c>
      <c r="K1323" s="32"/>
      <c r="L1323" s="33"/>
      <c r="M1323" s="34"/>
      <c r="N1323" s="35">
        <f t="shared" si="755"/>
        <v>36333352</v>
      </c>
    </row>
    <row r="1324" spans="1:14" s="18" customFormat="1" ht="24" hidden="1" customHeight="1" x14ac:dyDescent="0.3">
      <c r="A1324" s="19"/>
      <c r="B1324" s="19">
        <v>8</v>
      </c>
      <c r="C1324" s="29" t="s">
        <v>469</v>
      </c>
      <c r="D1324" s="37"/>
      <c r="E1324" s="19"/>
      <c r="F1324" s="22"/>
      <c r="G1324" s="23"/>
      <c r="H1324" s="24"/>
      <c r="I1324" s="23"/>
      <c r="J1324" s="23"/>
      <c r="K1324" s="32"/>
      <c r="L1324" s="33"/>
      <c r="M1324" s="34"/>
      <c r="N1324" s="38">
        <f t="shared" si="755"/>
        <v>36333352</v>
      </c>
    </row>
    <row r="1325" spans="1:14" s="18" customFormat="1" ht="24" hidden="1" customHeight="1" x14ac:dyDescent="0.3">
      <c r="A1325" s="19"/>
      <c r="B1325" s="19"/>
      <c r="C1325" s="36" t="s">
        <v>353</v>
      </c>
      <c r="D1325" s="21"/>
      <c r="E1325" s="19">
        <v>78</v>
      </c>
      <c r="F1325" s="22">
        <v>840</v>
      </c>
      <c r="G1325" s="23">
        <f>2000+2000+500+950+950+200+200+300+300</f>
        <v>7400</v>
      </c>
      <c r="H1325" s="24">
        <f t="shared" ref="H1325" si="775">F1325*G1325</f>
        <v>6216000</v>
      </c>
      <c r="I1325" s="23">
        <v>0</v>
      </c>
      <c r="J1325" s="23">
        <f t="shared" ref="J1325" si="776">SUM(H1325:I1325)</f>
        <v>6216000</v>
      </c>
      <c r="K1325" s="32"/>
      <c r="L1325" s="33"/>
      <c r="M1325" s="34"/>
      <c r="N1325" s="38">
        <f t="shared" si="755"/>
        <v>42549352</v>
      </c>
    </row>
    <row r="1326" spans="1:14" s="18" customFormat="1" ht="24" hidden="1" customHeight="1" x14ac:dyDescent="0.3">
      <c r="A1326" s="19"/>
      <c r="B1326" s="19"/>
      <c r="C1326" s="39"/>
      <c r="D1326" s="21"/>
      <c r="E1326" s="19"/>
      <c r="F1326" s="22"/>
      <c r="G1326" s="23"/>
      <c r="H1326" s="24"/>
      <c r="I1326" s="23"/>
      <c r="J1326" s="23"/>
      <c r="K1326" s="32"/>
      <c r="L1326" s="33"/>
      <c r="M1326" s="34"/>
      <c r="N1326" s="38">
        <f t="shared" si="755"/>
        <v>42549352</v>
      </c>
    </row>
    <row r="1327" spans="1:14" s="2" customFormat="1" ht="27" hidden="1" customHeight="1" thickBot="1" x14ac:dyDescent="0.35">
      <c r="A1327" s="1"/>
      <c r="B1327" s="1"/>
      <c r="C1327" s="1"/>
      <c r="E1327" s="86" t="s">
        <v>0</v>
      </c>
      <c r="F1327" s="86"/>
      <c r="G1327" s="86"/>
      <c r="H1327" s="86"/>
      <c r="I1327" s="86"/>
      <c r="J1327" s="86"/>
      <c r="K1327" s="1"/>
      <c r="L1327" s="3"/>
      <c r="M1327" s="3"/>
      <c r="N1327" s="1"/>
    </row>
    <row r="1328" spans="1:14" s="2" customFormat="1" ht="24" hidden="1" customHeight="1" thickTop="1" x14ac:dyDescent="0.3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3"/>
      <c r="M1328" s="3"/>
      <c r="N1328" s="1"/>
    </row>
    <row r="1329" spans="1:14" s="2" customFormat="1" ht="24" hidden="1" customHeight="1" thickBot="1" x14ac:dyDescent="0.35">
      <c r="A1329" s="2" t="s">
        <v>1</v>
      </c>
      <c r="C1329" s="4"/>
      <c r="D1329" s="4"/>
      <c r="E1329" s="5"/>
      <c r="F1329" s="6"/>
      <c r="G1329" s="7"/>
      <c r="H1329" s="7"/>
      <c r="I1329" s="7"/>
      <c r="J1329" s="8"/>
      <c r="K1329" s="9"/>
      <c r="L1329" s="10"/>
      <c r="M1329" s="11"/>
      <c r="N1329" s="12" t="s">
        <v>2</v>
      </c>
    </row>
    <row r="1330" spans="1:14" s="18" customFormat="1" ht="24" hidden="1" customHeight="1" thickTop="1" thickBot="1" x14ac:dyDescent="0.35">
      <c r="A1330" s="13" t="s">
        <v>3</v>
      </c>
      <c r="B1330" s="13" t="s">
        <v>4</v>
      </c>
      <c r="C1330" s="87" t="s">
        <v>5</v>
      </c>
      <c r="D1330" s="88"/>
      <c r="E1330" s="13" t="s">
        <v>6</v>
      </c>
      <c r="F1330" s="14" t="s">
        <v>7</v>
      </c>
      <c r="G1330" s="15" t="s">
        <v>8</v>
      </c>
      <c r="H1330" s="15" t="s">
        <v>9</v>
      </c>
      <c r="I1330" s="15" t="s">
        <v>10</v>
      </c>
      <c r="J1330" s="15" t="s">
        <v>11</v>
      </c>
      <c r="K1330" s="16" t="s">
        <v>12</v>
      </c>
      <c r="L1330" s="89" t="s">
        <v>13</v>
      </c>
      <c r="M1330" s="90"/>
      <c r="N1330" s="17" t="s">
        <v>14</v>
      </c>
    </row>
    <row r="1331" spans="1:14" s="18" customFormat="1" ht="24" hidden="1" customHeight="1" thickTop="1" x14ac:dyDescent="0.3">
      <c r="A1331" s="41"/>
      <c r="B1331" s="41"/>
      <c r="C1331" s="73" t="s">
        <v>41</v>
      </c>
      <c r="D1331" s="40"/>
      <c r="E1331" s="41"/>
      <c r="F1331" s="42"/>
      <c r="G1331" s="43"/>
      <c r="H1331" s="44"/>
      <c r="I1331" s="43"/>
      <c r="J1331" s="43"/>
      <c r="K1331" s="25"/>
      <c r="L1331" s="26"/>
      <c r="M1331" s="27"/>
      <c r="N1331" s="28">
        <f>N1326</f>
        <v>42549352</v>
      </c>
    </row>
    <row r="1332" spans="1:14" s="18" customFormat="1" ht="24" hidden="1" customHeight="1" x14ac:dyDescent="0.3">
      <c r="A1332" s="19">
        <v>7</v>
      </c>
      <c r="B1332" s="19">
        <v>8</v>
      </c>
      <c r="C1332" s="39" t="s">
        <v>470</v>
      </c>
      <c r="D1332" s="21"/>
      <c r="E1332" s="19"/>
      <c r="F1332" s="22"/>
      <c r="G1332" s="23"/>
      <c r="H1332" s="24"/>
      <c r="I1332" s="23"/>
      <c r="J1332" s="23"/>
      <c r="K1332" s="32"/>
      <c r="L1332" s="33"/>
      <c r="M1332" s="34"/>
      <c r="N1332" s="35">
        <f>N1331+J1332+K1332</f>
        <v>42549352</v>
      </c>
    </row>
    <row r="1333" spans="1:14" s="18" customFormat="1" ht="24" hidden="1" customHeight="1" x14ac:dyDescent="0.3">
      <c r="A1333" s="19"/>
      <c r="B1333" s="19"/>
      <c r="C1333" s="36" t="s">
        <v>410</v>
      </c>
      <c r="D1333" s="37"/>
      <c r="E1333" s="19">
        <v>1</v>
      </c>
      <c r="F1333" s="22">
        <v>19.399999999999999</v>
      </c>
      <c r="G1333" s="23">
        <f>2000+1100+950+200</f>
        <v>4250</v>
      </c>
      <c r="H1333" s="24">
        <f t="shared" ref="H1333:H1335" si="777">F1333*G1333</f>
        <v>82450</v>
      </c>
      <c r="I1333" s="23">
        <v>0</v>
      </c>
      <c r="J1333" s="23">
        <f t="shared" ref="J1333:J1335" si="778">SUM(H1333:I1333)</f>
        <v>82450</v>
      </c>
      <c r="K1333" s="32"/>
      <c r="L1333" s="33"/>
      <c r="M1333" s="34"/>
      <c r="N1333" s="35">
        <f>N1332+J1333+K1333</f>
        <v>42631802</v>
      </c>
    </row>
    <row r="1334" spans="1:14" s="18" customFormat="1" ht="24" hidden="1" customHeight="1" x14ac:dyDescent="0.3">
      <c r="A1334" s="19"/>
      <c r="B1334" s="19"/>
      <c r="C1334" s="36" t="s">
        <v>48</v>
      </c>
      <c r="D1334" s="21"/>
      <c r="E1334" s="19">
        <v>24</v>
      </c>
      <c r="F1334" s="22">
        <v>215.8</v>
      </c>
      <c r="G1334" s="23">
        <f>2000+500+950+200</f>
        <v>3650</v>
      </c>
      <c r="H1334" s="24">
        <f t="shared" si="777"/>
        <v>787670</v>
      </c>
      <c r="I1334" s="23">
        <v>0</v>
      </c>
      <c r="J1334" s="23">
        <f t="shared" si="778"/>
        <v>787670</v>
      </c>
      <c r="K1334" s="32"/>
      <c r="L1334" s="33"/>
      <c r="M1334" s="34"/>
      <c r="N1334" s="35">
        <f t="shared" ref="N1334:N1365" si="779">N1333+J1334+K1334</f>
        <v>43419472</v>
      </c>
    </row>
    <row r="1335" spans="1:14" s="18" customFormat="1" ht="24" hidden="1" customHeight="1" x14ac:dyDescent="0.3">
      <c r="A1335" s="19"/>
      <c r="B1335" s="19"/>
      <c r="C1335" s="39" t="s">
        <v>46</v>
      </c>
      <c r="D1335" s="21"/>
      <c r="E1335" s="19">
        <v>44</v>
      </c>
      <c r="F1335" s="22">
        <v>288.60000000000002</v>
      </c>
      <c r="G1335" s="23">
        <v>1950</v>
      </c>
      <c r="H1335" s="24">
        <f t="shared" si="777"/>
        <v>562770</v>
      </c>
      <c r="I1335" s="23">
        <v>0</v>
      </c>
      <c r="J1335" s="23">
        <f t="shared" si="778"/>
        <v>562770</v>
      </c>
      <c r="K1335" s="32"/>
      <c r="L1335" s="33"/>
      <c r="M1335" s="34"/>
      <c r="N1335" s="35">
        <f t="shared" si="779"/>
        <v>43982242</v>
      </c>
    </row>
    <row r="1336" spans="1:14" s="18" customFormat="1" ht="24" hidden="1" customHeight="1" x14ac:dyDescent="0.3">
      <c r="A1336" s="19"/>
      <c r="B1336" s="19">
        <v>8</v>
      </c>
      <c r="C1336" s="39" t="s">
        <v>470</v>
      </c>
      <c r="D1336" s="21"/>
      <c r="E1336" s="19"/>
      <c r="F1336" s="22"/>
      <c r="G1336" s="23"/>
      <c r="H1336" s="24"/>
      <c r="I1336" s="23"/>
      <c r="J1336" s="23"/>
      <c r="K1336" s="32"/>
      <c r="L1336" s="33"/>
      <c r="M1336" s="34"/>
      <c r="N1336" s="35">
        <f t="shared" si="779"/>
        <v>43982242</v>
      </c>
    </row>
    <row r="1337" spans="1:14" s="18" customFormat="1" ht="24" hidden="1" customHeight="1" x14ac:dyDescent="0.3">
      <c r="A1337" s="19"/>
      <c r="B1337" s="19"/>
      <c r="C1337" s="36" t="s">
        <v>471</v>
      </c>
      <c r="D1337" s="21"/>
      <c r="E1337" s="19">
        <v>2</v>
      </c>
      <c r="F1337" s="22">
        <v>9.3000000000000007</v>
      </c>
      <c r="G1337" s="23">
        <v>13370</v>
      </c>
      <c r="H1337" s="24">
        <f t="shared" ref="H1337:H1338" si="780">F1337*G1337</f>
        <v>124341.00000000001</v>
      </c>
      <c r="I1337" s="23">
        <v>0</v>
      </c>
      <c r="J1337" s="23">
        <f t="shared" ref="J1337:J1338" si="781">SUM(H1337:I1337)</f>
        <v>124341.00000000001</v>
      </c>
      <c r="K1337" s="32"/>
      <c r="L1337" s="33"/>
      <c r="M1337" s="34"/>
      <c r="N1337" s="35">
        <f t="shared" si="779"/>
        <v>44106583</v>
      </c>
    </row>
    <row r="1338" spans="1:14" s="18" customFormat="1" ht="24" hidden="1" customHeight="1" x14ac:dyDescent="0.3">
      <c r="A1338" s="19"/>
      <c r="B1338" s="19"/>
      <c r="C1338" s="36" t="s">
        <v>472</v>
      </c>
      <c r="D1338" s="21"/>
      <c r="E1338" s="19">
        <v>85</v>
      </c>
      <c r="F1338" s="22">
        <v>695.7</v>
      </c>
      <c r="G1338" s="23">
        <v>6160</v>
      </c>
      <c r="H1338" s="24">
        <f t="shared" si="780"/>
        <v>4285512</v>
      </c>
      <c r="I1338" s="23">
        <v>0</v>
      </c>
      <c r="J1338" s="23">
        <f t="shared" si="781"/>
        <v>4285512</v>
      </c>
      <c r="K1338" s="32"/>
      <c r="L1338" s="33"/>
      <c r="M1338" s="34"/>
      <c r="N1338" s="35">
        <f t="shared" si="779"/>
        <v>48392095</v>
      </c>
    </row>
    <row r="1339" spans="1:14" s="18" customFormat="1" ht="24" hidden="1" customHeight="1" x14ac:dyDescent="0.3">
      <c r="A1339" s="19"/>
      <c r="B1339" s="19">
        <v>8</v>
      </c>
      <c r="C1339" s="29" t="s">
        <v>473</v>
      </c>
      <c r="D1339" s="21"/>
      <c r="E1339" s="19"/>
      <c r="F1339" s="22"/>
      <c r="G1339" s="23"/>
      <c r="H1339" s="24"/>
      <c r="I1339" s="23"/>
      <c r="J1339" s="23"/>
      <c r="K1339" s="32"/>
      <c r="L1339" s="33"/>
      <c r="M1339" s="34"/>
      <c r="N1339" s="35">
        <f t="shared" si="779"/>
        <v>48392095</v>
      </c>
    </row>
    <row r="1340" spans="1:14" s="18" customFormat="1" ht="24" hidden="1" customHeight="1" x14ac:dyDescent="0.3">
      <c r="A1340" s="19"/>
      <c r="B1340" s="19"/>
      <c r="C1340" s="39" t="s">
        <v>89</v>
      </c>
      <c r="D1340" s="37"/>
      <c r="E1340" s="19">
        <v>627</v>
      </c>
      <c r="F1340" s="22">
        <v>3350.6</v>
      </c>
      <c r="G1340" s="23">
        <v>550</v>
      </c>
      <c r="H1340" s="24">
        <f t="shared" ref="H1340:H1341" si="782">F1340*G1340</f>
        <v>1842830</v>
      </c>
      <c r="I1340" s="23">
        <v>0</v>
      </c>
      <c r="J1340" s="23">
        <f t="shared" ref="J1340:J1341" si="783">SUM(H1340:I1340)</f>
        <v>1842830</v>
      </c>
      <c r="K1340" s="32"/>
      <c r="L1340" s="33"/>
      <c r="M1340" s="34"/>
      <c r="N1340" s="35">
        <f t="shared" si="779"/>
        <v>50234925</v>
      </c>
    </row>
    <row r="1341" spans="1:14" s="18" customFormat="1" ht="24" hidden="1" customHeight="1" x14ac:dyDescent="0.3">
      <c r="A1341" s="19"/>
      <c r="B1341" s="19"/>
      <c r="C1341" s="36" t="s">
        <v>289</v>
      </c>
      <c r="D1341" s="21"/>
      <c r="E1341" s="19">
        <v>160</v>
      </c>
      <c r="F1341" s="22">
        <v>2053.1</v>
      </c>
      <c r="G1341" s="23">
        <v>4400</v>
      </c>
      <c r="H1341" s="24">
        <f t="shared" si="782"/>
        <v>9033640</v>
      </c>
      <c r="I1341" s="23">
        <v>0</v>
      </c>
      <c r="J1341" s="23">
        <f t="shared" si="783"/>
        <v>9033640</v>
      </c>
      <c r="K1341" s="32"/>
      <c r="L1341" s="33"/>
      <c r="M1341" s="34"/>
      <c r="N1341" s="35">
        <f t="shared" si="779"/>
        <v>59268565</v>
      </c>
    </row>
    <row r="1342" spans="1:14" s="18" customFormat="1" ht="24" hidden="1" customHeight="1" x14ac:dyDescent="0.3">
      <c r="A1342" s="19"/>
      <c r="B1342" s="19">
        <v>8</v>
      </c>
      <c r="C1342" s="29" t="s">
        <v>474</v>
      </c>
      <c r="D1342" s="21"/>
      <c r="E1342" s="19"/>
      <c r="F1342" s="22"/>
      <c r="G1342" s="23"/>
      <c r="H1342" s="24"/>
      <c r="I1342" s="23"/>
      <c r="J1342" s="23"/>
      <c r="K1342" s="32"/>
      <c r="L1342" s="33"/>
      <c r="M1342" s="34"/>
      <c r="N1342" s="35">
        <f t="shared" si="779"/>
        <v>59268565</v>
      </c>
    </row>
    <row r="1343" spans="1:14" s="18" customFormat="1" ht="24" hidden="1" customHeight="1" x14ac:dyDescent="0.3">
      <c r="A1343" s="19"/>
      <c r="B1343" s="19"/>
      <c r="C1343" s="36" t="s">
        <v>353</v>
      </c>
      <c r="D1343" s="21"/>
      <c r="E1343" s="19">
        <v>504</v>
      </c>
      <c r="F1343" s="22">
        <v>5151.1000000000004</v>
      </c>
      <c r="G1343" s="23">
        <f>2000+2000+500+950+950+200+200+300+300</f>
        <v>7400</v>
      </c>
      <c r="H1343" s="24">
        <f t="shared" ref="H1343" si="784">F1343*G1343</f>
        <v>38118140</v>
      </c>
      <c r="I1343" s="23">
        <v>0</v>
      </c>
      <c r="J1343" s="23">
        <f t="shared" ref="J1343" si="785">SUM(H1343:I1343)</f>
        <v>38118140</v>
      </c>
      <c r="K1343" s="32"/>
      <c r="L1343" s="33"/>
      <c r="M1343" s="34"/>
      <c r="N1343" s="35">
        <f t="shared" si="779"/>
        <v>97386705</v>
      </c>
    </row>
    <row r="1344" spans="1:14" s="18" customFormat="1" ht="24" hidden="1" customHeight="1" x14ac:dyDescent="0.3">
      <c r="A1344" s="19"/>
      <c r="B1344" s="19">
        <v>8</v>
      </c>
      <c r="C1344" s="29" t="s">
        <v>456</v>
      </c>
      <c r="D1344" s="21"/>
      <c r="E1344" s="19"/>
      <c r="F1344" s="22"/>
      <c r="G1344" s="23"/>
      <c r="H1344" s="24"/>
      <c r="I1344" s="23"/>
      <c r="J1344" s="23"/>
      <c r="K1344" s="32"/>
      <c r="L1344" s="33"/>
      <c r="M1344" s="34"/>
      <c r="N1344" s="35">
        <f t="shared" si="779"/>
        <v>97386705</v>
      </c>
    </row>
    <row r="1345" spans="1:14" s="18" customFormat="1" ht="24" hidden="1" customHeight="1" x14ac:dyDescent="0.3">
      <c r="A1345" s="19"/>
      <c r="B1345" s="19"/>
      <c r="C1345" s="39" t="s">
        <v>179</v>
      </c>
      <c r="D1345" s="21"/>
      <c r="E1345" s="19"/>
      <c r="F1345" s="22"/>
      <c r="G1345" s="23"/>
      <c r="H1345" s="24">
        <v>210000</v>
      </c>
      <c r="I1345" s="23">
        <f>H1345*0.1</f>
        <v>21000</v>
      </c>
      <c r="J1345" s="23">
        <f>SUM(H1345:I1345)</f>
        <v>231000</v>
      </c>
      <c r="K1345" s="32"/>
      <c r="L1345" s="33"/>
      <c r="M1345" s="34"/>
      <c r="N1345" s="35">
        <f t="shared" si="779"/>
        <v>97617705</v>
      </c>
    </row>
    <row r="1346" spans="1:14" s="18" customFormat="1" ht="24" hidden="1" customHeight="1" x14ac:dyDescent="0.3">
      <c r="A1346" s="19"/>
      <c r="B1346" s="19">
        <v>9</v>
      </c>
      <c r="C1346" s="29" t="s">
        <v>475</v>
      </c>
      <c r="D1346" s="21"/>
      <c r="E1346" s="19"/>
      <c r="F1346" s="22"/>
      <c r="G1346" s="23"/>
      <c r="H1346" s="24"/>
      <c r="I1346" s="23"/>
      <c r="J1346" s="23"/>
      <c r="K1346" s="32"/>
      <c r="L1346" s="33"/>
      <c r="M1346" s="34"/>
      <c r="N1346" s="35">
        <f t="shared" si="779"/>
        <v>97617705</v>
      </c>
    </row>
    <row r="1347" spans="1:14" s="18" customFormat="1" ht="24" hidden="1" customHeight="1" x14ac:dyDescent="0.3">
      <c r="A1347" s="19"/>
      <c r="B1347" s="19"/>
      <c r="C1347" s="36" t="s">
        <v>166</v>
      </c>
      <c r="D1347" s="21"/>
      <c r="E1347" s="19">
        <v>1</v>
      </c>
      <c r="F1347" s="22">
        <v>31.4</v>
      </c>
      <c r="G1347" s="23">
        <f>2000+2000+500+950+950+200+200</f>
        <v>6800</v>
      </c>
      <c r="H1347" s="24">
        <f t="shared" ref="H1347:H1348" si="786">F1347*G1347</f>
        <v>213520</v>
      </c>
      <c r="I1347" s="23">
        <v>0</v>
      </c>
      <c r="J1347" s="23">
        <f t="shared" ref="J1347:J1348" si="787">SUM(H1347:I1347)</f>
        <v>213520</v>
      </c>
      <c r="K1347" s="32"/>
      <c r="L1347" s="33"/>
      <c r="M1347" s="34"/>
      <c r="N1347" s="35">
        <f t="shared" si="779"/>
        <v>97831225</v>
      </c>
    </row>
    <row r="1348" spans="1:14" s="18" customFormat="1" ht="24" hidden="1" customHeight="1" x14ac:dyDescent="0.3">
      <c r="A1348" s="19"/>
      <c r="B1348" s="19"/>
      <c r="C1348" s="36" t="s">
        <v>166</v>
      </c>
      <c r="D1348" s="37" t="s">
        <v>377</v>
      </c>
      <c r="E1348" s="19">
        <v>1</v>
      </c>
      <c r="F1348" s="22">
        <v>25.7</v>
      </c>
      <c r="G1348" s="23">
        <v>8160</v>
      </c>
      <c r="H1348" s="24">
        <f t="shared" si="786"/>
        <v>209712</v>
      </c>
      <c r="I1348" s="23">
        <v>0</v>
      </c>
      <c r="J1348" s="23">
        <f t="shared" si="787"/>
        <v>209712</v>
      </c>
      <c r="K1348" s="32"/>
      <c r="L1348" s="33"/>
      <c r="M1348" s="34"/>
      <c r="N1348" s="35">
        <f t="shared" si="779"/>
        <v>98040937</v>
      </c>
    </row>
    <row r="1349" spans="1:14" s="18" customFormat="1" ht="24" hidden="1" customHeight="1" x14ac:dyDescent="0.3">
      <c r="A1349" s="19"/>
      <c r="B1349" s="19">
        <v>11</v>
      </c>
      <c r="C1349" s="29" t="s">
        <v>254</v>
      </c>
      <c r="D1349" s="21"/>
      <c r="E1349" s="19"/>
      <c r="F1349" s="22"/>
      <c r="G1349" s="23"/>
      <c r="H1349" s="24"/>
      <c r="I1349" s="23"/>
      <c r="J1349" s="23"/>
      <c r="K1349" s="32"/>
      <c r="L1349" s="33"/>
      <c r="M1349" s="34"/>
      <c r="N1349" s="35">
        <f t="shared" si="779"/>
        <v>98040937</v>
      </c>
    </row>
    <row r="1350" spans="1:14" s="18" customFormat="1" ht="24" hidden="1" customHeight="1" x14ac:dyDescent="0.3">
      <c r="A1350" s="19"/>
      <c r="B1350" s="19"/>
      <c r="C1350" s="36" t="s">
        <v>23</v>
      </c>
      <c r="D1350" s="37"/>
      <c r="E1350" s="19">
        <v>120</v>
      </c>
      <c r="F1350" s="22">
        <v>1114.3</v>
      </c>
      <c r="G1350" s="23">
        <f>2000+500+950+200+300</f>
        <v>3950</v>
      </c>
      <c r="H1350" s="24">
        <f t="shared" ref="H1350" si="788">F1350*G1350</f>
        <v>4401485</v>
      </c>
      <c r="I1350" s="23">
        <v>0</v>
      </c>
      <c r="J1350" s="23">
        <f t="shared" ref="J1350" si="789">SUM(H1350:I1350)</f>
        <v>4401485</v>
      </c>
      <c r="K1350" s="32"/>
      <c r="L1350" s="33"/>
      <c r="M1350" s="34"/>
      <c r="N1350" s="35">
        <f t="shared" si="779"/>
        <v>102442422</v>
      </c>
    </row>
    <row r="1351" spans="1:14" s="18" customFormat="1" ht="24" hidden="1" customHeight="1" x14ac:dyDescent="0.3">
      <c r="A1351" s="19"/>
      <c r="B1351" s="19">
        <v>11</v>
      </c>
      <c r="C1351" s="29" t="s">
        <v>476</v>
      </c>
      <c r="D1351" s="21"/>
      <c r="E1351" s="19"/>
      <c r="F1351" s="22"/>
      <c r="G1351" s="23"/>
      <c r="H1351" s="24"/>
      <c r="I1351" s="23"/>
      <c r="J1351" s="23"/>
      <c r="K1351" s="32"/>
      <c r="L1351" s="33"/>
      <c r="M1351" s="34"/>
      <c r="N1351" s="35">
        <f t="shared" si="779"/>
        <v>102442422</v>
      </c>
    </row>
    <row r="1352" spans="1:14" s="18" customFormat="1" ht="24" hidden="1" customHeight="1" x14ac:dyDescent="0.3">
      <c r="A1352" s="19"/>
      <c r="B1352" s="19"/>
      <c r="C1352" s="36" t="s">
        <v>477</v>
      </c>
      <c r="D1352" s="21"/>
      <c r="E1352" s="19">
        <v>6</v>
      </c>
      <c r="F1352" s="22">
        <v>131.30000000000001</v>
      </c>
      <c r="G1352" s="23">
        <f>500+2000-700+950+200+300</f>
        <v>3250</v>
      </c>
      <c r="H1352" s="24">
        <f t="shared" ref="H1352" si="790">F1352*G1352</f>
        <v>426725.00000000006</v>
      </c>
      <c r="I1352" s="23">
        <v>0</v>
      </c>
      <c r="J1352" s="23">
        <f t="shared" ref="J1352" si="791">SUM(H1352:I1352)</f>
        <v>426725.00000000006</v>
      </c>
      <c r="K1352" s="32"/>
      <c r="L1352" s="33"/>
      <c r="M1352" s="34"/>
      <c r="N1352" s="35">
        <f t="shared" si="779"/>
        <v>102869147</v>
      </c>
    </row>
    <row r="1353" spans="1:14" s="18" customFormat="1" ht="24" hidden="1" customHeight="1" x14ac:dyDescent="0.3">
      <c r="A1353" s="19"/>
      <c r="B1353" s="19">
        <v>11</v>
      </c>
      <c r="C1353" s="39" t="s">
        <v>478</v>
      </c>
      <c r="D1353" s="37"/>
      <c r="E1353" s="19"/>
      <c r="F1353" s="22"/>
      <c r="G1353" s="23"/>
      <c r="H1353" s="24"/>
      <c r="I1353" s="23"/>
      <c r="J1353" s="23"/>
      <c r="K1353" s="32"/>
      <c r="L1353" s="33"/>
      <c r="M1353" s="34"/>
      <c r="N1353" s="35">
        <f t="shared" si="779"/>
        <v>102869147</v>
      </c>
    </row>
    <row r="1354" spans="1:14" s="18" customFormat="1" ht="24" hidden="1" customHeight="1" x14ac:dyDescent="0.3">
      <c r="A1354" s="19"/>
      <c r="B1354" s="19"/>
      <c r="C1354" s="29" t="s">
        <v>105</v>
      </c>
      <c r="D1354" s="21"/>
      <c r="E1354" s="19"/>
      <c r="F1354" s="22"/>
      <c r="G1354" s="23"/>
      <c r="H1354" s="24">
        <v>90000</v>
      </c>
      <c r="I1354" s="23">
        <f>H1354*0.1</f>
        <v>9000</v>
      </c>
      <c r="J1354" s="23">
        <f>SUM(H1354:I1354)</f>
        <v>99000</v>
      </c>
      <c r="K1354" s="32"/>
      <c r="L1354" s="33"/>
      <c r="M1354" s="34"/>
      <c r="N1354" s="35">
        <f t="shared" si="779"/>
        <v>102968147</v>
      </c>
    </row>
    <row r="1355" spans="1:14" s="18" customFormat="1" ht="24" hidden="1" customHeight="1" x14ac:dyDescent="0.3">
      <c r="A1355" s="19"/>
      <c r="B1355" s="19">
        <v>13</v>
      </c>
      <c r="C1355" s="29" t="s">
        <v>243</v>
      </c>
      <c r="D1355" s="21"/>
      <c r="E1355" s="19"/>
      <c r="F1355" s="22"/>
      <c r="G1355" s="23"/>
      <c r="H1355" s="24"/>
      <c r="I1355" s="23"/>
      <c r="J1355" s="23"/>
      <c r="K1355" s="32"/>
      <c r="L1355" s="33"/>
      <c r="M1355" s="34"/>
      <c r="N1355" s="35">
        <f t="shared" si="779"/>
        <v>102968147</v>
      </c>
    </row>
    <row r="1356" spans="1:14" s="18" customFormat="1" ht="24" hidden="1" customHeight="1" x14ac:dyDescent="0.3">
      <c r="A1356" s="19"/>
      <c r="B1356" s="19"/>
      <c r="C1356" s="29" t="s">
        <v>45</v>
      </c>
      <c r="D1356" s="37"/>
      <c r="E1356" s="19"/>
      <c r="F1356" s="22"/>
      <c r="G1356" s="23"/>
      <c r="H1356" s="24">
        <v>130000</v>
      </c>
      <c r="I1356" s="23">
        <f>H1356*0.1</f>
        <v>13000</v>
      </c>
      <c r="J1356" s="23">
        <f>SUM(H1356:I1356)</f>
        <v>143000</v>
      </c>
      <c r="K1356" s="32"/>
      <c r="L1356" s="33"/>
      <c r="M1356" s="34"/>
      <c r="N1356" s="35">
        <f t="shared" si="779"/>
        <v>103111147</v>
      </c>
    </row>
    <row r="1357" spans="1:14" s="18" customFormat="1" ht="24" hidden="1" customHeight="1" x14ac:dyDescent="0.3">
      <c r="A1357" s="19"/>
      <c r="B1357" s="19">
        <v>14</v>
      </c>
      <c r="C1357" s="39" t="s">
        <v>470</v>
      </c>
      <c r="D1357" s="21"/>
      <c r="E1357" s="19"/>
      <c r="F1357" s="22"/>
      <c r="G1357" s="23"/>
      <c r="H1357" s="24"/>
      <c r="I1357" s="23"/>
      <c r="J1357" s="23"/>
      <c r="K1357" s="32"/>
      <c r="L1357" s="33"/>
      <c r="M1357" s="34"/>
      <c r="N1357" s="35">
        <f t="shared" si="779"/>
        <v>103111147</v>
      </c>
    </row>
    <row r="1358" spans="1:14" s="18" customFormat="1" ht="24" hidden="1" customHeight="1" x14ac:dyDescent="0.3">
      <c r="A1358" s="19"/>
      <c r="B1358" s="19"/>
      <c r="C1358" s="36" t="s">
        <v>472</v>
      </c>
      <c r="D1358" s="21"/>
      <c r="E1358" s="19">
        <v>4</v>
      </c>
      <c r="F1358" s="22">
        <v>12</v>
      </c>
      <c r="G1358" s="23">
        <v>6160</v>
      </c>
      <c r="H1358" s="24">
        <f t="shared" ref="H1358" si="792">F1358*G1358</f>
        <v>73920</v>
      </c>
      <c r="I1358" s="23">
        <v>0</v>
      </c>
      <c r="J1358" s="23">
        <f t="shared" ref="J1358" si="793">SUM(H1358:I1358)</f>
        <v>73920</v>
      </c>
      <c r="K1358" s="32"/>
      <c r="L1358" s="33"/>
      <c r="M1358" s="34"/>
      <c r="N1358" s="35">
        <f t="shared" si="779"/>
        <v>103185067</v>
      </c>
    </row>
    <row r="1359" spans="1:14" s="18" customFormat="1" ht="24" hidden="1" customHeight="1" x14ac:dyDescent="0.3">
      <c r="A1359" s="19"/>
      <c r="B1359" s="19">
        <v>14</v>
      </c>
      <c r="C1359" s="39" t="s">
        <v>337</v>
      </c>
      <c r="D1359" s="21"/>
      <c r="E1359" s="19"/>
      <c r="F1359" s="22"/>
      <c r="G1359" s="23"/>
      <c r="H1359" s="24"/>
      <c r="I1359" s="23"/>
      <c r="J1359" s="23"/>
      <c r="K1359" s="32"/>
      <c r="L1359" s="33"/>
      <c r="M1359" s="34"/>
      <c r="N1359" s="35">
        <f t="shared" si="779"/>
        <v>103185067</v>
      </c>
    </row>
    <row r="1360" spans="1:14" s="18" customFormat="1" ht="24" hidden="1" customHeight="1" x14ac:dyDescent="0.3">
      <c r="A1360" s="19"/>
      <c r="B1360" s="19"/>
      <c r="C1360" s="36" t="s">
        <v>434</v>
      </c>
      <c r="D1360" s="37" t="s">
        <v>248</v>
      </c>
      <c r="E1360" s="19">
        <v>2</v>
      </c>
      <c r="F1360" s="22">
        <v>7.1</v>
      </c>
      <c r="G1360" s="23">
        <v>4420</v>
      </c>
      <c r="H1360" s="24">
        <f t="shared" ref="H1360" si="794">F1360*G1360</f>
        <v>31382</v>
      </c>
      <c r="I1360" s="23">
        <v>0</v>
      </c>
      <c r="J1360" s="23">
        <f t="shared" ref="J1360" si="795">SUM(H1360:I1360)</f>
        <v>31382</v>
      </c>
      <c r="K1360" s="32"/>
      <c r="L1360" s="33"/>
      <c r="M1360" s="34"/>
      <c r="N1360" s="35">
        <f t="shared" si="779"/>
        <v>103216449</v>
      </c>
    </row>
    <row r="1361" spans="1:14" s="18" customFormat="1" ht="24" hidden="1" customHeight="1" x14ac:dyDescent="0.3">
      <c r="A1361" s="19"/>
      <c r="B1361" s="19">
        <v>14</v>
      </c>
      <c r="C1361" s="39" t="s">
        <v>288</v>
      </c>
      <c r="D1361" s="21"/>
      <c r="E1361" s="19"/>
      <c r="F1361" s="22"/>
      <c r="G1361" s="23"/>
      <c r="H1361" s="24"/>
      <c r="I1361" s="23"/>
      <c r="J1361" s="23"/>
      <c r="K1361" s="32"/>
      <c r="L1361" s="33"/>
      <c r="M1361" s="34"/>
      <c r="N1361" s="35">
        <f t="shared" si="779"/>
        <v>103216449</v>
      </c>
    </row>
    <row r="1362" spans="1:14" s="18" customFormat="1" ht="24" hidden="1" customHeight="1" x14ac:dyDescent="0.3">
      <c r="A1362" s="19"/>
      <c r="B1362" s="19"/>
      <c r="C1362" s="36" t="s">
        <v>21</v>
      </c>
      <c r="D1362" s="21"/>
      <c r="E1362" s="19">
        <v>80</v>
      </c>
      <c r="F1362" s="22">
        <v>1611.7</v>
      </c>
      <c r="G1362" s="23">
        <f>2000+500+950+200+300</f>
        <v>3950</v>
      </c>
      <c r="H1362" s="24">
        <f t="shared" ref="H1362:H1364" si="796">F1362*G1362</f>
        <v>6366215</v>
      </c>
      <c r="I1362" s="23">
        <v>0</v>
      </c>
      <c r="J1362" s="23">
        <f t="shared" ref="J1362:J1364" si="797">SUM(H1362:I1362)</f>
        <v>6366215</v>
      </c>
      <c r="K1362" s="32"/>
      <c r="L1362" s="33"/>
      <c r="M1362" s="34"/>
      <c r="N1362" s="35">
        <f t="shared" si="779"/>
        <v>109582664</v>
      </c>
    </row>
    <row r="1363" spans="1:14" s="18" customFormat="1" ht="24" hidden="1" customHeight="1" x14ac:dyDescent="0.3">
      <c r="A1363" s="19"/>
      <c r="B1363" s="19"/>
      <c r="C1363" s="36" t="s">
        <v>289</v>
      </c>
      <c r="D1363" s="21"/>
      <c r="E1363" s="19">
        <v>74</v>
      </c>
      <c r="F1363" s="22">
        <v>888.1</v>
      </c>
      <c r="G1363" s="23">
        <v>4400</v>
      </c>
      <c r="H1363" s="24">
        <f t="shared" si="796"/>
        <v>3907640</v>
      </c>
      <c r="I1363" s="23">
        <v>0</v>
      </c>
      <c r="J1363" s="23">
        <f t="shared" si="797"/>
        <v>3907640</v>
      </c>
      <c r="K1363" s="32"/>
      <c r="L1363" s="33"/>
      <c r="M1363" s="34"/>
      <c r="N1363" s="38">
        <f t="shared" si="779"/>
        <v>113490304</v>
      </c>
    </row>
    <row r="1364" spans="1:14" s="18" customFormat="1" ht="24" hidden="1" customHeight="1" x14ac:dyDescent="0.3">
      <c r="A1364" s="19"/>
      <c r="B1364" s="19"/>
      <c r="C1364" s="29" t="s">
        <v>89</v>
      </c>
      <c r="D1364" s="21"/>
      <c r="E1364" s="19">
        <v>346</v>
      </c>
      <c r="F1364" s="22">
        <v>1956.7</v>
      </c>
      <c r="G1364" s="23">
        <v>550</v>
      </c>
      <c r="H1364" s="24">
        <f t="shared" si="796"/>
        <v>1076185</v>
      </c>
      <c r="I1364" s="23">
        <v>0</v>
      </c>
      <c r="J1364" s="23">
        <f t="shared" si="797"/>
        <v>1076185</v>
      </c>
      <c r="K1364" s="32"/>
      <c r="L1364" s="33"/>
      <c r="M1364" s="34"/>
      <c r="N1364" s="38">
        <f t="shared" si="779"/>
        <v>114566489</v>
      </c>
    </row>
    <row r="1365" spans="1:14" s="18" customFormat="1" ht="24" hidden="1" customHeight="1" x14ac:dyDescent="0.3">
      <c r="A1365" s="19"/>
      <c r="B1365" s="19"/>
      <c r="C1365" s="39"/>
      <c r="D1365" s="21"/>
      <c r="E1365" s="19"/>
      <c r="F1365" s="22"/>
      <c r="G1365" s="23"/>
      <c r="H1365" s="24"/>
      <c r="I1365" s="23"/>
      <c r="J1365" s="23"/>
      <c r="K1365" s="32"/>
      <c r="L1365" s="33"/>
      <c r="M1365" s="34"/>
      <c r="N1365" s="38">
        <f t="shared" si="779"/>
        <v>114566489</v>
      </c>
    </row>
    <row r="1366" spans="1:14" s="2" customFormat="1" ht="27" hidden="1" customHeight="1" thickBot="1" x14ac:dyDescent="0.35">
      <c r="A1366" s="1"/>
      <c r="B1366" s="1"/>
      <c r="C1366" s="1"/>
      <c r="E1366" s="86" t="s">
        <v>0</v>
      </c>
      <c r="F1366" s="86"/>
      <c r="G1366" s="86"/>
      <c r="H1366" s="86"/>
      <c r="I1366" s="86"/>
      <c r="J1366" s="86"/>
      <c r="K1366" s="1"/>
      <c r="L1366" s="3"/>
      <c r="M1366" s="3"/>
      <c r="N1366" s="1"/>
    </row>
    <row r="1367" spans="1:14" s="2" customFormat="1" ht="24" hidden="1" customHeight="1" thickTop="1" x14ac:dyDescent="0.3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3"/>
      <c r="M1367" s="3"/>
      <c r="N1367" s="1"/>
    </row>
    <row r="1368" spans="1:14" s="2" customFormat="1" ht="24" hidden="1" customHeight="1" thickBot="1" x14ac:dyDescent="0.35">
      <c r="A1368" s="2" t="s">
        <v>1</v>
      </c>
      <c r="C1368" s="4"/>
      <c r="D1368" s="4"/>
      <c r="E1368" s="5"/>
      <c r="F1368" s="6"/>
      <c r="G1368" s="7"/>
      <c r="H1368" s="7"/>
      <c r="I1368" s="7"/>
      <c r="J1368" s="8"/>
      <c r="K1368" s="9"/>
      <c r="L1368" s="10"/>
      <c r="M1368" s="11"/>
      <c r="N1368" s="12" t="s">
        <v>2</v>
      </c>
    </row>
    <row r="1369" spans="1:14" s="18" customFormat="1" ht="24" hidden="1" customHeight="1" thickTop="1" thickBot="1" x14ac:dyDescent="0.35">
      <c r="A1369" s="13" t="s">
        <v>3</v>
      </c>
      <c r="B1369" s="13" t="s">
        <v>4</v>
      </c>
      <c r="C1369" s="87" t="s">
        <v>5</v>
      </c>
      <c r="D1369" s="88"/>
      <c r="E1369" s="13" t="s">
        <v>6</v>
      </c>
      <c r="F1369" s="14" t="s">
        <v>7</v>
      </c>
      <c r="G1369" s="15" t="s">
        <v>8</v>
      </c>
      <c r="H1369" s="15" t="s">
        <v>9</v>
      </c>
      <c r="I1369" s="15" t="s">
        <v>10</v>
      </c>
      <c r="J1369" s="15" t="s">
        <v>11</v>
      </c>
      <c r="K1369" s="16" t="s">
        <v>12</v>
      </c>
      <c r="L1369" s="89" t="s">
        <v>13</v>
      </c>
      <c r="M1369" s="90"/>
      <c r="N1369" s="17" t="s">
        <v>14</v>
      </c>
    </row>
    <row r="1370" spans="1:14" s="18" customFormat="1" ht="24" hidden="1" customHeight="1" thickTop="1" x14ac:dyDescent="0.3">
      <c r="A1370" s="41"/>
      <c r="B1370" s="41"/>
      <c r="C1370" s="73" t="s">
        <v>41</v>
      </c>
      <c r="D1370" s="40"/>
      <c r="E1370" s="41"/>
      <c r="F1370" s="42"/>
      <c r="G1370" s="43"/>
      <c r="H1370" s="44"/>
      <c r="I1370" s="43"/>
      <c r="J1370" s="43"/>
      <c r="K1370" s="25"/>
      <c r="L1370" s="26"/>
      <c r="M1370" s="27"/>
      <c r="N1370" s="28">
        <f>N1365</f>
        <v>114566489</v>
      </c>
    </row>
    <row r="1371" spans="1:14" s="18" customFormat="1" ht="24" hidden="1" customHeight="1" x14ac:dyDescent="0.3">
      <c r="A1371" s="19">
        <v>7</v>
      </c>
      <c r="B1371" s="19">
        <v>14</v>
      </c>
      <c r="C1371" s="39" t="s">
        <v>239</v>
      </c>
      <c r="D1371" s="21"/>
      <c r="E1371" s="19"/>
      <c r="F1371" s="22"/>
      <c r="G1371" s="23"/>
      <c r="H1371" s="24"/>
      <c r="I1371" s="23"/>
      <c r="J1371" s="23"/>
      <c r="K1371" s="32"/>
      <c r="L1371" s="33"/>
      <c r="M1371" s="34"/>
      <c r="N1371" s="35">
        <f>N1370+J1371+K1371</f>
        <v>114566489</v>
      </c>
    </row>
    <row r="1372" spans="1:14" s="18" customFormat="1" ht="24" hidden="1" customHeight="1" x14ac:dyDescent="0.3">
      <c r="A1372" s="19"/>
      <c r="B1372" s="19"/>
      <c r="C1372" s="36" t="s">
        <v>21</v>
      </c>
      <c r="D1372" s="37"/>
      <c r="E1372" s="19">
        <v>1</v>
      </c>
      <c r="F1372" s="22">
        <v>31.6</v>
      </c>
      <c r="G1372" s="23">
        <f>2000+500+950+200+300</f>
        <v>3950</v>
      </c>
      <c r="H1372" s="24">
        <f t="shared" ref="H1372" si="798">F1372*G1372</f>
        <v>124820</v>
      </c>
      <c r="I1372" s="23">
        <v>0</v>
      </c>
      <c r="J1372" s="23">
        <f t="shared" ref="J1372" si="799">SUM(H1372:I1372)</f>
        <v>124820</v>
      </c>
      <c r="K1372" s="32"/>
      <c r="L1372" s="33"/>
      <c r="M1372" s="34"/>
      <c r="N1372" s="35">
        <f>N1371+J1372+K1372</f>
        <v>114691309</v>
      </c>
    </row>
    <row r="1373" spans="1:14" s="18" customFormat="1" ht="24" hidden="1" customHeight="1" x14ac:dyDescent="0.3">
      <c r="A1373" s="19"/>
      <c r="B1373" s="19">
        <v>15</v>
      </c>
      <c r="C1373" s="39" t="s">
        <v>470</v>
      </c>
      <c r="D1373" s="21"/>
      <c r="E1373" s="19"/>
      <c r="F1373" s="22"/>
      <c r="G1373" s="23"/>
      <c r="H1373" s="24"/>
      <c r="I1373" s="23"/>
      <c r="J1373" s="23"/>
      <c r="K1373" s="32"/>
      <c r="L1373" s="33"/>
      <c r="M1373" s="34"/>
      <c r="N1373" s="35">
        <f t="shared" ref="N1373:N1404" si="800">N1372+J1373+K1373</f>
        <v>114691309</v>
      </c>
    </row>
    <row r="1374" spans="1:14" s="18" customFormat="1" ht="24" hidden="1" customHeight="1" x14ac:dyDescent="0.3">
      <c r="A1374" s="19"/>
      <c r="B1374" s="19"/>
      <c r="C1374" s="36" t="s">
        <v>472</v>
      </c>
      <c r="D1374" s="21"/>
      <c r="E1374" s="19">
        <v>4</v>
      </c>
      <c r="F1374" s="22">
        <v>39.1</v>
      </c>
      <c r="G1374" s="23">
        <v>6160</v>
      </c>
      <c r="H1374" s="24">
        <f t="shared" ref="H1374:H1377" si="801">F1374*G1374</f>
        <v>240856</v>
      </c>
      <c r="I1374" s="23">
        <v>0</v>
      </c>
      <c r="J1374" s="23">
        <f t="shared" ref="J1374:J1377" si="802">SUM(H1374:I1374)</f>
        <v>240856</v>
      </c>
      <c r="K1374" s="32"/>
      <c r="L1374" s="33"/>
      <c r="M1374" s="34"/>
      <c r="N1374" s="35">
        <f t="shared" si="800"/>
        <v>114932165</v>
      </c>
    </row>
    <row r="1375" spans="1:14" s="18" customFormat="1" ht="24" hidden="1" customHeight="1" x14ac:dyDescent="0.3">
      <c r="A1375" s="19"/>
      <c r="B1375" s="19"/>
      <c r="C1375" s="36" t="s">
        <v>479</v>
      </c>
      <c r="D1375" s="21"/>
      <c r="E1375" s="19">
        <v>1</v>
      </c>
      <c r="F1375" s="22">
        <v>25.5</v>
      </c>
      <c r="G1375" s="23">
        <f>500+1000+950+200</f>
        <v>2650</v>
      </c>
      <c r="H1375" s="24">
        <f t="shared" si="801"/>
        <v>67575</v>
      </c>
      <c r="I1375" s="23">
        <v>0</v>
      </c>
      <c r="J1375" s="23">
        <f t="shared" si="802"/>
        <v>67575</v>
      </c>
      <c r="K1375" s="32"/>
      <c r="L1375" s="33"/>
      <c r="M1375" s="34"/>
      <c r="N1375" s="35">
        <f t="shared" si="800"/>
        <v>114999740</v>
      </c>
    </row>
    <row r="1376" spans="1:14" s="18" customFormat="1" ht="24" hidden="1" customHeight="1" x14ac:dyDescent="0.3">
      <c r="A1376" s="19"/>
      <c r="B1376" s="19"/>
      <c r="C1376" s="39" t="s">
        <v>46</v>
      </c>
      <c r="D1376" s="21"/>
      <c r="E1376" s="19">
        <v>1</v>
      </c>
      <c r="F1376" s="22">
        <v>23.7</v>
      </c>
      <c r="G1376" s="23">
        <v>1950</v>
      </c>
      <c r="H1376" s="24">
        <f t="shared" si="801"/>
        <v>46215</v>
      </c>
      <c r="I1376" s="23">
        <v>0</v>
      </c>
      <c r="J1376" s="23">
        <f t="shared" si="802"/>
        <v>46215</v>
      </c>
      <c r="K1376" s="32"/>
      <c r="L1376" s="33"/>
      <c r="M1376" s="34"/>
      <c r="N1376" s="35">
        <f t="shared" si="800"/>
        <v>115045955</v>
      </c>
    </row>
    <row r="1377" spans="1:14" s="18" customFormat="1" ht="24" hidden="1" customHeight="1" x14ac:dyDescent="0.3">
      <c r="A1377" s="19"/>
      <c r="B1377" s="19"/>
      <c r="C1377" s="39" t="s">
        <v>46</v>
      </c>
      <c r="D1377" s="37" t="s">
        <v>377</v>
      </c>
      <c r="E1377" s="19">
        <v>1</v>
      </c>
      <c r="F1377" s="22">
        <v>23.9</v>
      </c>
      <c r="G1377" s="23">
        <v>2340</v>
      </c>
      <c r="H1377" s="24">
        <f t="shared" si="801"/>
        <v>55926</v>
      </c>
      <c r="I1377" s="23">
        <v>0</v>
      </c>
      <c r="J1377" s="23">
        <f t="shared" si="802"/>
        <v>55926</v>
      </c>
      <c r="K1377" s="32"/>
      <c r="L1377" s="33"/>
      <c r="M1377" s="34"/>
      <c r="N1377" s="35">
        <f t="shared" si="800"/>
        <v>115101881</v>
      </c>
    </row>
    <row r="1378" spans="1:14" s="18" customFormat="1" ht="24" hidden="1" customHeight="1" x14ac:dyDescent="0.3">
      <c r="A1378" s="19"/>
      <c r="B1378" s="19">
        <v>15</v>
      </c>
      <c r="C1378" s="29" t="s">
        <v>480</v>
      </c>
      <c r="D1378" s="21"/>
      <c r="E1378" s="19"/>
      <c r="F1378" s="22"/>
      <c r="G1378" s="23"/>
      <c r="H1378" s="24"/>
      <c r="I1378" s="23"/>
      <c r="J1378" s="23"/>
      <c r="K1378" s="32"/>
      <c r="L1378" s="33"/>
      <c r="M1378" s="34"/>
      <c r="N1378" s="35">
        <f t="shared" si="800"/>
        <v>115101881</v>
      </c>
    </row>
    <row r="1379" spans="1:14" s="18" customFormat="1" ht="24" hidden="1" customHeight="1" x14ac:dyDescent="0.3">
      <c r="A1379" s="19"/>
      <c r="B1379" s="19"/>
      <c r="C1379" s="39" t="s">
        <v>45</v>
      </c>
      <c r="D1379" s="37"/>
      <c r="E1379" s="19"/>
      <c r="F1379" s="22"/>
      <c r="G1379" s="23"/>
      <c r="H1379" s="24">
        <v>240000</v>
      </c>
      <c r="I1379" s="23">
        <f>H1379*0.1</f>
        <v>24000</v>
      </c>
      <c r="J1379" s="23">
        <f>SUM(H1379:I1379)</f>
        <v>264000</v>
      </c>
      <c r="K1379" s="32"/>
      <c r="L1379" s="33"/>
      <c r="M1379" s="34"/>
      <c r="N1379" s="35">
        <f t="shared" si="800"/>
        <v>115365881</v>
      </c>
    </row>
    <row r="1380" spans="1:14" s="18" customFormat="1" ht="24" hidden="1" customHeight="1" x14ac:dyDescent="0.3">
      <c r="A1380" s="19"/>
      <c r="B1380" s="19">
        <v>15</v>
      </c>
      <c r="C1380" s="39" t="s">
        <v>481</v>
      </c>
      <c r="D1380" s="21"/>
      <c r="E1380" s="19"/>
      <c r="F1380" s="22"/>
      <c r="G1380" s="23"/>
      <c r="H1380" s="24"/>
      <c r="I1380" s="23"/>
      <c r="J1380" s="23"/>
      <c r="K1380" s="32"/>
      <c r="L1380" s="33"/>
      <c r="M1380" s="34"/>
      <c r="N1380" s="35">
        <f t="shared" si="800"/>
        <v>115365881</v>
      </c>
    </row>
    <row r="1381" spans="1:14" s="18" customFormat="1" ht="24" hidden="1" customHeight="1" x14ac:dyDescent="0.3">
      <c r="A1381" s="19"/>
      <c r="B1381" s="19"/>
      <c r="C1381" s="29" t="s">
        <v>482</v>
      </c>
      <c r="D1381" s="21"/>
      <c r="E1381" s="19"/>
      <c r="F1381" s="22"/>
      <c r="G1381" s="23"/>
      <c r="H1381" s="24">
        <v>234000</v>
      </c>
      <c r="I1381" s="23">
        <f>H1381*0.1</f>
        <v>23400</v>
      </c>
      <c r="J1381" s="23">
        <f>SUM(H1381:I1381)</f>
        <v>257400</v>
      </c>
      <c r="K1381" s="32"/>
      <c r="L1381" s="33"/>
      <c r="M1381" s="34"/>
      <c r="N1381" s="35">
        <f t="shared" si="800"/>
        <v>115623281</v>
      </c>
    </row>
    <row r="1382" spans="1:14" s="18" customFormat="1" ht="24" hidden="1" customHeight="1" x14ac:dyDescent="0.3">
      <c r="A1382" s="19"/>
      <c r="B1382" s="19">
        <v>16</v>
      </c>
      <c r="C1382" s="29" t="s">
        <v>432</v>
      </c>
      <c r="D1382" s="21"/>
      <c r="E1382" s="19"/>
      <c r="F1382" s="22"/>
      <c r="G1382" s="23"/>
      <c r="H1382" s="24"/>
      <c r="I1382" s="23"/>
      <c r="J1382" s="23"/>
      <c r="K1382" s="32"/>
      <c r="L1382" s="33"/>
      <c r="M1382" s="34"/>
      <c r="N1382" s="35">
        <f t="shared" si="800"/>
        <v>115623281</v>
      </c>
    </row>
    <row r="1383" spans="1:14" s="18" customFormat="1" ht="24" hidden="1" customHeight="1" x14ac:dyDescent="0.3">
      <c r="A1383" s="19"/>
      <c r="B1383" s="19"/>
      <c r="C1383" s="36" t="s">
        <v>23</v>
      </c>
      <c r="D1383" s="21"/>
      <c r="E1383" s="19">
        <v>2</v>
      </c>
      <c r="F1383" s="22">
        <v>33.1</v>
      </c>
      <c r="G1383" s="23">
        <f>2000+500+950+200+300</f>
        <v>3950</v>
      </c>
      <c r="H1383" s="24">
        <f t="shared" ref="H1383" si="803">F1383*G1383</f>
        <v>130745</v>
      </c>
      <c r="I1383" s="23">
        <v>0</v>
      </c>
      <c r="J1383" s="23">
        <f t="shared" ref="J1383" si="804">SUM(H1383:I1383)</f>
        <v>130745</v>
      </c>
      <c r="K1383" s="32"/>
      <c r="L1383" s="33"/>
      <c r="M1383" s="34"/>
      <c r="N1383" s="35">
        <f t="shared" si="800"/>
        <v>115754026</v>
      </c>
    </row>
    <row r="1384" spans="1:14" s="18" customFormat="1" ht="24" hidden="1" customHeight="1" x14ac:dyDescent="0.3">
      <c r="A1384" s="19"/>
      <c r="B1384" s="19">
        <v>16</v>
      </c>
      <c r="C1384" s="39" t="s">
        <v>483</v>
      </c>
      <c r="D1384" s="21"/>
      <c r="E1384" s="19"/>
      <c r="F1384" s="22"/>
      <c r="G1384" s="23"/>
      <c r="H1384" s="24"/>
      <c r="I1384" s="23"/>
      <c r="J1384" s="23"/>
      <c r="K1384" s="32"/>
      <c r="L1384" s="33"/>
      <c r="M1384" s="34"/>
      <c r="N1384" s="35">
        <f t="shared" si="800"/>
        <v>115754026</v>
      </c>
    </row>
    <row r="1385" spans="1:14" s="18" customFormat="1" ht="24" hidden="1" customHeight="1" x14ac:dyDescent="0.3">
      <c r="A1385" s="19"/>
      <c r="B1385" s="19"/>
      <c r="C1385" s="36" t="s">
        <v>21</v>
      </c>
      <c r="D1385" s="21"/>
      <c r="E1385" s="19">
        <v>9</v>
      </c>
      <c r="F1385" s="22">
        <v>94.5</v>
      </c>
      <c r="G1385" s="23">
        <f>2000+500+950+200+300</f>
        <v>3950</v>
      </c>
      <c r="H1385" s="24">
        <f t="shared" ref="H1385:H1388" si="805">F1385*G1385</f>
        <v>373275</v>
      </c>
      <c r="I1385" s="23">
        <v>0</v>
      </c>
      <c r="J1385" s="23">
        <f t="shared" ref="J1385:J1388" si="806">SUM(H1385:I1385)</f>
        <v>373275</v>
      </c>
      <c r="K1385" s="32"/>
      <c r="L1385" s="33"/>
      <c r="M1385" s="34"/>
      <c r="N1385" s="35">
        <f t="shared" si="800"/>
        <v>116127301</v>
      </c>
    </row>
    <row r="1386" spans="1:14" s="18" customFormat="1" ht="24" hidden="1" customHeight="1" x14ac:dyDescent="0.3">
      <c r="A1386" s="19"/>
      <c r="B1386" s="19"/>
      <c r="C1386" s="29" t="s">
        <v>484</v>
      </c>
      <c r="D1386" s="21"/>
      <c r="E1386" s="19">
        <v>29</v>
      </c>
      <c r="F1386" s="22">
        <v>194.9</v>
      </c>
      <c r="G1386" s="23">
        <f>800+1000+900+150</f>
        <v>2850</v>
      </c>
      <c r="H1386" s="24">
        <f t="shared" si="805"/>
        <v>555465</v>
      </c>
      <c r="I1386" s="23">
        <v>0</v>
      </c>
      <c r="J1386" s="23">
        <f t="shared" si="806"/>
        <v>555465</v>
      </c>
      <c r="K1386" s="32"/>
      <c r="L1386" s="33"/>
      <c r="M1386" s="34"/>
      <c r="N1386" s="35">
        <f t="shared" si="800"/>
        <v>116682766</v>
      </c>
    </row>
    <row r="1387" spans="1:14" s="18" customFormat="1" ht="24" hidden="1" customHeight="1" x14ac:dyDescent="0.3">
      <c r="A1387" s="19"/>
      <c r="B1387" s="19"/>
      <c r="C1387" s="29" t="s">
        <v>126</v>
      </c>
      <c r="D1387" s="37"/>
      <c r="E1387" s="19">
        <v>25</v>
      </c>
      <c r="F1387" s="22">
        <v>151</v>
      </c>
      <c r="G1387" s="23">
        <f>500+1000+900+150</f>
        <v>2550</v>
      </c>
      <c r="H1387" s="24">
        <f t="shared" si="805"/>
        <v>385050</v>
      </c>
      <c r="I1387" s="23">
        <v>0</v>
      </c>
      <c r="J1387" s="23">
        <f t="shared" si="806"/>
        <v>385050</v>
      </c>
      <c r="K1387" s="32"/>
      <c r="L1387" s="33"/>
      <c r="M1387" s="34"/>
      <c r="N1387" s="35">
        <f t="shared" si="800"/>
        <v>117067816</v>
      </c>
    </row>
    <row r="1388" spans="1:14" s="18" customFormat="1" ht="24" hidden="1" customHeight="1" x14ac:dyDescent="0.3">
      <c r="A1388" s="19"/>
      <c r="B1388" s="19"/>
      <c r="C1388" s="29" t="s">
        <v>75</v>
      </c>
      <c r="D1388" s="21"/>
      <c r="E1388" s="19">
        <v>7</v>
      </c>
      <c r="F1388" s="22">
        <v>102.3</v>
      </c>
      <c r="G1388" s="23">
        <v>2500</v>
      </c>
      <c r="H1388" s="24">
        <f t="shared" si="805"/>
        <v>255750</v>
      </c>
      <c r="I1388" s="23">
        <v>0</v>
      </c>
      <c r="J1388" s="23">
        <f t="shared" si="806"/>
        <v>255750</v>
      </c>
      <c r="K1388" s="32"/>
      <c r="L1388" s="33"/>
      <c r="M1388" s="34"/>
      <c r="N1388" s="35">
        <f t="shared" si="800"/>
        <v>117323566</v>
      </c>
    </row>
    <row r="1389" spans="1:14" s="18" customFormat="1" ht="24" hidden="1" customHeight="1" x14ac:dyDescent="0.3">
      <c r="A1389" s="19"/>
      <c r="B1389" s="19">
        <v>16</v>
      </c>
      <c r="C1389" s="29" t="s">
        <v>485</v>
      </c>
      <c r="D1389" s="37"/>
      <c r="E1389" s="19"/>
      <c r="F1389" s="22"/>
      <c r="G1389" s="23"/>
      <c r="H1389" s="24"/>
      <c r="I1389" s="23"/>
      <c r="J1389" s="23"/>
      <c r="K1389" s="32"/>
      <c r="L1389" s="33"/>
      <c r="M1389" s="34"/>
      <c r="N1389" s="35">
        <f t="shared" si="800"/>
        <v>117323566</v>
      </c>
    </row>
    <row r="1390" spans="1:14" s="18" customFormat="1" ht="24" hidden="1" customHeight="1" x14ac:dyDescent="0.3">
      <c r="A1390" s="19"/>
      <c r="B1390" s="19"/>
      <c r="C1390" s="36" t="s">
        <v>23</v>
      </c>
      <c r="D1390" s="21"/>
      <c r="E1390" s="19">
        <v>240</v>
      </c>
      <c r="F1390" s="22">
        <v>3631.4</v>
      </c>
      <c r="G1390" s="23">
        <f>2000+500+950+200+300</f>
        <v>3950</v>
      </c>
      <c r="H1390" s="24">
        <f t="shared" ref="H1390" si="807">F1390*G1390</f>
        <v>14344030</v>
      </c>
      <c r="I1390" s="23">
        <v>0</v>
      </c>
      <c r="J1390" s="23">
        <f t="shared" ref="J1390" si="808">SUM(H1390:I1390)</f>
        <v>14344030</v>
      </c>
      <c r="K1390" s="32"/>
      <c r="L1390" s="33"/>
      <c r="M1390" s="34"/>
      <c r="N1390" s="35">
        <f t="shared" si="800"/>
        <v>131667596</v>
      </c>
    </row>
    <row r="1391" spans="1:14" s="18" customFormat="1" ht="24" hidden="1" customHeight="1" x14ac:dyDescent="0.3">
      <c r="A1391" s="19"/>
      <c r="B1391" s="19">
        <v>16</v>
      </c>
      <c r="C1391" s="29" t="s">
        <v>372</v>
      </c>
      <c r="D1391" s="21"/>
      <c r="E1391" s="19"/>
      <c r="F1391" s="22"/>
      <c r="G1391" s="23"/>
      <c r="H1391" s="24"/>
      <c r="I1391" s="23"/>
      <c r="J1391" s="23"/>
      <c r="K1391" s="32"/>
      <c r="L1391" s="33"/>
      <c r="M1391" s="34"/>
      <c r="N1391" s="35">
        <f t="shared" si="800"/>
        <v>131667596</v>
      </c>
    </row>
    <row r="1392" spans="1:14" s="18" customFormat="1" ht="24" hidden="1" customHeight="1" x14ac:dyDescent="0.3">
      <c r="A1392" s="19"/>
      <c r="B1392" s="19"/>
      <c r="C1392" s="36" t="s">
        <v>373</v>
      </c>
      <c r="D1392" s="37"/>
      <c r="E1392" s="19">
        <v>1</v>
      </c>
      <c r="F1392" s="22">
        <v>7.2</v>
      </c>
      <c r="G1392" s="23">
        <f>800+500+500+500+950</f>
        <v>3250</v>
      </c>
      <c r="H1392" s="24">
        <f t="shared" ref="H1392" si="809">F1392*G1392</f>
        <v>23400</v>
      </c>
      <c r="I1392" s="23">
        <v>0</v>
      </c>
      <c r="J1392" s="23">
        <f t="shared" ref="J1392" si="810">SUM(H1392:I1392)</f>
        <v>23400</v>
      </c>
      <c r="K1392" s="32"/>
      <c r="L1392" s="33"/>
      <c r="M1392" s="34"/>
      <c r="N1392" s="35">
        <f t="shared" si="800"/>
        <v>131690996</v>
      </c>
    </row>
    <row r="1393" spans="1:14" s="18" customFormat="1" ht="24" hidden="1" customHeight="1" x14ac:dyDescent="0.3">
      <c r="A1393" s="19"/>
      <c r="B1393" s="19">
        <v>18</v>
      </c>
      <c r="C1393" s="29" t="s">
        <v>415</v>
      </c>
      <c r="D1393" s="21"/>
      <c r="E1393" s="19"/>
      <c r="F1393" s="22"/>
      <c r="G1393" s="23"/>
      <c r="H1393" s="24"/>
      <c r="I1393" s="23"/>
      <c r="J1393" s="23"/>
      <c r="K1393" s="32"/>
      <c r="L1393" s="33"/>
      <c r="M1393" s="34"/>
      <c r="N1393" s="35">
        <f t="shared" si="800"/>
        <v>131690996</v>
      </c>
    </row>
    <row r="1394" spans="1:14" s="18" customFormat="1" ht="24" hidden="1" customHeight="1" x14ac:dyDescent="0.3">
      <c r="A1394" s="19"/>
      <c r="B1394" s="19"/>
      <c r="C1394" s="39" t="s">
        <v>89</v>
      </c>
      <c r="D1394" s="21"/>
      <c r="E1394" s="19">
        <v>1</v>
      </c>
      <c r="F1394" s="22">
        <v>3</v>
      </c>
      <c r="G1394" s="23">
        <v>550</v>
      </c>
      <c r="H1394" s="24">
        <f t="shared" ref="H1394:H1395" si="811">F1394*G1394</f>
        <v>1650</v>
      </c>
      <c r="I1394" s="23">
        <v>0</v>
      </c>
      <c r="J1394" s="23">
        <f t="shared" ref="J1394:J1395" si="812">SUM(H1394:I1394)</f>
        <v>1650</v>
      </c>
      <c r="K1394" s="32"/>
      <c r="L1394" s="33"/>
      <c r="M1394" s="34"/>
      <c r="N1394" s="35">
        <f t="shared" si="800"/>
        <v>131692646</v>
      </c>
    </row>
    <row r="1395" spans="1:14" s="18" customFormat="1" ht="24" hidden="1" customHeight="1" x14ac:dyDescent="0.3">
      <c r="A1395" s="19"/>
      <c r="B1395" s="19"/>
      <c r="C1395" s="39" t="s">
        <v>46</v>
      </c>
      <c r="D1395" s="21"/>
      <c r="E1395" s="19">
        <v>22</v>
      </c>
      <c r="F1395" s="22">
        <v>74.5</v>
      </c>
      <c r="G1395" s="23">
        <v>1950</v>
      </c>
      <c r="H1395" s="24">
        <f t="shared" si="811"/>
        <v>145275</v>
      </c>
      <c r="I1395" s="23">
        <v>0</v>
      </c>
      <c r="J1395" s="23">
        <f t="shared" si="812"/>
        <v>145275</v>
      </c>
      <c r="K1395" s="32"/>
      <c r="L1395" s="33"/>
      <c r="M1395" s="34"/>
      <c r="N1395" s="35">
        <f t="shared" si="800"/>
        <v>131837921</v>
      </c>
    </row>
    <row r="1396" spans="1:14" s="18" customFormat="1" ht="24" hidden="1" customHeight="1" x14ac:dyDescent="0.3">
      <c r="A1396" s="19"/>
      <c r="B1396" s="19">
        <v>18</v>
      </c>
      <c r="C1396" s="29" t="s">
        <v>486</v>
      </c>
      <c r="D1396" s="21"/>
      <c r="E1396" s="19"/>
      <c r="F1396" s="22"/>
      <c r="G1396" s="23"/>
      <c r="H1396" s="24"/>
      <c r="I1396" s="23"/>
      <c r="J1396" s="23"/>
      <c r="K1396" s="32"/>
      <c r="L1396" s="33"/>
      <c r="M1396" s="34"/>
      <c r="N1396" s="35">
        <f t="shared" si="800"/>
        <v>131837921</v>
      </c>
    </row>
    <row r="1397" spans="1:14" s="18" customFormat="1" ht="24" hidden="1" customHeight="1" x14ac:dyDescent="0.3">
      <c r="A1397" s="19"/>
      <c r="B1397" s="19"/>
      <c r="C1397" s="36" t="s">
        <v>353</v>
      </c>
      <c r="D1397" s="21"/>
      <c r="E1397" s="19">
        <v>462</v>
      </c>
      <c r="F1397" s="22">
        <v>6995.7</v>
      </c>
      <c r="G1397" s="23">
        <f>2000+2000+500+950+950+200+200+300+300</f>
        <v>7400</v>
      </c>
      <c r="H1397" s="24">
        <f t="shared" ref="H1397" si="813">F1397*G1397</f>
        <v>51768180</v>
      </c>
      <c r="I1397" s="23">
        <v>0</v>
      </c>
      <c r="J1397" s="23">
        <f t="shared" ref="J1397" si="814">SUM(H1397:I1397)</f>
        <v>51768180</v>
      </c>
      <c r="K1397" s="32"/>
      <c r="L1397" s="33"/>
      <c r="M1397" s="34"/>
      <c r="N1397" s="35">
        <f t="shared" si="800"/>
        <v>183606101</v>
      </c>
    </row>
    <row r="1398" spans="1:14" s="18" customFormat="1" ht="24" hidden="1" customHeight="1" x14ac:dyDescent="0.3">
      <c r="A1398" s="19"/>
      <c r="B1398" s="19">
        <v>21</v>
      </c>
      <c r="C1398" s="20" t="s">
        <v>487</v>
      </c>
      <c r="D1398" s="21"/>
      <c r="E1398" s="19"/>
      <c r="F1398" s="22"/>
      <c r="G1398" s="23"/>
      <c r="H1398" s="24"/>
      <c r="I1398" s="23"/>
      <c r="J1398" s="23"/>
      <c r="K1398" s="32"/>
      <c r="L1398" s="33"/>
      <c r="M1398" s="34"/>
      <c r="N1398" s="35">
        <f t="shared" si="800"/>
        <v>183606101</v>
      </c>
    </row>
    <row r="1399" spans="1:14" s="18" customFormat="1" ht="24" hidden="1" customHeight="1" x14ac:dyDescent="0.3">
      <c r="A1399" s="19"/>
      <c r="B1399" s="19"/>
      <c r="C1399" s="29" t="s">
        <v>488</v>
      </c>
      <c r="D1399" s="21"/>
      <c r="E1399" s="19">
        <v>3104</v>
      </c>
      <c r="F1399" s="22">
        <v>17388.8</v>
      </c>
      <c r="G1399" s="23">
        <f>500+1000+900+150</f>
        <v>2550</v>
      </c>
      <c r="H1399" s="24">
        <f t="shared" ref="H1399" si="815">F1399*G1399</f>
        <v>44341440</v>
      </c>
      <c r="I1399" s="23">
        <v>0</v>
      </c>
      <c r="J1399" s="23">
        <f t="shared" ref="J1399" si="816">SUM(H1399:I1399)</f>
        <v>44341440</v>
      </c>
      <c r="K1399" s="32"/>
      <c r="L1399" s="33"/>
      <c r="M1399" s="34"/>
      <c r="N1399" s="35">
        <f t="shared" si="800"/>
        <v>227947541</v>
      </c>
    </row>
    <row r="1400" spans="1:14" s="18" customFormat="1" ht="24" hidden="1" customHeight="1" x14ac:dyDescent="0.3">
      <c r="A1400" s="19"/>
      <c r="B1400" s="19">
        <v>21</v>
      </c>
      <c r="C1400" s="29" t="s">
        <v>489</v>
      </c>
      <c r="D1400" s="37"/>
      <c r="E1400" s="19"/>
      <c r="F1400" s="22"/>
      <c r="G1400" s="23"/>
      <c r="H1400" s="24"/>
      <c r="I1400" s="23"/>
      <c r="J1400" s="23"/>
      <c r="K1400" s="32"/>
      <c r="L1400" s="33"/>
      <c r="M1400" s="34"/>
      <c r="N1400" s="35">
        <f t="shared" si="800"/>
        <v>227947541</v>
      </c>
    </row>
    <row r="1401" spans="1:14" s="18" customFormat="1" ht="24" hidden="1" customHeight="1" x14ac:dyDescent="0.3">
      <c r="A1401" s="19"/>
      <c r="B1401" s="19"/>
      <c r="C1401" s="29" t="s">
        <v>490</v>
      </c>
      <c r="D1401" s="21"/>
      <c r="E1401" s="19"/>
      <c r="F1401" s="22"/>
      <c r="G1401" s="23"/>
      <c r="H1401" s="24">
        <f>480000/2</f>
        <v>240000</v>
      </c>
      <c r="I1401" s="23">
        <f>H1401*0.1</f>
        <v>24000</v>
      </c>
      <c r="J1401" s="23">
        <f>SUM(H1401:I1401)</f>
        <v>264000</v>
      </c>
      <c r="K1401" s="32"/>
      <c r="L1401" s="33"/>
      <c r="M1401" s="34"/>
      <c r="N1401" s="35">
        <f t="shared" si="800"/>
        <v>228211541</v>
      </c>
    </row>
    <row r="1402" spans="1:14" s="18" customFormat="1" ht="24" hidden="1" customHeight="1" x14ac:dyDescent="0.3">
      <c r="A1402" s="19"/>
      <c r="B1402" s="19">
        <v>22</v>
      </c>
      <c r="C1402" s="29" t="s">
        <v>254</v>
      </c>
      <c r="D1402" s="37"/>
      <c r="E1402" s="19"/>
      <c r="F1402" s="22"/>
      <c r="G1402" s="23"/>
      <c r="H1402" s="24"/>
      <c r="I1402" s="23"/>
      <c r="J1402" s="23"/>
      <c r="K1402" s="32"/>
      <c r="L1402" s="33"/>
      <c r="M1402" s="34"/>
      <c r="N1402" s="38">
        <f t="shared" si="800"/>
        <v>228211541</v>
      </c>
    </row>
    <row r="1403" spans="1:14" s="18" customFormat="1" ht="24" hidden="1" customHeight="1" x14ac:dyDescent="0.3">
      <c r="A1403" s="19"/>
      <c r="B1403" s="19"/>
      <c r="C1403" s="36" t="s">
        <v>353</v>
      </c>
      <c r="D1403" s="21"/>
      <c r="E1403" s="19">
        <v>12</v>
      </c>
      <c r="F1403" s="22">
        <v>36</v>
      </c>
      <c r="G1403" s="23">
        <f>2000+2000+500+950+950+200+200+300+300</f>
        <v>7400</v>
      </c>
      <c r="H1403" s="24">
        <f t="shared" ref="H1403:H1404" si="817">F1403*G1403</f>
        <v>266400</v>
      </c>
      <c r="I1403" s="23">
        <v>0</v>
      </c>
      <c r="J1403" s="23">
        <f t="shared" ref="J1403:J1404" si="818">SUM(H1403:I1403)</f>
        <v>266400</v>
      </c>
      <c r="K1403" s="32"/>
      <c r="L1403" s="33"/>
      <c r="M1403" s="34"/>
      <c r="N1403" s="38">
        <f t="shared" si="800"/>
        <v>228477941</v>
      </c>
    </row>
    <row r="1404" spans="1:14" s="18" customFormat="1" ht="24" hidden="1" customHeight="1" x14ac:dyDescent="0.3">
      <c r="A1404" s="19"/>
      <c r="B1404" s="19"/>
      <c r="C1404" s="36" t="s">
        <v>23</v>
      </c>
      <c r="D1404" s="21"/>
      <c r="E1404" s="19">
        <v>11</v>
      </c>
      <c r="F1404" s="22">
        <v>117.5</v>
      </c>
      <c r="G1404" s="23">
        <f>2000+500+950+200+300</f>
        <v>3950</v>
      </c>
      <c r="H1404" s="24">
        <f t="shared" si="817"/>
        <v>464125</v>
      </c>
      <c r="I1404" s="23">
        <v>0</v>
      </c>
      <c r="J1404" s="23">
        <f t="shared" si="818"/>
        <v>464125</v>
      </c>
      <c r="K1404" s="32"/>
      <c r="L1404" s="33"/>
      <c r="M1404" s="34"/>
      <c r="N1404" s="38">
        <f t="shared" si="800"/>
        <v>228942066</v>
      </c>
    </row>
    <row r="1405" spans="1:14" s="2" customFormat="1" ht="27" hidden="1" customHeight="1" thickBot="1" x14ac:dyDescent="0.35">
      <c r="A1405" s="1"/>
      <c r="B1405" s="1"/>
      <c r="C1405" s="1"/>
      <c r="E1405" s="86" t="s">
        <v>0</v>
      </c>
      <c r="F1405" s="86"/>
      <c r="G1405" s="86"/>
      <c r="H1405" s="86"/>
      <c r="I1405" s="86"/>
      <c r="J1405" s="86"/>
      <c r="K1405" s="1"/>
      <c r="L1405" s="3"/>
      <c r="M1405" s="3"/>
      <c r="N1405" s="1"/>
    </row>
    <row r="1406" spans="1:14" s="2" customFormat="1" ht="24" hidden="1" customHeight="1" thickTop="1" x14ac:dyDescent="0.3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3"/>
      <c r="M1406" s="3"/>
      <c r="N1406" s="1"/>
    </row>
    <row r="1407" spans="1:14" s="2" customFormat="1" ht="24" hidden="1" customHeight="1" thickBot="1" x14ac:dyDescent="0.35">
      <c r="A1407" s="2" t="s">
        <v>1</v>
      </c>
      <c r="C1407" s="4"/>
      <c r="D1407" s="4"/>
      <c r="E1407" s="5"/>
      <c r="F1407" s="6"/>
      <c r="G1407" s="7"/>
      <c r="H1407" s="7"/>
      <c r="I1407" s="7"/>
      <c r="J1407" s="8"/>
      <c r="K1407" s="9"/>
      <c r="L1407" s="10"/>
      <c r="M1407" s="11"/>
      <c r="N1407" s="12" t="s">
        <v>2</v>
      </c>
    </row>
    <row r="1408" spans="1:14" s="18" customFormat="1" ht="24" hidden="1" customHeight="1" thickTop="1" thickBot="1" x14ac:dyDescent="0.35">
      <c r="A1408" s="13" t="s">
        <v>3</v>
      </c>
      <c r="B1408" s="13" t="s">
        <v>4</v>
      </c>
      <c r="C1408" s="87" t="s">
        <v>5</v>
      </c>
      <c r="D1408" s="88"/>
      <c r="E1408" s="13" t="s">
        <v>6</v>
      </c>
      <c r="F1408" s="14" t="s">
        <v>7</v>
      </c>
      <c r="G1408" s="15" t="s">
        <v>8</v>
      </c>
      <c r="H1408" s="15" t="s">
        <v>9</v>
      </c>
      <c r="I1408" s="15" t="s">
        <v>10</v>
      </c>
      <c r="J1408" s="15" t="s">
        <v>11</v>
      </c>
      <c r="K1408" s="16" t="s">
        <v>12</v>
      </c>
      <c r="L1408" s="89" t="s">
        <v>13</v>
      </c>
      <c r="M1408" s="90"/>
      <c r="N1408" s="17" t="s">
        <v>14</v>
      </c>
    </row>
    <row r="1409" spans="1:14" s="18" customFormat="1" ht="24" hidden="1" customHeight="1" thickTop="1" x14ac:dyDescent="0.3">
      <c r="A1409" s="41"/>
      <c r="B1409" s="41"/>
      <c r="C1409" s="73" t="s">
        <v>41</v>
      </c>
      <c r="D1409" s="40"/>
      <c r="E1409" s="41"/>
      <c r="F1409" s="42"/>
      <c r="G1409" s="43"/>
      <c r="H1409" s="44"/>
      <c r="I1409" s="43"/>
      <c r="J1409" s="43"/>
      <c r="K1409" s="25"/>
      <c r="L1409" s="26"/>
      <c r="M1409" s="27"/>
      <c r="N1409" s="28">
        <f>N1404</f>
        <v>228942066</v>
      </c>
    </row>
    <row r="1410" spans="1:14" s="18" customFormat="1" ht="24" hidden="1" customHeight="1" x14ac:dyDescent="0.3">
      <c r="A1410" s="19">
        <v>7</v>
      </c>
      <c r="B1410" s="19">
        <v>22</v>
      </c>
      <c r="C1410" s="39" t="s">
        <v>491</v>
      </c>
      <c r="D1410" s="21"/>
      <c r="E1410" s="19"/>
      <c r="F1410" s="22"/>
      <c r="G1410" s="23"/>
      <c r="H1410" s="24"/>
      <c r="I1410" s="23"/>
      <c r="J1410" s="23"/>
      <c r="K1410" s="32"/>
      <c r="L1410" s="33"/>
      <c r="M1410" s="34"/>
      <c r="N1410" s="35">
        <f>N1409+J1410+K1410</f>
        <v>228942066</v>
      </c>
    </row>
    <row r="1411" spans="1:14" s="18" customFormat="1" ht="24" hidden="1" customHeight="1" x14ac:dyDescent="0.3">
      <c r="A1411" s="19"/>
      <c r="B1411" s="19"/>
      <c r="C1411" s="36" t="s">
        <v>492</v>
      </c>
      <c r="D1411" s="37"/>
      <c r="E1411" s="19">
        <v>582</v>
      </c>
      <c r="F1411" s="22">
        <v>4694.2</v>
      </c>
      <c r="G1411" s="23">
        <f>2000+2000+1100+950+950+200+200+300+300</f>
        <v>8000</v>
      </c>
      <c r="H1411" s="24">
        <f t="shared" ref="H1411" si="819">F1411*G1411</f>
        <v>37553600</v>
      </c>
      <c r="I1411" s="23">
        <v>0</v>
      </c>
      <c r="J1411" s="23">
        <f t="shared" ref="J1411" si="820">SUM(H1411:I1411)</f>
        <v>37553600</v>
      </c>
      <c r="K1411" s="32"/>
      <c r="L1411" s="33"/>
      <c r="M1411" s="34"/>
      <c r="N1411" s="35">
        <f>N1410+J1411+K1411</f>
        <v>266495666</v>
      </c>
    </row>
    <row r="1412" spans="1:14" s="18" customFormat="1" ht="24" hidden="1" customHeight="1" x14ac:dyDescent="0.3">
      <c r="A1412" s="19"/>
      <c r="B1412" s="19">
        <v>23</v>
      </c>
      <c r="C1412" s="29" t="s">
        <v>489</v>
      </c>
      <c r="D1412" s="21"/>
      <c r="E1412" s="19"/>
      <c r="F1412" s="22"/>
      <c r="G1412" s="23"/>
      <c r="H1412" s="24"/>
      <c r="I1412" s="23"/>
      <c r="J1412" s="23"/>
      <c r="K1412" s="32"/>
      <c r="L1412" s="33"/>
      <c r="M1412" s="34"/>
      <c r="N1412" s="35">
        <f t="shared" ref="N1412:N1443" si="821">N1411+J1412+K1412</f>
        <v>266495666</v>
      </c>
    </row>
    <row r="1413" spans="1:14" s="18" customFormat="1" ht="24" hidden="1" customHeight="1" x14ac:dyDescent="0.3">
      <c r="A1413" s="19"/>
      <c r="B1413" s="19"/>
      <c r="C1413" s="29" t="s">
        <v>80</v>
      </c>
      <c r="D1413" s="21"/>
      <c r="E1413" s="19"/>
      <c r="F1413" s="22"/>
      <c r="G1413" s="23"/>
      <c r="H1413" s="24">
        <f>160000/2</f>
        <v>80000</v>
      </c>
      <c r="I1413" s="23">
        <f>H1413*0.1</f>
        <v>8000</v>
      </c>
      <c r="J1413" s="23">
        <f>SUM(H1413:I1413)</f>
        <v>88000</v>
      </c>
      <c r="K1413" s="32"/>
      <c r="L1413" s="33"/>
      <c r="M1413" s="34"/>
      <c r="N1413" s="35">
        <f t="shared" si="821"/>
        <v>266583666</v>
      </c>
    </row>
    <row r="1414" spans="1:14" s="18" customFormat="1" ht="24" hidden="1" customHeight="1" x14ac:dyDescent="0.3">
      <c r="A1414" s="19"/>
      <c r="B1414" s="19">
        <v>24</v>
      </c>
      <c r="C1414" s="39" t="s">
        <v>288</v>
      </c>
      <c r="D1414" s="21"/>
      <c r="E1414" s="19"/>
      <c r="F1414" s="22"/>
      <c r="G1414" s="23"/>
      <c r="H1414" s="24"/>
      <c r="I1414" s="23"/>
      <c r="J1414" s="23"/>
      <c r="K1414" s="32"/>
      <c r="L1414" s="33"/>
      <c r="M1414" s="34"/>
      <c r="N1414" s="35">
        <f t="shared" si="821"/>
        <v>266583666</v>
      </c>
    </row>
    <row r="1415" spans="1:14" s="18" customFormat="1" ht="24" hidden="1" customHeight="1" x14ac:dyDescent="0.3">
      <c r="A1415" s="19"/>
      <c r="B1415" s="19"/>
      <c r="C1415" s="39" t="s">
        <v>89</v>
      </c>
      <c r="D1415" s="21"/>
      <c r="E1415" s="19">
        <v>52</v>
      </c>
      <c r="F1415" s="22">
        <v>358.3</v>
      </c>
      <c r="G1415" s="23">
        <v>550</v>
      </c>
      <c r="H1415" s="24">
        <f t="shared" ref="H1415" si="822">F1415*G1415</f>
        <v>197065</v>
      </c>
      <c r="I1415" s="23">
        <v>0</v>
      </c>
      <c r="J1415" s="23">
        <f t="shared" ref="J1415" si="823">SUM(H1415:I1415)</f>
        <v>197065</v>
      </c>
      <c r="K1415" s="32"/>
      <c r="L1415" s="33"/>
      <c r="M1415" s="34"/>
      <c r="N1415" s="35">
        <f t="shared" si="821"/>
        <v>266780731</v>
      </c>
    </row>
    <row r="1416" spans="1:14" s="18" customFormat="1" ht="24" hidden="1" customHeight="1" x14ac:dyDescent="0.3">
      <c r="A1416" s="19"/>
      <c r="B1416" s="19">
        <v>24</v>
      </c>
      <c r="C1416" s="39" t="s">
        <v>493</v>
      </c>
      <c r="D1416" s="37"/>
      <c r="E1416" s="19"/>
      <c r="F1416" s="22"/>
      <c r="G1416" s="23"/>
      <c r="H1416" s="24"/>
      <c r="I1416" s="23"/>
      <c r="J1416" s="23"/>
      <c r="K1416" s="32"/>
      <c r="L1416" s="33"/>
      <c r="M1416" s="34"/>
      <c r="N1416" s="35">
        <f t="shared" si="821"/>
        <v>266780731</v>
      </c>
    </row>
    <row r="1417" spans="1:14" s="18" customFormat="1" ht="24" hidden="1" customHeight="1" x14ac:dyDescent="0.3">
      <c r="A1417" s="19"/>
      <c r="B1417" s="19"/>
      <c r="C1417" s="36" t="s">
        <v>23</v>
      </c>
      <c r="D1417" s="21"/>
      <c r="E1417" s="19">
        <v>78</v>
      </c>
      <c r="F1417" s="22">
        <v>800</v>
      </c>
      <c r="G1417" s="23">
        <f>2000+500+950+200+300</f>
        <v>3950</v>
      </c>
      <c r="H1417" s="24">
        <f t="shared" ref="H1417" si="824">F1417*G1417</f>
        <v>3160000</v>
      </c>
      <c r="I1417" s="23">
        <v>0</v>
      </c>
      <c r="J1417" s="23">
        <f t="shared" ref="J1417" si="825">SUM(H1417:I1417)</f>
        <v>3160000</v>
      </c>
      <c r="K1417" s="32"/>
      <c r="L1417" s="33"/>
      <c r="M1417" s="34"/>
      <c r="N1417" s="35">
        <f t="shared" si="821"/>
        <v>269940731</v>
      </c>
    </row>
    <row r="1418" spans="1:14" s="18" customFormat="1" ht="24" hidden="1" customHeight="1" x14ac:dyDescent="0.3">
      <c r="A1418" s="19"/>
      <c r="B1418" s="19">
        <v>25</v>
      </c>
      <c r="C1418" s="29" t="s">
        <v>494</v>
      </c>
      <c r="D1418" s="37"/>
      <c r="E1418" s="19"/>
      <c r="F1418" s="22"/>
      <c r="G1418" s="23"/>
      <c r="H1418" s="24"/>
      <c r="I1418" s="23"/>
      <c r="J1418" s="23"/>
      <c r="K1418" s="32"/>
      <c r="L1418" s="33"/>
      <c r="M1418" s="34"/>
      <c r="N1418" s="35">
        <f t="shared" si="821"/>
        <v>269940731</v>
      </c>
    </row>
    <row r="1419" spans="1:14" s="18" customFormat="1" ht="24" hidden="1" customHeight="1" x14ac:dyDescent="0.3">
      <c r="A1419" s="19"/>
      <c r="B1419" s="19"/>
      <c r="C1419" s="36" t="s">
        <v>495</v>
      </c>
      <c r="D1419" s="21"/>
      <c r="E1419" s="19">
        <v>3</v>
      </c>
      <c r="F1419" s="22">
        <v>9.3000000000000007</v>
      </c>
      <c r="G1419" s="23">
        <f>1400+1000+900+150</f>
        <v>3450</v>
      </c>
      <c r="H1419" s="24">
        <f t="shared" ref="H1419:H1421" si="826">F1419*G1419</f>
        <v>32085.000000000004</v>
      </c>
      <c r="I1419" s="23">
        <v>0</v>
      </c>
      <c r="J1419" s="23">
        <f t="shared" ref="J1419:J1421" si="827">SUM(H1419:I1419)</f>
        <v>32085.000000000004</v>
      </c>
      <c r="K1419" s="32"/>
      <c r="L1419" s="33"/>
      <c r="M1419" s="34"/>
      <c r="N1419" s="35">
        <f t="shared" si="821"/>
        <v>269972816</v>
      </c>
    </row>
    <row r="1420" spans="1:14" s="18" customFormat="1" ht="24" hidden="1" customHeight="1" x14ac:dyDescent="0.3">
      <c r="A1420" s="19"/>
      <c r="B1420" s="19"/>
      <c r="C1420" s="29" t="s">
        <v>484</v>
      </c>
      <c r="D1420" s="21"/>
      <c r="E1420" s="19">
        <v>12</v>
      </c>
      <c r="F1420" s="22">
        <v>164.9</v>
      </c>
      <c r="G1420" s="23">
        <f>800+1000+900+150</f>
        <v>2850</v>
      </c>
      <c r="H1420" s="24">
        <f t="shared" si="826"/>
        <v>469965</v>
      </c>
      <c r="I1420" s="23">
        <v>0</v>
      </c>
      <c r="J1420" s="23">
        <f t="shared" si="827"/>
        <v>469965</v>
      </c>
      <c r="K1420" s="32"/>
      <c r="L1420" s="33"/>
      <c r="M1420" s="34"/>
      <c r="N1420" s="35">
        <f t="shared" si="821"/>
        <v>270442781</v>
      </c>
    </row>
    <row r="1421" spans="1:14" s="18" customFormat="1" ht="24" hidden="1" customHeight="1" x14ac:dyDescent="0.3">
      <c r="A1421" s="19"/>
      <c r="B1421" s="19"/>
      <c r="C1421" s="29" t="s">
        <v>115</v>
      </c>
      <c r="D1421" s="21"/>
      <c r="E1421" s="19">
        <v>12</v>
      </c>
      <c r="F1421" s="22">
        <v>164.9</v>
      </c>
      <c r="G1421" s="23">
        <f>500+500+900</f>
        <v>1900</v>
      </c>
      <c r="H1421" s="24">
        <f t="shared" si="826"/>
        <v>313310</v>
      </c>
      <c r="I1421" s="23">
        <v>0</v>
      </c>
      <c r="J1421" s="23">
        <f t="shared" si="827"/>
        <v>313310</v>
      </c>
      <c r="K1421" s="32"/>
      <c r="L1421" s="33"/>
      <c r="M1421" s="34"/>
      <c r="N1421" s="35">
        <f t="shared" si="821"/>
        <v>270756091</v>
      </c>
    </row>
    <row r="1422" spans="1:14" s="18" customFormat="1" ht="24" hidden="1" customHeight="1" x14ac:dyDescent="0.3">
      <c r="A1422" s="19"/>
      <c r="B1422" s="19"/>
      <c r="C1422" s="36"/>
      <c r="D1422" s="21" t="s">
        <v>152</v>
      </c>
      <c r="E1422" s="19"/>
      <c r="F1422" s="22"/>
      <c r="G1422" s="23"/>
      <c r="H1422" s="24"/>
      <c r="I1422" s="23"/>
      <c r="J1422" s="47">
        <v>-12756091</v>
      </c>
      <c r="K1422" s="32"/>
      <c r="L1422" s="33">
        <v>45869</v>
      </c>
      <c r="M1422" s="34">
        <v>-258000000</v>
      </c>
      <c r="N1422" s="35">
        <f t="shared" si="821"/>
        <v>258000000</v>
      </c>
    </row>
    <row r="1423" spans="1:14" s="18" customFormat="1" ht="24" hidden="1" customHeight="1" thickBot="1" x14ac:dyDescent="0.35">
      <c r="A1423" s="49"/>
      <c r="B1423" s="49">
        <v>31</v>
      </c>
      <c r="C1423" s="72"/>
      <c r="D1423" s="51" t="s">
        <v>153</v>
      </c>
      <c r="E1423" s="49"/>
      <c r="F1423" s="52"/>
      <c r="G1423" s="53"/>
      <c r="H1423" s="54"/>
      <c r="I1423" s="53"/>
      <c r="J1423" s="53"/>
      <c r="K1423" s="55">
        <v>-258000000</v>
      </c>
      <c r="L1423" s="56"/>
      <c r="M1423" s="57"/>
      <c r="N1423" s="58">
        <f t="shared" si="821"/>
        <v>0</v>
      </c>
    </row>
    <row r="1424" spans="1:14" s="18" customFormat="1" ht="24" hidden="1" customHeight="1" thickTop="1" x14ac:dyDescent="0.3">
      <c r="A1424" s="59"/>
      <c r="B1424" s="59"/>
      <c r="C1424" s="81"/>
      <c r="D1424" s="61"/>
      <c r="E1424" s="59"/>
      <c r="F1424" s="62"/>
      <c r="G1424" s="63"/>
      <c r="H1424" s="64"/>
      <c r="I1424" s="63"/>
      <c r="J1424" s="63"/>
      <c r="K1424" s="65"/>
      <c r="L1424" s="66"/>
      <c r="M1424" s="67"/>
      <c r="N1424" s="68">
        <f t="shared" si="821"/>
        <v>0</v>
      </c>
    </row>
    <row r="1425" spans="1:14" s="18" customFormat="1" ht="24" hidden="1" customHeight="1" x14ac:dyDescent="0.3">
      <c r="A1425" s="19"/>
      <c r="B1425" s="19"/>
      <c r="C1425" s="39" t="s">
        <v>409</v>
      </c>
      <c r="D1425" s="21"/>
      <c r="E1425" s="19"/>
      <c r="F1425" s="22"/>
      <c r="G1425" s="23"/>
      <c r="H1425" s="24"/>
      <c r="I1425" s="23"/>
      <c r="J1425" s="23"/>
      <c r="K1425" s="32"/>
      <c r="L1425" s="33"/>
      <c r="M1425" s="34"/>
      <c r="N1425" s="35">
        <f t="shared" si="821"/>
        <v>0</v>
      </c>
    </row>
    <row r="1426" spans="1:14" s="18" customFormat="1" ht="24" hidden="1" customHeight="1" x14ac:dyDescent="0.3">
      <c r="A1426" s="19"/>
      <c r="B1426" s="19"/>
      <c r="C1426" s="39" t="s">
        <v>496</v>
      </c>
      <c r="D1426" s="37"/>
      <c r="E1426" s="19"/>
      <c r="F1426" s="22"/>
      <c r="G1426" s="23"/>
      <c r="H1426" s="24"/>
      <c r="I1426" s="23"/>
      <c r="J1426" s="23"/>
      <c r="K1426" s="32"/>
      <c r="L1426" s="33"/>
      <c r="M1426" s="34"/>
      <c r="N1426" s="35">
        <f t="shared" si="821"/>
        <v>0</v>
      </c>
    </row>
    <row r="1427" spans="1:14" s="18" customFormat="1" ht="24" hidden="1" customHeight="1" x14ac:dyDescent="0.3">
      <c r="A1427" s="19"/>
      <c r="B1427" s="19"/>
      <c r="C1427" s="29" t="s">
        <v>81</v>
      </c>
      <c r="D1427" s="21"/>
      <c r="E1427" s="19"/>
      <c r="F1427" s="22"/>
      <c r="G1427" s="23"/>
      <c r="H1427" s="24"/>
      <c r="I1427" s="23"/>
      <c r="J1427" s="23"/>
      <c r="K1427" s="32"/>
      <c r="L1427" s="33"/>
      <c r="M1427" s="34"/>
      <c r="N1427" s="35">
        <f t="shared" si="821"/>
        <v>0</v>
      </c>
    </row>
    <row r="1428" spans="1:14" s="18" customFormat="1" ht="24" hidden="1" customHeight="1" x14ac:dyDescent="0.3">
      <c r="A1428" s="19"/>
      <c r="B1428" s="19"/>
      <c r="C1428" s="29" t="s">
        <v>433</v>
      </c>
      <c r="D1428" s="37"/>
      <c r="E1428" s="19"/>
      <c r="F1428" s="22"/>
      <c r="G1428" s="23"/>
      <c r="H1428" s="24"/>
      <c r="I1428" s="23"/>
      <c r="J1428" s="23"/>
      <c r="K1428" s="32"/>
      <c r="L1428" s="33"/>
      <c r="M1428" s="34"/>
      <c r="N1428" s="35">
        <f t="shared" si="821"/>
        <v>0</v>
      </c>
    </row>
    <row r="1429" spans="1:14" s="18" customFormat="1" ht="24" hidden="1" customHeight="1" x14ac:dyDescent="0.3">
      <c r="A1429" s="19"/>
      <c r="B1429" s="19"/>
      <c r="C1429" s="29" t="s">
        <v>496</v>
      </c>
      <c r="D1429" s="21"/>
      <c r="E1429" s="19"/>
      <c r="F1429" s="22"/>
      <c r="G1429" s="23"/>
      <c r="H1429" s="24"/>
      <c r="I1429" s="23"/>
      <c r="J1429" s="23"/>
      <c r="K1429" s="32"/>
      <c r="L1429" s="33"/>
      <c r="M1429" s="34"/>
      <c r="N1429" s="35">
        <f t="shared" si="821"/>
        <v>0</v>
      </c>
    </row>
    <row r="1430" spans="1:14" s="18" customFormat="1" ht="24" hidden="1" customHeight="1" x14ac:dyDescent="0.3">
      <c r="A1430" s="19"/>
      <c r="B1430" s="19"/>
      <c r="C1430" s="29" t="s">
        <v>81</v>
      </c>
      <c r="D1430" s="21"/>
      <c r="E1430" s="19"/>
      <c r="F1430" s="22"/>
      <c r="G1430" s="23"/>
      <c r="H1430" s="24"/>
      <c r="I1430" s="23"/>
      <c r="J1430" s="23"/>
      <c r="K1430" s="32"/>
      <c r="L1430" s="33"/>
      <c r="M1430" s="34"/>
      <c r="N1430" s="35">
        <f t="shared" si="821"/>
        <v>0</v>
      </c>
    </row>
    <row r="1431" spans="1:14" s="18" customFormat="1" ht="24" hidden="1" customHeight="1" x14ac:dyDescent="0.3">
      <c r="A1431" s="19"/>
      <c r="B1431" s="19"/>
      <c r="C1431" s="29"/>
      <c r="D1431" s="37"/>
      <c r="E1431" s="19"/>
      <c r="F1431" s="22"/>
      <c r="G1431" s="23"/>
      <c r="H1431" s="24"/>
      <c r="I1431" s="23"/>
      <c r="J1431" s="23"/>
      <c r="K1431" s="32"/>
      <c r="L1431" s="33"/>
      <c r="M1431" s="34"/>
      <c r="N1431" s="35">
        <f t="shared" si="821"/>
        <v>0</v>
      </c>
    </row>
    <row r="1432" spans="1:14" s="18" customFormat="1" ht="24" hidden="1" customHeight="1" x14ac:dyDescent="0.3">
      <c r="A1432" s="19"/>
      <c r="B1432" s="19"/>
      <c r="C1432" s="29"/>
      <c r="D1432" s="21"/>
      <c r="E1432" s="19"/>
      <c r="F1432" s="22"/>
      <c r="G1432" s="23"/>
      <c r="H1432" s="24"/>
      <c r="I1432" s="23"/>
      <c r="J1432" s="23"/>
      <c r="K1432" s="32"/>
      <c r="L1432" s="33"/>
      <c r="M1432" s="34"/>
      <c r="N1432" s="35">
        <f t="shared" si="821"/>
        <v>0</v>
      </c>
    </row>
    <row r="1433" spans="1:14" s="18" customFormat="1" ht="24" hidden="1" customHeight="1" x14ac:dyDescent="0.3">
      <c r="A1433" s="19"/>
      <c r="B1433" s="19"/>
      <c r="C1433" s="29"/>
      <c r="D1433" s="21"/>
      <c r="E1433" s="19"/>
      <c r="F1433" s="22"/>
      <c r="G1433" s="23"/>
      <c r="H1433" s="24"/>
      <c r="I1433" s="23"/>
      <c r="J1433" s="23"/>
      <c r="K1433" s="32"/>
      <c r="L1433" s="33"/>
      <c r="M1433" s="34"/>
      <c r="N1433" s="35">
        <f t="shared" si="821"/>
        <v>0</v>
      </c>
    </row>
    <row r="1434" spans="1:14" s="18" customFormat="1" ht="24" hidden="1" customHeight="1" x14ac:dyDescent="0.3">
      <c r="A1434" s="19"/>
      <c r="B1434" s="19"/>
      <c r="C1434" s="39"/>
      <c r="D1434" s="21"/>
      <c r="E1434" s="19"/>
      <c r="F1434" s="22"/>
      <c r="G1434" s="23"/>
      <c r="H1434" s="24"/>
      <c r="I1434" s="23"/>
      <c r="J1434" s="23"/>
      <c r="K1434" s="32"/>
      <c r="L1434" s="33"/>
      <c r="M1434" s="34"/>
      <c r="N1434" s="35">
        <f t="shared" si="821"/>
        <v>0</v>
      </c>
    </row>
    <row r="1435" spans="1:14" s="18" customFormat="1" ht="24" hidden="1" customHeight="1" x14ac:dyDescent="0.3">
      <c r="A1435" s="19"/>
      <c r="B1435" s="19"/>
      <c r="C1435" s="29"/>
      <c r="D1435" s="21"/>
      <c r="E1435" s="19"/>
      <c r="F1435" s="22"/>
      <c r="G1435" s="23"/>
      <c r="H1435" s="24"/>
      <c r="I1435" s="23"/>
      <c r="J1435" s="23"/>
      <c r="K1435" s="32"/>
      <c r="L1435" s="33"/>
      <c r="M1435" s="34"/>
      <c r="N1435" s="35">
        <f t="shared" si="821"/>
        <v>0</v>
      </c>
    </row>
    <row r="1436" spans="1:14" s="18" customFormat="1" ht="24" hidden="1" customHeight="1" x14ac:dyDescent="0.3">
      <c r="A1436" s="19"/>
      <c r="B1436" s="19"/>
      <c r="C1436" s="29"/>
      <c r="D1436" s="21"/>
      <c r="E1436" s="19"/>
      <c r="F1436" s="22"/>
      <c r="G1436" s="23"/>
      <c r="H1436" s="24"/>
      <c r="I1436" s="23"/>
      <c r="J1436" s="23"/>
      <c r="K1436" s="32"/>
      <c r="L1436" s="33"/>
      <c r="M1436" s="34"/>
      <c r="N1436" s="35">
        <f t="shared" si="821"/>
        <v>0</v>
      </c>
    </row>
    <row r="1437" spans="1:14" s="18" customFormat="1" ht="24" hidden="1" customHeight="1" x14ac:dyDescent="0.3">
      <c r="A1437" s="19"/>
      <c r="B1437" s="19"/>
      <c r="C1437" s="29"/>
      <c r="D1437" s="21"/>
      <c r="E1437" s="19"/>
      <c r="F1437" s="22"/>
      <c r="G1437" s="23"/>
      <c r="H1437" s="24"/>
      <c r="I1437" s="23"/>
      <c r="J1437" s="23"/>
      <c r="K1437" s="32"/>
      <c r="L1437" s="33"/>
      <c r="M1437" s="34"/>
      <c r="N1437" s="35">
        <f t="shared" si="821"/>
        <v>0</v>
      </c>
    </row>
    <row r="1438" spans="1:14" s="18" customFormat="1" ht="24" hidden="1" customHeight="1" x14ac:dyDescent="0.3">
      <c r="A1438" s="19"/>
      <c r="B1438" s="19"/>
      <c r="C1438" s="39"/>
      <c r="D1438" s="21"/>
      <c r="E1438" s="19"/>
      <c r="F1438" s="22"/>
      <c r="G1438" s="23"/>
      <c r="H1438" s="24"/>
      <c r="I1438" s="23"/>
      <c r="J1438" s="23"/>
      <c r="K1438" s="32"/>
      <c r="L1438" s="33"/>
      <c r="M1438" s="34"/>
      <c r="N1438" s="35">
        <f t="shared" si="821"/>
        <v>0</v>
      </c>
    </row>
    <row r="1439" spans="1:14" s="18" customFormat="1" ht="24" hidden="1" customHeight="1" x14ac:dyDescent="0.3">
      <c r="A1439" s="19"/>
      <c r="B1439" s="19"/>
      <c r="C1439" s="29"/>
      <c r="D1439" s="37"/>
      <c r="E1439" s="19"/>
      <c r="F1439" s="22"/>
      <c r="G1439" s="23"/>
      <c r="H1439" s="24"/>
      <c r="I1439" s="23"/>
      <c r="J1439" s="23"/>
      <c r="K1439" s="32"/>
      <c r="L1439" s="33"/>
      <c r="M1439" s="34"/>
      <c r="N1439" s="35">
        <f t="shared" si="821"/>
        <v>0</v>
      </c>
    </row>
    <row r="1440" spans="1:14" s="18" customFormat="1" ht="24" hidden="1" customHeight="1" x14ac:dyDescent="0.3">
      <c r="A1440" s="19"/>
      <c r="B1440" s="19"/>
      <c r="C1440" s="39"/>
      <c r="D1440" s="21"/>
      <c r="E1440" s="19"/>
      <c r="F1440" s="22"/>
      <c r="G1440" s="23"/>
      <c r="H1440" s="24"/>
      <c r="I1440" s="23"/>
      <c r="J1440" s="23"/>
      <c r="K1440" s="32"/>
      <c r="L1440" s="33"/>
      <c r="M1440" s="34"/>
      <c r="N1440" s="35">
        <f t="shared" si="821"/>
        <v>0</v>
      </c>
    </row>
    <row r="1441" spans="1:14" s="18" customFormat="1" ht="24" hidden="1" customHeight="1" x14ac:dyDescent="0.3">
      <c r="A1441" s="19"/>
      <c r="B1441" s="19"/>
      <c r="C1441" s="39"/>
      <c r="D1441" s="37"/>
      <c r="E1441" s="19"/>
      <c r="F1441" s="22"/>
      <c r="G1441" s="23"/>
      <c r="H1441" s="24"/>
      <c r="I1441" s="23"/>
      <c r="J1441" s="23"/>
      <c r="K1441" s="32"/>
      <c r="L1441" s="33"/>
      <c r="M1441" s="34"/>
      <c r="N1441" s="38">
        <f t="shared" si="821"/>
        <v>0</v>
      </c>
    </row>
    <row r="1442" spans="1:14" s="18" customFormat="1" ht="24" hidden="1" customHeight="1" x14ac:dyDescent="0.3">
      <c r="A1442" s="19"/>
      <c r="B1442" s="19"/>
      <c r="C1442" s="29"/>
      <c r="D1442" s="21"/>
      <c r="E1442" s="19"/>
      <c r="F1442" s="22"/>
      <c r="G1442" s="23"/>
      <c r="H1442" s="24"/>
      <c r="I1442" s="23"/>
      <c r="J1442" s="23"/>
      <c r="K1442" s="32"/>
      <c r="L1442" s="33"/>
      <c r="M1442" s="34"/>
      <c r="N1442" s="38">
        <f t="shared" si="821"/>
        <v>0</v>
      </c>
    </row>
    <row r="1443" spans="1:14" s="18" customFormat="1" ht="24" hidden="1" customHeight="1" x14ac:dyDescent="0.3">
      <c r="A1443" s="19"/>
      <c r="B1443" s="19"/>
      <c r="C1443" s="39"/>
      <c r="D1443" s="21"/>
      <c r="E1443" s="19"/>
      <c r="F1443" s="22"/>
      <c r="G1443" s="23"/>
      <c r="H1443" s="24"/>
      <c r="I1443" s="23"/>
      <c r="J1443" s="23"/>
      <c r="K1443" s="32"/>
      <c r="L1443" s="33"/>
      <c r="M1443" s="34"/>
      <c r="N1443" s="38">
        <f t="shared" si="821"/>
        <v>0</v>
      </c>
    </row>
    <row r="1444" spans="1:14" s="2" customFormat="1" ht="27" customHeight="1" thickBot="1" x14ac:dyDescent="0.35">
      <c r="A1444" s="1"/>
      <c r="B1444" s="1"/>
      <c r="C1444" s="1"/>
      <c r="E1444" s="86" t="s">
        <v>0</v>
      </c>
      <c r="F1444" s="86"/>
      <c r="G1444" s="86"/>
      <c r="H1444" s="86"/>
      <c r="I1444" s="86"/>
      <c r="J1444" s="86"/>
      <c r="K1444" s="1"/>
      <c r="L1444" s="3"/>
      <c r="M1444" s="3"/>
      <c r="N1444" s="1"/>
    </row>
    <row r="1445" spans="1:14" s="2" customFormat="1" ht="24" customHeight="1" thickTop="1" x14ac:dyDescent="0.3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3"/>
      <c r="M1445" s="3"/>
      <c r="N1445" s="1"/>
    </row>
    <row r="1446" spans="1:14" s="2" customFormat="1" ht="24" customHeight="1" thickBot="1" x14ac:dyDescent="0.35">
      <c r="A1446" s="2" t="s">
        <v>1</v>
      </c>
      <c r="C1446" s="4"/>
      <c r="D1446" s="4"/>
      <c r="E1446" s="5"/>
      <c r="F1446" s="6"/>
      <c r="G1446" s="7"/>
      <c r="H1446" s="7"/>
      <c r="I1446" s="7"/>
      <c r="J1446" s="8"/>
      <c r="K1446" s="9"/>
      <c r="L1446" s="10"/>
      <c r="M1446" s="11"/>
      <c r="N1446" s="12" t="s">
        <v>2</v>
      </c>
    </row>
    <row r="1447" spans="1:14" s="18" customFormat="1" ht="24" customHeight="1" thickTop="1" thickBot="1" x14ac:dyDescent="0.35">
      <c r="A1447" s="13" t="s">
        <v>3</v>
      </c>
      <c r="B1447" s="13" t="s">
        <v>4</v>
      </c>
      <c r="C1447" s="87" t="s">
        <v>5</v>
      </c>
      <c r="D1447" s="88"/>
      <c r="E1447" s="13" t="s">
        <v>6</v>
      </c>
      <c r="F1447" s="14" t="s">
        <v>7</v>
      </c>
      <c r="G1447" s="15" t="s">
        <v>8</v>
      </c>
      <c r="H1447" s="15" t="s">
        <v>9</v>
      </c>
      <c r="I1447" s="15" t="s">
        <v>10</v>
      </c>
      <c r="J1447" s="15" t="s">
        <v>11</v>
      </c>
      <c r="K1447" s="16" t="s">
        <v>12</v>
      </c>
      <c r="L1447" s="89" t="s">
        <v>13</v>
      </c>
      <c r="M1447" s="90"/>
      <c r="N1447" s="17" t="s">
        <v>14</v>
      </c>
    </row>
    <row r="1448" spans="1:14" s="18" customFormat="1" ht="24" customHeight="1" thickTop="1" x14ac:dyDescent="0.3">
      <c r="A1448" s="41">
        <v>7</v>
      </c>
      <c r="B1448" s="41">
        <v>28</v>
      </c>
      <c r="C1448" s="73" t="s">
        <v>288</v>
      </c>
      <c r="D1448" s="40"/>
      <c r="E1448" s="41"/>
      <c r="F1448" s="42"/>
      <c r="G1448" s="43"/>
      <c r="H1448" s="44"/>
      <c r="I1448" s="43"/>
      <c r="J1448" s="43"/>
      <c r="K1448" s="25"/>
      <c r="L1448" s="26"/>
      <c r="M1448" s="27"/>
      <c r="N1448" s="28">
        <f>N1443</f>
        <v>0</v>
      </c>
    </row>
    <row r="1449" spans="1:14" s="18" customFormat="1" ht="24" customHeight="1" x14ac:dyDescent="0.3">
      <c r="A1449" s="19"/>
      <c r="B1449" s="19"/>
      <c r="C1449" s="36" t="s">
        <v>21</v>
      </c>
      <c r="D1449" s="21"/>
      <c r="E1449" s="19">
        <v>10</v>
      </c>
      <c r="F1449" s="22">
        <v>129.19999999999999</v>
      </c>
      <c r="G1449" s="23">
        <f>2000+500+950+200+300</f>
        <v>3950</v>
      </c>
      <c r="H1449" s="24">
        <f t="shared" ref="H1449:H1450" si="828">F1449*G1449</f>
        <v>510339.99999999994</v>
      </c>
      <c r="I1449" s="23">
        <v>0</v>
      </c>
      <c r="J1449" s="23">
        <f t="shared" ref="J1449:J1450" si="829">SUM(H1449:I1449)</f>
        <v>510339.99999999994</v>
      </c>
      <c r="K1449" s="32"/>
      <c r="L1449" s="33"/>
      <c r="M1449" s="34"/>
      <c r="N1449" s="35">
        <f>N1448+J1449+K1449</f>
        <v>510339.99999999994</v>
      </c>
    </row>
    <row r="1450" spans="1:14" s="18" customFormat="1" ht="24" customHeight="1" x14ac:dyDescent="0.3">
      <c r="A1450" s="19"/>
      <c r="B1450" s="19"/>
      <c r="C1450" s="39" t="s">
        <v>46</v>
      </c>
      <c r="D1450" s="37"/>
      <c r="E1450" s="19">
        <v>7</v>
      </c>
      <c r="F1450" s="22">
        <v>86.6</v>
      </c>
      <c r="G1450" s="23">
        <v>1950</v>
      </c>
      <c r="H1450" s="24">
        <f t="shared" si="828"/>
        <v>168870</v>
      </c>
      <c r="I1450" s="23">
        <v>0</v>
      </c>
      <c r="J1450" s="23">
        <f t="shared" si="829"/>
        <v>168870</v>
      </c>
      <c r="K1450" s="32"/>
      <c r="L1450" s="33"/>
      <c r="M1450" s="34"/>
      <c r="N1450" s="35">
        <f>N1449+J1450+K1450</f>
        <v>679210</v>
      </c>
    </row>
    <row r="1451" spans="1:14" s="18" customFormat="1" ht="24" customHeight="1" x14ac:dyDescent="0.3">
      <c r="A1451" s="19"/>
      <c r="B1451" s="19">
        <v>28</v>
      </c>
      <c r="C1451" s="29" t="s">
        <v>415</v>
      </c>
      <c r="D1451" s="21"/>
      <c r="E1451" s="19"/>
      <c r="F1451" s="22"/>
      <c r="G1451" s="23"/>
      <c r="H1451" s="24"/>
      <c r="I1451" s="23"/>
      <c r="J1451" s="23"/>
      <c r="K1451" s="32"/>
      <c r="L1451" s="33"/>
      <c r="M1451" s="34"/>
      <c r="N1451" s="35">
        <f t="shared" ref="N1451:N1482" si="830">N1450+J1451+K1451</f>
        <v>679210</v>
      </c>
    </row>
    <row r="1452" spans="1:14" s="18" customFormat="1" ht="24" customHeight="1" x14ac:dyDescent="0.3">
      <c r="A1452" s="19"/>
      <c r="B1452" s="19"/>
      <c r="C1452" s="39" t="s">
        <v>46</v>
      </c>
      <c r="D1452" s="37"/>
      <c r="E1452" s="19">
        <v>2</v>
      </c>
      <c r="F1452" s="22">
        <v>8.4</v>
      </c>
      <c r="G1452" s="23">
        <v>1950</v>
      </c>
      <c r="H1452" s="24">
        <f t="shared" ref="H1452" si="831">F1452*G1452</f>
        <v>16380</v>
      </c>
      <c r="I1452" s="23">
        <v>0</v>
      </c>
      <c r="J1452" s="23">
        <f t="shared" ref="J1452" si="832">SUM(H1452:I1452)</f>
        <v>16380</v>
      </c>
      <c r="K1452" s="32"/>
      <c r="L1452" s="33"/>
      <c r="M1452" s="34"/>
      <c r="N1452" s="35">
        <f t="shared" si="830"/>
        <v>695590</v>
      </c>
    </row>
    <row r="1453" spans="1:14" s="18" customFormat="1" ht="24" customHeight="1" x14ac:dyDescent="0.3">
      <c r="A1453" s="19"/>
      <c r="B1453" s="19">
        <v>29</v>
      </c>
      <c r="C1453" s="29" t="s">
        <v>489</v>
      </c>
      <c r="D1453" s="21"/>
      <c r="E1453" s="19"/>
      <c r="F1453" s="22"/>
      <c r="G1453" s="23"/>
      <c r="H1453" s="24"/>
      <c r="I1453" s="23"/>
      <c r="J1453" s="23"/>
      <c r="K1453" s="32"/>
      <c r="L1453" s="33"/>
      <c r="M1453" s="34"/>
      <c r="N1453" s="35">
        <f t="shared" si="830"/>
        <v>695590</v>
      </c>
    </row>
    <row r="1454" spans="1:14" s="18" customFormat="1" ht="24" customHeight="1" x14ac:dyDescent="0.3">
      <c r="A1454" s="19"/>
      <c r="B1454" s="19"/>
      <c r="C1454" s="29" t="s">
        <v>77</v>
      </c>
      <c r="D1454" s="21"/>
      <c r="E1454" s="19"/>
      <c r="F1454" s="22"/>
      <c r="G1454" s="23"/>
      <c r="H1454" s="24">
        <f>(160000*2)/2</f>
        <v>160000</v>
      </c>
      <c r="I1454" s="23">
        <f>H1454*0.1</f>
        <v>16000</v>
      </c>
      <c r="J1454" s="23">
        <f>SUM(H1454:I1454)</f>
        <v>176000</v>
      </c>
      <c r="K1454" s="32"/>
      <c r="L1454" s="33"/>
      <c r="M1454" s="34"/>
      <c r="N1454" s="35">
        <f t="shared" si="830"/>
        <v>871590</v>
      </c>
    </row>
    <row r="1455" spans="1:14" s="18" customFormat="1" ht="24" customHeight="1" x14ac:dyDescent="0.3">
      <c r="A1455" s="19"/>
      <c r="B1455" s="19">
        <v>30</v>
      </c>
      <c r="C1455" s="29" t="s">
        <v>497</v>
      </c>
      <c r="D1455" s="21"/>
      <c r="E1455" s="19"/>
      <c r="F1455" s="22"/>
      <c r="G1455" s="23"/>
      <c r="H1455" s="24"/>
      <c r="I1455" s="23"/>
      <c r="J1455" s="23"/>
      <c r="K1455" s="32"/>
      <c r="L1455" s="33"/>
      <c r="M1455" s="34"/>
      <c r="N1455" s="35">
        <f t="shared" si="830"/>
        <v>871590</v>
      </c>
    </row>
    <row r="1456" spans="1:14" s="18" customFormat="1" ht="24" customHeight="1" x14ac:dyDescent="0.3">
      <c r="A1456" s="19"/>
      <c r="B1456" s="19"/>
      <c r="C1456" s="36" t="s">
        <v>241</v>
      </c>
      <c r="D1456" s="21"/>
      <c r="E1456" s="19">
        <v>24</v>
      </c>
      <c r="F1456" s="22">
        <v>247.8</v>
      </c>
      <c r="G1456" s="23">
        <f>900+1250+900+150</f>
        <v>3200</v>
      </c>
      <c r="H1456" s="24">
        <f t="shared" ref="H1456" si="833">F1456*G1456</f>
        <v>792960</v>
      </c>
      <c r="I1456" s="23">
        <v>0</v>
      </c>
      <c r="J1456" s="23">
        <f t="shared" ref="J1456" si="834">SUM(H1456:I1456)</f>
        <v>792960</v>
      </c>
      <c r="K1456" s="32"/>
      <c r="L1456" s="33"/>
      <c r="M1456" s="34"/>
      <c r="N1456" s="35">
        <f t="shared" si="830"/>
        <v>1664550</v>
      </c>
    </row>
    <row r="1457" spans="1:14" s="18" customFormat="1" ht="24" customHeight="1" x14ac:dyDescent="0.3">
      <c r="A1457" s="19"/>
      <c r="B1457" s="19">
        <v>31</v>
      </c>
      <c r="C1457" s="29" t="s">
        <v>489</v>
      </c>
      <c r="D1457" s="21"/>
      <c r="E1457" s="19"/>
      <c r="F1457" s="22"/>
      <c r="G1457" s="23"/>
      <c r="H1457" s="24"/>
      <c r="I1457" s="23"/>
      <c r="J1457" s="23"/>
      <c r="K1457" s="32"/>
      <c r="L1457" s="33"/>
      <c r="M1457" s="34"/>
      <c r="N1457" s="35">
        <f t="shared" si="830"/>
        <v>1664550</v>
      </c>
    </row>
    <row r="1458" spans="1:14" s="18" customFormat="1" ht="24" customHeight="1" x14ac:dyDescent="0.3">
      <c r="A1458" s="19"/>
      <c r="B1458" s="19"/>
      <c r="C1458" s="29" t="s">
        <v>498</v>
      </c>
      <c r="D1458" s="21"/>
      <c r="E1458" s="19"/>
      <c r="F1458" s="22"/>
      <c r="G1458" s="23"/>
      <c r="H1458" s="24">
        <f>(160000+288000)/2</f>
        <v>224000</v>
      </c>
      <c r="I1458" s="23">
        <f>H1458*0.1</f>
        <v>22400</v>
      </c>
      <c r="J1458" s="23">
        <f>SUM(H1458:I1458)</f>
        <v>246400</v>
      </c>
      <c r="K1458" s="32"/>
      <c r="L1458" s="33"/>
      <c r="M1458" s="34"/>
      <c r="N1458" s="35">
        <f t="shared" si="830"/>
        <v>1910950</v>
      </c>
    </row>
    <row r="1459" spans="1:14" s="18" customFormat="1" ht="24" customHeight="1" x14ac:dyDescent="0.3">
      <c r="A1459" s="19"/>
      <c r="B1459" s="19">
        <v>31</v>
      </c>
      <c r="C1459" s="29" t="s">
        <v>415</v>
      </c>
      <c r="D1459" s="21"/>
      <c r="E1459" s="19"/>
      <c r="F1459" s="22"/>
      <c r="G1459" s="23"/>
      <c r="H1459" s="24"/>
      <c r="I1459" s="23"/>
      <c r="J1459" s="23"/>
      <c r="K1459" s="32"/>
      <c r="L1459" s="33"/>
      <c r="M1459" s="34"/>
      <c r="N1459" s="35">
        <f t="shared" si="830"/>
        <v>1910950</v>
      </c>
    </row>
    <row r="1460" spans="1:14" s="18" customFormat="1" ht="24" customHeight="1" x14ac:dyDescent="0.3">
      <c r="A1460" s="19"/>
      <c r="B1460" s="19"/>
      <c r="C1460" s="39" t="s">
        <v>46</v>
      </c>
      <c r="D1460" s="37"/>
      <c r="E1460" s="19">
        <v>1</v>
      </c>
      <c r="F1460" s="22">
        <v>4.2</v>
      </c>
      <c r="G1460" s="23">
        <v>1950</v>
      </c>
      <c r="H1460" s="24">
        <f t="shared" ref="H1460" si="835">F1460*G1460</f>
        <v>8190</v>
      </c>
      <c r="I1460" s="23">
        <v>0</v>
      </c>
      <c r="J1460" s="23">
        <f t="shared" ref="J1460" si="836">SUM(H1460:I1460)</f>
        <v>8190</v>
      </c>
      <c r="K1460" s="32"/>
      <c r="L1460" s="33"/>
      <c r="M1460" s="34"/>
      <c r="N1460" s="35">
        <f t="shared" si="830"/>
        <v>1919140</v>
      </c>
    </row>
    <row r="1461" spans="1:14" s="18" customFormat="1" ht="24" customHeight="1" x14ac:dyDescent="0.3">
      <c r="A1461" s="19"/>
      <c r="B1461" s="19">
        <v>31</v>
      </c>
      <c r="C1461" s="20" t="s">
        <v>499</v>
      </c>
      <c r="D1461" s="37"/>
      <c r="E1461" s="19"/>
      <c r="F1461" s="22"/>
      <c r="G1461" s="23"/>
      <c r="H1461" s="24"/>
      <c r="I1461" s="23"/>
      <c r="J1461" s="23"/>
      <c r="K1461" s="32"/>
      <c r="L1461" s="33"/>
      <c r="M1461" s="34"/>
      <c r="N1461" s="35">
        <f t="shared" si="830"/>
        <v>1919140</v>
      </c>
    </row>
    <row r="1462" spans="1:14" s="18" customFormat="1" ht="24" customHeight="1" x14ac:dyDescent="0.3">
      <c r="A1462" s="19"/>
      <c r="B1462" s="19"/>
      <c r="C1462" s="36" t="s">
        <v>559</v>
      </c>
      <c r="D1462" s="21"/>
      <c r="E1462" s="19">
        <v>66</v>
      </c>
      <c r="F1462" s="22">
        <v>474.8</v>
      </c>
      <c r="G1462" s="23">
        <f>2000+2000+500+950+950+200+200+300+300</f>
        <v>7400</v>
      </c>
      <c r="H1462" s="24">
        <f t="shared" ref="H1462:H1463" si="837">F1462*G1462</f>
        <v>3513520</v>
      </c>
      <c r="I1462" s="23">
        <v>0</v>
      </c>
      <c r="J1462" s="23">
        <f t="shared" ref="J1462:J1463" si="838">SUM(H1462:I1462)</f>
        <v>3513520</v>
      </c>
      <c r="K1462" s="32"/>
      <c r="L1462" s="33"/>
      <c r="M1462" s="34"/>
      <c r="N1462" s="35">
        <f t="shared" si="830"/>
        <v>5432660</v>
      </c>
    </row>
    <row r="1463" spans="1:14" s="18" customFormat="1" ht="24" customHeight="1" x14ac:dyDescent="0.3">
      <c r="A1463" s="19"/>
      <c r="B1463" s="19"/>
      <c r="C1463" s="29" t="s">
        <v>275</v>
      </c>
      <c r="D1463" s="21"/>
      <c r="E1463" s="19">
        <v>486</v>
      </c>
      <c r="F1463" s="22">
        <v>2577.6</v>
      </c>
      <c r="G1463" s="23">
        <f>500+1000+900+150</f>
        <v>2550</v>
      </c>
      <c r="H1463" s="24">
        <f t="shared" si="837"/>
        <v>6572880</v>
      </c>
      <c r="I1463" s="23">
        <v>0</v>
      </c>
      <c r="J1463" s="23">
        <f t="shared" si="838"/>
        <v>6572880</v>
      </c>
      <c r="K1463" s="32"/>
      <c r="L1463" s="33"/>
      <c r="M1463" s="34"/>
      <c r="N1463" s="35">
        <f t="shared" si="830"/>
        <v>12005540</v>
      </c>
    </row>
    <row r="1464" spans="1:14" s="18" customFormat="1" ht="24" customHeight="1" x14ac:dyDescent="0.3">
      <c r="A1464" s="19"/>
      <c r="B1464" s="19">
        <v>31</v>
      </c>
      <c r="C1464" s="29" t="s">
        <v>491</v>
      </c>
      <c r="D1464" s="21"/>
      <c r="E1464" s="19"/>
      <c r="F1464" s="22"/>
      <c r="G1464" s="23"/>
      <c r="H1464" s="24"/>
      <c r="I1464" s="23"/>
      <c r="J1464" s="23"/>
      <c r="K1464" s="32"/>
      <c r="L1464" s="33"/>
      <c r="M1464" s="34"/>
      <c r="N1464" s="35">
        <f t="shared" si="830"/>
        <v>12005540</v>
      </c>
    </row>
    <row r="1465" spans="1:14" s="18" customFormat="1" ht="24" customHeight="1" x14ac:dyDescent="0.3">
      <c r="A1465" s="19"/>
      <c r="B1465" s="19"/>
      <c r="C1465" s="36" t="s">
        <v>500</v>
      </c>
      <c r="D1465" s="21"/>
      <c r="E1465" s="19">
        <v>14</v>
      </c>
      <c r="F1465" s="22">
        <v>56.5</v>
      </c>
      <c r="G1465" s="23">
        <f>2000+2000+1100+900+900+150+150+250+250</f>
        <v>7700</v>
      </c>
      <c r="H1465" s="24">
        <f t="shared" ref="H1465:H1467" si="839">F1465*G1465</f>
        <v>435050</v>
      </c>
      <c r="I1465" s="23">
        <v>0</v>
      </c>
      <c r="J1465" s="23">
        <f t="shared" ref="J1465:J1467" si="840">SUM(H1465:I1465)</f>
        <v>435050</v>
      </c>
      <c r="K1465" s="32"/>
      <c r="L1465" s="33"/>
      <c r="M1465" s="34"/>
      <c r="N1465" s="35">
        <f t="shared" si="830"/>
        <v>12440590</v>
      </c>
    </row>
    <row r="1466" spans="1:14" s="18" customFormat="1" ht="24" customHeight="1" x14ac:dyDescent="0.3">
      <c r="A1466" s="19"/>
      <c r="B1466" s="19"/>
      <c r="C1466" s="36" t="s">
        <v>501</v>
      </c>
      <c r="D1466" s="21"/>
      <c r="E1466" s="19">
        <v>77</v>
      </c>
      <c r="F1466" s="22">
        <v>387.9</v>
      </c>
      <c r="G1466" s="23">
        <f>2000+2000+1100+950+950+200+200+300+300</f>
        <v>8000</v>
      </c>
      <c r="H1466" s="24">
        <f t="shared" si="839"/>
        <v>3103200</v>
      </c>
      <c r="I1466" s="23">
        <v>0</v>
      </c>
      <c r="J1466" s="23">
        <f t="shared" si="840"/>
        <v>3103200</v>
      </c>
      <c r="K1466" s="32"/>
      <c r="L1466" s="33"/>
      <c r="M1466" s="34"/>
      <c r="N1466" s="35">
        <f t="shared" si="830"/>
        <v>15543790</v>
      </c>
    </row>
    <row r="1467" spans="1:14" s="18" customFormat="1" ht="24" customHeight="1" x14ac:dyDescent="0.3">
      <c r="A1467" s="19"/>
      <c r="B1467" s="19"/>
      <c r="C1467" s="36" t="s">
        <v>21</v>
      </c>
      <c r="D1467" s="21"/>
      <c r="E1467" s="19">
        <v>7</v>
      </c>
      <c r="F1467" s="22">
        <v>154.1</v>
      </c>
      <c r="G1467" s="23">
        <f>2000+500+950+200+300</f>
        <v>3950</v>
      </c>
      <c r="H1467" s="24">
        <f t="shared" si="839"/>
        <v>608695</v>
      </c>
      <c r="I1467" s="23">
        <v>0</v>
      </c>
      <c r="J1467" s="23">
        <f t="shared" si="840"/>
        <v>608695</v>
      </c>
      <c r="K1467" s="32"/>
      <c r="L1467" s="33"/>
      <c r="M1467" s="34"/>
      <c r="N1467" s="35">
        <f t="shared" si="830"/>
        <v>16152485</v>
      </c>
    </row>
    <row r="1468" spans="1:14" s="18" customFormat="1" ht="24" customHeight="1" x14ac:dyDescent="0.3">
      <c r="A1468" s="19"/>
      <c r="B1468" s="19">
        <v>31</v>
      </c>
      <c r="C1468" s="29" t="s">
        <v>502</v>
      </c>
      <c r="D1468" s="21"/>
      <c r="E1468" s="19"/>
      <c r="F1468" s="22"/>
      <c r="G1468" s="23"/>
      <c r="H1468" s="24"/>
      <c r="I1468" s="23"/>
      <c r="J1468" s="23"/>
      <c r="K1468" s="32"/>
      <c r="L1468" s="33"/>
      <c r="M1468" s="34"/>
      <c r="N1468" s="35">
        <f t="shared" si="830"/>
        <v>16152485</v>
      </c>
    </row>
    <row r="1469" spans="1:14" s="18" customFormat="1" ht="24" customHeight="1" x14ac:dyDescent="0.3">
      <c r="A1469" s="19"/>
      <c r="B1469" s="19"/>
      <c r="C1469" s="36" t="s">
        <v>21</v>
      </c>
      <c r="D1469" s="37"/>
      <c r="E1469" s="19">
        <v>6</v>
      </c>
      <c r="F1469" s="22">
        <v>115</v>
      </c>
      <c r="G1469" s="23">
        <f>2000+500+950+200+300</f>
        <v>3950</v>
      </c>
      <c r="H1469" s="24">
        <f t="shared" ref="H1469" si="841">F1469*G1469</f>
        <v>454250</v>
      </c>
      <c r="I1469" s="23">
        <v>0</v>
      </c>
      <c r="J1469" s="23">
        <f t="shared" ref="J1469" si="842">SUM(H1469:I1469)</f>
        <v>454250</v>
      </c>
      <c r="K1469" s="32"/>
      <c r="L1469" s="33"/>
      <c r="M1469" s="34"/>
      <c r="N1469" s="35">
        <f t="shared" si="830"/>
        <v>16606735</v>
      </c>
    </row>
    <row r="1470" spans="1:14" s="18" customFormat="1" ht="24" customHeight="1" x14ac:dyDescent="0.3">
      <c r="A1470" s="19"/>
      <c r="B1470" s="19">
        <v>31</v>
      </c>
      <c r="C1470" s="29" t="s">
        <v>415</v>
      </c>
      <c r="D1470" s="21"/>
      <c r="E1470" s="19"/>
      <c r="F1470" s="22"/>
      <c r="G1470" s="23"/>
      <c r="H1470" s="24"/>
      <c r="I1470" s="23"/>
      <c r="J1470" s="23"/>
      <c r="K1470" s="32"/>
      <c r="L1470" s="33"/>
      <c r="M1470" s="34"/>
      <c r="N1470" s="35">
        <f t="shared" si="830"/>
        <v>16606735</v>
      </c>
    </row>
    <row r="1471" spans="1:14" s="18" customFormat="1" ht="24" customHeight="1" x14ac:dyDescent="0.3">
      <c r="A1471" s="19"/>
      <c r="B1471" s="19"/>
      <c r="C1471" s="36" t="s">
        <v>48</v>
      </c>
      <c r="D1471" s="37"/>
      <c r="E1471" s="19">
        <v>6</v>
      </c>
      <c r="F1471" s="22">
        <v>37.6</v>
      </c>
      <c r="G1471" s="23">
        <f>2000+500+950+200</f>
        <v>3650</v>
      </c>
      <c r="H1471" s="24">
        <f t="shared" ref="H1471" si="843">F1471*G1471</f>
        <v>137240</v>
      </c>
      <c r="I1471" s="23">
        <v>0</v>
      </c>
      <c r="J1471" s="23">
        <f t="shared" ref="J1471" si="844">SUM(H1471:I1471)</f>
        <v>137240</v>
      </c>
      <c r="K1471" s="32"/>
      <c r="L1471" s="33"/>
      <c r="M1471" s="34"/>
      <c r="N1471" s="35">
        <f t="shared" si="830"/>
        <v>16743975</v>
      </c>
    </row>
    <row r="1472" spans="1:14" s="18" customFormat="1" ht="24" customHeight="1" x14ac:dyDescent="0.3">
      <c r="A1472" s="19">
        <v>8</v>
      </c>
      <c r="B1472" s="19">
        <v>1</v>
      </c>
      <c r="C1472" s="20" t="s">
        <v>499</v>
      </c>
      <c r="D1472" s="21"/>
      <c r="E1472" s="19"/>
      <c r="F1472" s="22"/>
      <c r="G1472" s="23"/>
      <c r="H1472" s="24"/>
      <c r="I1472" s="23"/>
      <c r="J1472" s="23"/>
      <c r="K1472" s="32"/>
      <c r="L1472" s="33"/>
      <c r="M1472" s="34"/>
      <c r="N1472" s="35">
        <f t="shared" si="830"/>
        <v>16743975</v>
      </c>
    </row>
    <row r="1473" spans="1:14" s="18" customFormat="1" ht="24" customHeight="1" x14ac:dyDescent="0.3">
      <c r="A1473" s="19"/>
      <c r="B1473" s="19"/>
      <c r="C1473" s="29" t="s">
        <v>275</v>
      </c>
      <c r="D1473" s="21"/>
      <c r="E1473" s="19">
        <v>164</v>
      </c>
      <c r="F1473" s="22">
        <v>975</v>
      </c>
      <c r="G1473" s="23">
        <f>500+1000+900+150</f>
        <v>2550</v>
      </c>
      <c r="H1473" s="24">
        <f t="shared" ref="H1473" si="845">F1473*G1473</f>
        <v>2486250</v>
      </c>
      <c r="I1473" s="23">
        <v>0</v>
      </c>
      <c r="J1473" s="23">
        <f t="shared" ref="J1473" si="846">SUM(H1473:I1473)</f>
        <v>2486250</v>
      </c>
      <c r="K1473" s="32"/>
      <c r="L1473" s="33"/>
      <c r="M1473" s="34"/>
      <c r="N1473" s="35">
        <f t="shared" si="830"/>
        <v>19230225</v>
      </c>
    </row>
    <row r="1474" spans="1:14" s="18" customFormat="1" ht="24" customHeight="1" x14ac:dyDescent="0.3">
      <c r="A1474" s="19"/>
      <c r="B1474" s="19">
        <v>1</v>
      </c>
      <c r="C1474" s="29" t="s">
        <v>456</v>
      </c>
      <c r="D1474" s="37"/>
      <c r="E1474" s="19"/>
      <c r="F1474" s="22"/>
      <c r="G1474" s="23"/>
      <c r="H1474" s="24"/>
      <c r="I1474" s="23"/>
      <c r="J1474" s="23"/>
      <c r="K1474" s="32"/>
      <c r="L1474" s="33"/>
      <c r="M1474" s="34"/>
      <c r="N1474" s="35">
        <f t="shared" si="830"/>
        <v>19230225</v>
      </c>
    </row>
    <row r="1475" spans="1:14" s="18" customFormat="1" ht="24" customHeight="1" x14ac:dyDescent="0.3">
      <c r="A1475" s="19"/>
      <c r="B1475" s="19"/>
      <c r="C1475" s="36" t="s">
        <v>21</v>
      </c>
      <c r="D1475" s="21"/>
      <c r="E1475" s="19">
        <v>43</v>
      </c>
      <c r="F1475" s="22">
        <v>494.8</v>
      </c>
      <c r="G1475" s="23">
        <f>2000+500+950+200+300</f>
        <v>3950</v>
      </c>
      <c r="H1475" s="24">
        <f t="shared" ref="H1475:H1476" si="847">F1475*G1475</f>
        <v>1954460</v>
      </c>
      <c r="I1475" s="23">
        <v>0</v>
      </c>
      <c r="J1475" s="23">
        <f t="shared" ref="J1475:J1476" si="848">SUM(H1475:I1475)</f>
        <v>1954460</v>
      </c>
      <c r="K1475" s="32"/>
      <c r="L1475" s="33"/>
      <c r="M1475" s="34"/>
      <c r="N1475" s="35">
        <f t="shared" si="830"/>
        <v>21184685</v>
      </c>
    </row>
    <row r="1476" spans="1:14" s="18" customFormat="1" ht="24" customHeight="1" x14ac:dyDescent="0.3">
      <c r="A1476" s="19"/>
      <c r="B1476" s="19"/>
      <c r="C1476" s="39" t="s">
        <v>75</v>
      </c>
      <c r="D1476" s="21"/>
      <c r="E1476" s="19">
        <v>3</v>
      </c>
      <c r="F1476" s="22">
        <v>9</v>
      </c>
      <c r="G1476" s="23">
        <v>2500</v>
      </c>
      <c r="H1476" s="24">
        <f t="shared" si="847"/>
        <v>22500</v>
      </c>
      <c r="I1476" s="23">
        <v>0</v>
      </c>
      <c r="J1476" s="23">
        <f t="shared" si="848"/>
        <v>22500</v>
      </c>
      <c r="K1476" s="32"/>
      <c r="L1476" s="33"/>
      <c r="M1476" s="34"/>
      <c r="N1476" s="35">
        <f t="shared" si="830"/>
        <v>21207185</v>
      </c>
    </row>
    <row r="1477" spans="1:14" s="18" customFormat="1" ht="24" customHeight="1" x14ac:dyDescent="0.3">
      <c r="A1477" s="19"/>
      <c r="B1477" s="19">
        <v>1</v>
      </c>
      <c r="C1477" s="29" t="s">
        <v>503</v>
      </c>
      <c r="D1477" s="21"/>
      <c r="E1477" s="19"/>
      <c r="F1477" s="22"/>
      <c r="G1477" s="23"/>
      <c r="H1477" s="24"/>
      <c r="I1477" s="23"/>
      <c r="J1477" s="23"/>
      <c r="K1477" s="32"/>
      <c r="L1477" s="33"/>
      <c r="M1477" s="34"/>
      <c r="N1477" s="35">
        <f t="shared" si="830"/>
        <v>21207185</v>
      </c>
    </row>
    <row r="1478" spans="1:14" s="18" customFormat="1" ht="24" customHeight="1" x14ac:dyDescent="0.3">
      <c r="A1478" s="19"/>
      <c r="B1478" s="19"/>
      <c r="C1478" s="29" t="s">
        <v>107</v>
      </c>
      <c r="D1478" s="21"/>
      <c r="E1478" s="19">
        <v>900</v>
      </c>
      <c r="F1478" s="22">
        <v>10173.700000000001</v>
      </c>
      <c r="G1478" s="23">
        <f>500+500+750</f>
        <v>1750</v>
      </c>
      <c r="H1478" s="24">
        <f t="shared" ref="H1478:H1479" si="849">F1478*G1478</f>
        <v>17803975</v>
      </c>
      <c r="I1478" s="23">
        <v>0</v>
      </c>
      <c r="J1478" s="23">
        <f t="shared" ref="J1478:J1479" si="850">SUM(H1478:I1478)</f>
        <v>17803975</v>
      </c>
      <c r="K1478" s="32"/>
      <c r="L1478" s="33"/>
      <c r="M1478" s="34"/>
      <c r="N1478" s="35">
        <f t="shared" si="830"/>
        <v>39011160</v>
      </c>
    </row>
    <row r="1479" spans="1:14" s="18" customFormat="1" ht="24" customHeight="1" x14ac:dyDescent="0.3">
      <c r="A1479" s="19"/>
      <c r="B1479" s="19"/>
      <c r="C1479" s="29" t="s">
        <v>504</v>
      </c>
      <c r="D1479" s="21"/>
      <c r="E1479" s="19">
        <v>300</v>
      </c>
      <c r="F1479" s="22">
        <v>996.1</v>
      </c>
      <c r="G1479" s="23">
        <f>500+1100+750</f>
        <v>2350</v>
      </c>
      <c r="H1479" s="24">
        <f t="shared" si="849"/>
        <v>2340835</v>
      </c>
      <c r="I1479" s="23">
        <v>0</v>
      </c>
      <c r="J1479" s="23">
        <f t="shared" si="850"/>
        <v>2340835</v>
      </c>
      <c r="K1479" s="32"/>
      <c r="L1479" s="33"/>
      <c r="M1479" s="34"/>
      <c r="N1479" s="35">
        <f t="shared" si="830"/>
        <v>41351995</v>
      </c>
    </row>
    <row r="1480" spans="1:14" s="18" customFormat="1" ht="24" customHeight="1" x14ac:dyDescent="0.3">
      <c r="A1480" s="19"/>
      <c r="B1480" s="19">
        <v>1</v>
      </c>
      <c r="C1480" s="29" t="s">
        <v>494</v>
      </c>
      <c r="D1480" s="21"/>
      <c r="E1480" s="19"/>
      <c r="F1480" s="22"/>
      <c r="G1480" s="23"/>
      <c r="H1480" s="24"/>
      <c r="I1480" s="23"/>
      <c r="J1480" s="23"/>
      <c r="K1480" s="32"/>
      <c r="L1480" s="33"/>
      <c r="M1480" s="34"/>
      <c r="N1480" s="38">
        <f t="shared" si="830"/>
        <v>41351995</v>
      </c>
    </row>
    <row r="1481" spans="1:14" s="18" customFormat="1" ht="24" customHeight="1" x14ac:dyDescent="0.3">
      <c r="A1481" s="19"/>
      <c r="B1481" s="19"/>
      <c r="C1481" s="29" t="s">
        <v>484</v>
      </c>
      <c r="D1481" s="21"/>
      <c r="E1481" s="19">
        <v>1</v>
      </c>
      <c r="F1481" s="22">
        <v>3.1</v>
      </c>
      <c r="G1481" s="23">
        <f>800+1000+900+150</f>
        <v>2850</v>
      </c>
      <c r="H1481" s="24">
        <f t="shared" ref="H1481:H1482" si="851">F1481*G1481</f>
        <v>8835</v>
      </c>
      <c r="I1481" s="23">
        <v>0</v>
      </c>
      <c r="J1481" s="23">
        <f t="shared" ref="J1481:J1482" si="852">SUM(H1481:I1481)</f>
        <v>8835</v>
      </c>
      <c r="K1481" s="32"/>
      <c r="L1481" s="33"/>
      <c r="M1481" s="34"/>
      <c r="N1481" s="38">
        <f t="shared" si="830"/>
        <v>41360830</v>
      </c>
    </row>
    <row r="1482" spans="1:14" s="18" customFormat="1" ht="24" customHeight="1" x14ac:dyDescent="0.3">
      <c r="A1482" s="19"/>
      <c r="B1482" s="19"/>
      <c r="C1482" s="29" t="s">
        <v>115</v>
      </c>
      <c r="D1482" s="37"/>
      <c r="E1482" s="19">
        <v>1</v>
      </c>
      <c r="F1482" s="22">
        <v>3.1</v>
      </c>
      <c r="G1482" s="23">
        <f>500+500+900</f>
        <v>1900</v>
      </c>
      <c r="H1482" s="24">
        <f t="shared" si="851"/>
        <v>5890</v>
      </c>
      <c r="I1482" s="23">
        <v>0</v>
      </c>
      <c r="J1482" s="23">
        <f t="shared" si="852"/>
        <v>5890</v>
      </c>
      <c r="K1482" s="32"/>
      <c r="L1482" s="33"/>
      <c r="M1482" s="34"/>
      <c r="N1482" s="38">
        <f t="shared" si="830"/>
        <v>41366720</v>
      </c>
    </row>
    <row r="1483" spans="1:14" s="2" customFormat="1" ht="27" customHeight="1" thickBot="1" x14ac:dyDescent="0.35">
      <c r="A1483" s="1"/>
      <c r="B1483" s="1"/>
      <c r="C1483" s="1"/>
      <c r="E1483" s="86" t="s">
        <v>0</v>
      </c>
      <c r="F1483" s="86"/>
      <c r="G1483" s="86"/>
      <c r="H1483" s="86"/>
      <c r="I1483" s="86"/>
      <c r="J1483" s="86"/>
      <c r="K1483" s="1"/>
      <c r="L1483" s="3"/>
      <c r="M1483" s="3"/>
      <c r="N1483" s="1"/>
    </row>
    <row r="1484" spans="1:14" s="2" customFormat="1" ht="24" customHeight="1" thickTop="1" x14ac:dyDescent="0.3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3"/>
      <c r="M1484" s="3"/>
      <c r="N1484" s="1"/>
    </row>
    <row r="1485" spans="1:14" s="2" customFormat="1" ht="24" customHeight="1" thickBot="1" x14ac:dyDescent="0.35">
      <c r="A1485" s="2" t="s">
        <v>1</v>
      </c>
      <c r="C1485" s="4"/>
      <c r="D1485" s="4"/>
      <c r="E1485" s="5"/>
      <c r="F1485" s="6"/>
      <c r="G1485" s="7"/>
      <c r="H1485" s="7"/>
      <c r="I1485" s="7"/>
      <c r="J1485" s="8"/>
      <c r="K1485" s="9"/>
      <c r="L1485" s="10"/>
      <c r="M1485" s="11"/>
      <c r="N1485" s="12" t="s">
        <v>2</v>
      </c>
    </row>
    <row r="1486" spans="1:14" s="18" customFormat="1" ht="24" customHeight="1" thickTop="1" thickBot="1" x14ac:dyDescent="0.35">
      <c r="A1486" s="13" t="s">
        <v>3</v>
      </c>
      <c r="B1486" s="13" t="s">
        <v>4</v>
      </c>
      <c r="C1486" s="87" t="s">
        <v>5</v>
      </c>
      <c r="D1486" s="88"/>
      <c r="E1486" s="13" t="s">
        <v>6</v>
      </c>
      <c r="F1486" s="14" t="s">
        <v>7</v>
      </c>
      <c r="G1486" s="15" t="s">
        <v>8</v>
      </c>
      <c r="H1486" s="15" t="s">
        <v>9</v>
      </c>
      <c r="I1486" s="15" t="s">
        <v>10</v>
      </c>
      <c r="J1486" s="15" t="s">
        <v>11</v>
      </c>
      <c r="K1486" s="16" t="s">
        <v>12</v>
      </c>
      <c r="L1486" s="89" t="s">
        <v>13</v>
      </c>
      <c r="M1486" s="90"/>
      <c r="N1486" s="17" t="s">
        <v>14</v>
      </c>
    </row>
    <row r="1487" spans="1:14" s="18" customFormat="1" ht="24" customHeight="1" thickTop="1" x14ac:dyDescent="0.3">
      <c r="A1487" s="41"/>
      <c r="B1487" s="41"/>
      <c r="C1487" s="73" t="s">
        <v>41</v>
      </c>
      <c r="D1487" s="40"/>
      <c r="E1487" s="41"/>
      <c r="F1487" s="42"/>
      <c r="G1487" s="43"/>
      <c r="H1487" s="44"/>
      <c r="I1487" s="43"/>
      <c r="J1487" s="43"/>
      <c r="K1487" s="25"/>
      <c r="L1487" s="26"/>
      <c r="M1487" s="27"/>
      <c r="N1487" s="28">
        <f>N1482</f>
        <v>41366720</v>
      </c>
    </row>
    <row r="1488" spans="1:14" s="18" customFormat="1" ht="24" customHeight="1" x14ac:dyDescent="0.3">
      <c r="A1488" s="19">
        <v>8</v>
      </c>
      <c r="B1488" s="19">
        <v>6</v>
      </c>
      <c r="C1488" s="29" t="s">
        <v>383</v>
      </c>
      <c r="D1488" s="21"/>
      <c r="E1488" s="19"/>
      <c r="F1488" s="22"/>
      <c r="G1488" s="23"/>
      <c r="H1488" s="24"/>
      <c r="I1488" s="23"/>
      <c r="J1488" s="23"/>
      <c r="K1488" s="32"/>
      <c r="L1488" s="33"/>
      <c r="M1488" s="34"/>
      <c r="N1488" s="35">
        <f>N1487+J1488+K1488</f>
        <v>41366720</v>
      </c>
    </row>
    <row r="1489" spans="1:14" s="18" customFormat="1" ht="24" customHeight="1" x14ac:dyDescent="0.3">
      <c r="A1489" s="19"/>
      <c r="B1489" s="19"/>
      <c r="C1489" s="36" t="s">
        <v>21</v>
      </c>
      <c r="D1489" s="37"/>
      <c r="E1489" s="19">
        <v>5</v>
      </c>
      <c r="F1489" s="22">
        <v>92.8</v>
      </c>
      <c r="G1489" s="23">
        <f>2200+550+1070+250+330</f>
        <v>4400</v>
      </c>
      <c r="H1489" s="24">
        <f t="shared" ref="H1489" si="853">F1489*G1489</f>
        <v>408320</v>
      </c>
      <c r="I1489" s="23">
        <v>0</v>
      </c>
      <c r="J1489" s="23">
        <f t="shared" ref="J1489" si="854">SUM(H1489:I1489)</f>
        <v>408320</v>
      </c>
      <c r="K1489" s="32"/>
      <c r="L1489" s="33"/>
      <c r="M1489" s="34"/>
      <c r="N1489" s="35">
        <f>N1488+J1489+K1489</f>
        <v>41775040</v>
      </c>
    </row>
    <row r="1490" spans="1:14" s="18" customFormat="1" ht="24" customHeight="1" x14ac:dyDescent="0.3">
      <c r="A1490" s="19"/>
      <c r="B1490" s="19">
        <v>6</v>
      </c>
      <c r="C1490" s="29" t="s">
        <v>505</v>
      </c>
      <c r="D1490" s="21"/>
      <c r="E1490" s="19"/>
      <c r="F1490" s="22"/>
      <c r="G1490" s="23"/>
      <c r="H1490" s="24"/>
      <c r="I1490" s="23"/>
      <c r="J1490" s="23"/>
      <c r="K1490" s="32"/>
      <c r="L1490" s="33"/>
      <c r="M1490" s="34"/>
      <c r="N1490" s="35">
        <f t="shared" ref="N1490:N1521" si="855">N1489+J1490+K1490</f>
        <v>41775040</v>
      </c>
    </row>
    <row r="1491" spans="1:14" s="18" customFormat="1" ht="24" customHeight="1" x14ac:dyDescent="0.3">
      <c r="A1491" s="19"/>
      <c r="B1491" s="19"/>
      <c r="C1491" s="36" t="s">
        <v>462</v>
      </c>
      <c r="D1491" s="21"/>
      <c r="E1491" s="19">
        <v>1</v>
      </c>
      <c r="F1491" s="22">
        <v>5.7</v>
      </c>
      <c r="G1491" s="23">
        <f>2500+900+1200+300</f>
        <v>4900</v>
      </c>
      <c r="H1491" s="24">
        <f t="shared" ref="H1491" si="856">F1491*G1491</f>
        <v>27930</v>
      </c>
      <c r="I1491" s="23">
        <v>0</v>
      </c>
      <c r="J1491" s="23">
        <f t="shared" ref="J1491" si="857">SUM(H1491:I1491)</f>
        <v>27930</v>
      </c>
      <c r="K1491" s="32"/>
      <c r="L1491" s="33"/>
      <c r="M1491" s="34"/>
      <c r="N1491" s="35">
        <f t="shared" si="855"/>
        <v>41802970</v>
      </c>
    </row>
    <row r="1492" spans="1:14" s="18" customFormat="1" ht="24" customHeight="1" x14ac:dyDescent="0.3">
      <c r="A1492" s="19"/>
      <c r="B1492" s="19">
        <v>6</v>
      </c>
      <c r="C1492" s="91" t="s">
        <v>499</v>
      </c>
      <c r="D1492" s="21"/>
      <c r="E1492" s="19"/>
      <c r="F1492" s="22"/>
      <c r="G1492" s="23"/>
      <c r="H1492" s="24"/>
      <c r="I1492" s="23"/>
      <c r="J1492" s="23"/>
      <c r="K1492" s="32"/>
      <c r="L1492" s="33"/>
      <c r="M1492" s="34"/>
      <c r="N1492" s="35">
        <f t="shared" si="855"/>
        <v>41802970</v>
      </c>
    </row>
    <row r="1493" spans="1:14" s="18" customFormat="1" ht="24" customHeight="1" x14ac:dyDescent="0.3">
      <c r="A1493" s="19"/>
      <c r="B1493" s="19"/>
      <c r="C1493" s="36" t="s">
        <v>506</v>
      </c>
      <c r="D1493" s="37"/>
      <c r="E1493" s="19">
        <v>12</v>
      </c>
      <c r="F1493" s="22">
        <v>360.2</v>
      </c>
      <c r="G1493" s="23">
        <f>1100+1700+900+150</f>
        <v>3850</v>
      </c>
      <c r="H1493" s="24">
        <f t="shared" ref="H1493:H1494" si="858">F1493*G1493</f>
        <v>1386770</v>
      </c>
      <c r="I1493" s="23">
        <v>0</v>
      </c>
      <c r="J1493" s="23">
        <f t="shared" ref="J1493:J1494" si="859">SUM(H1493:I1493)</f>
        <v>1386770</v>
      </c>
      <c r="K1493" s="32"/>
      <c r="L1493" s="33"/>
      <c r="M1493" s="34"/>
      <c r="N1493" s="35">
        <f t="shared" si="855"/>
        <v>43189740</v>
      </c>
    </row>
    <row r="1494" spans="1:14" s="18" customFormat="1" ht="24" customHeight="1" x14ac:dyDescent="0.3">
      <c r="A1494" s="19"/>
      <c r="B1494" s="19"/>
      <c r="C1494" s="29" t="s">
        <v>126</v>
      </c>
      <c r="D1494" s="21"/>
      <c r="E1494" s="19">
        <v>23</v>
      </c>
      <c r="F1494" s="22">
        <v>77.099999999999994</v>
      </c>
      <c r="G1494" s="23">
        <f>500+1000+900+150</f>
        <v>2550</v>
      </c>
      <c r="H1494" s="24">
        <f t="shared" si="858"/>
        <v>196605</v>
      </c>
      <c r="I1494" s="23">
        <v>0</v>
      </c>
      <c r="J1494" s="23">
        <f t="shared" si="859"/>
        <v>196605</v>
      </c>
      <c r="K1494" s="32"/>
      <c r="L1494" s="33"/>
      <c r="M1494" s="34"/>
      <c r="N1494" s="35">
        <f t="shared" si="855"/>
        <v>43386345</v>
      </c>
    </row>
    <row r="1495" spans="1:14" s="18" customFormat="1" ht="24" customHeight="1" x14ac:dyDescent="0.3">
      <c r="A1495" s="19"/>
      <c r="B1495" s="19">
        <v>6</v>
      </c>
      <c r="C1495" s="39" t="s">
        <v>243</v>
      </c>
      <c r="D1495" s="37"/>
      <c r="E1495" s="19"/>
      <c r="F1495" s="22"/>
      <c r="G1495" s="23"/>
      <c r="H1495" s="24"/>
      <c r="I1495" s="23"/>
      <c r="J1495" s="23"/>
      <c r="K1495" s="32"/>
      <c r="L1495" s="33"/>
      <c r="M1495" s="34"/>
      <c r="N1495" s="35">
        <f t="shared" si="855"/>
        <v>43386345</v>
      </c>
    </row>
    <row r="1496" spans="1:14" s="18" customFormat="1" ht="24" customHeight="1" x14ac:dyDescent="0.3">
      <c r="A1496" s="19"/>
      <c r="B1496" s="19"/>
      <c r="C1496" s="36" t="s">
        <v>61</v>
      </c>
      <c r="D1496" s="21"/>
      <c r="E1496" s="19">
        <v>42</v>
      </c>
      <c r="F1496" s="22">
        <v>1145.5999999999999</v>
      </c>
      <c r="G1496" s="23">
        <f>2000+2000+500+950+950+200+200+300+300</f>
        <v>7400</v>
      </c>
      <c r="H1496" s="24">
        <f t="shared" ref="H1496:H1499" si="860">F1496*G1496</f>
        <v>8477440</v>
      </c>
      <c r="I1496" s="23">
        <v>0</v>
      </c>
      <c r="J1496" s="23">
        <f t="shared" ref="J1496:J1499" si="861">SUM(H1496:I1496)</f>
        <v>8477440</v>
      </c>
      <c r="K1496" s="32"/>
      <c r="L1496" s="33"/>
      <c r="M1496" s="34"/>
      <c r="N1496" s="35">
        <f t="shared" si="855"/>
        <v>51863785</v>
      </c>
    </row>
    <row r="1497" spans="1:14" s="18" customFormat="1" ht="24" customHeight="1" x14ac:dyDescent="0.3">
      <c r="A1497" s="19"/>
      <c r="B1497" s="19"/>
      <c r="C1497" s="36" t="s">
        <v>507</v>
      </c>
      <c r="D1497" s="21"/>
      <c r="E1497" s="19">
        <v>8</v>
      </c>
      <c r="F1497" s="22">
        <v>113.6</v>
      </c>
      <c r="G1497" s="23">
        <f>2000+2000+500+750+750+150+150+230+230</f>
        <v>6760</v>
      </c>
      <c r="H1497" s="24">
        <f t="shared" si="860"/>
        <v>767936</v>
      </c>
      <c r="I1497" s="23">
        <v>0</v>
      </c>
      <c r="J1497" s="23">
        <f t="shared" si="861"/>
        <v>767936</v>
      </c>
      <c r="K1497" s="32"/>
      <c r="L1497" s="33"/>
      <c r="M1497" s="34"/>
      <c r="N1497" s="35">
        <f t="shared" si="855"/>
        <v>52631721</v>
      </c>
    </row>
    <row r="1498" spans="1:14" s="18" customFormat="1" ht="24" customHeight="1" x14ac:dyDescent="0.3">
      <c r="A1498" s="19"/>
      <c r="B1498" s="19"/>
      <c r="C1498" s="36" t="s">
        <v>21</v>
      </c>
      <c r="D1498" s="21"/>
      <c r="E1498" s="19">
        <v>16</v>
      </c>
      <c r="F1498" s="22">
        <v>349.5</v>
      </c>
      <c r="G1498" s="23">
        <f>2000+500+950+200+300</f>
        <v>3950</v>
      </c>
      <c r="H1498" s="24">
        <f t="shared" si="860"/>
        <v>1380525</v>
      </c>
      <c r="I1498" s="23">
        <v>0</v>
      </c>
      <c r="J1498" s="23">
        <f t="shared" si="861"/>
        <v>1380525</v>
      </c>
      <c r="K1498" s="32"/>
      <c r="L1498" s="33"/>
      <c r="M1498" s="34"/>
      <c r="N1498" s="35">
        <f t="shared" si="855"/>
        <v>54012246</v>
      </c>
    </row>
    <row r="1499" spans="1:14" s="18" customFormat="1" ht="24" customHeight="1" x14ac:dyDescent="0.3">
      <c r="A1499" s="19"/>
      <c r="B1499" s="19"/>
      <c r="C1499" s="39" t="s">
        <v>46</v>
      </c>
      <c r="D1499" s="37"/>
      <c r="E1499" s="19">
        <v>12</v>
      </c>
      <c r="F1499" s="22">
        <v>64</v>
      </c>
      <c r="G1499" s="23">
        <v>1950</v>
      </c>
      <c r="H1499" s="24">
        <f t="shared" si="860"/>
        <v>124800</v>
      </c>
      <c r="I1499" s="23">
        <v>0</v>
      </c>
      <c r="J1499" s="23">
        <f t="shared" si="861"/>
        <v>124800</v>
      </c>
      <c r="K1499" s="32"/>
      <c r="L1499" s="33"/>
      <c r="M1499" s="34"/>
      <c r="N1499" s="35">
        <f t="shared" si="855"/>
        <v>54137046</v>
      </c>
    </row>
    <row r="1500" spans="1:14" s="18" customFormat="1" ht="24" customHeight="1" x14ac:dyDescent="0.3">
      <c r="A1500" s="19"/>
      <c r="B1500" s="19">
        <v>6</v>
      </c>
      <c r="C1500" s="29" t="s">
        <v>508</v>
      </c>
      <c r="D1500" s="37"/>
      <c r="E1500" s="19"/>
      <c r="F1500" s="22"/>
      <c r="G1500" s="23"/>
      <c r="H1500" s="24"/>
      <c r="I1500" s="23"/>
      <c r="J1500" s="23"/>
      <c r="K1500" s="32"/>
      <c r="L1500" s="33"/>
      <c r="M1500" s="34"/>
      <c r="N1500" s="35">
        <f t="shared" si="855"/>
        <v>54137046</v>
      </c>
    </row>
    <row r="1501" spans="1:14" s="18" customFormat="1" ht="24" customHeight="1" x14ac:dyDescent="0.3">
      <c r="A1501" s="19"/>
      <c r="B1501" s="19"/>
      <c r="C1501" s="36" t="s">
        <v>61</v>
      </c>
      <c r="D1501" s="82"/>
      <c r="E1501" s="19">
        <v>4</v>
      </c>
      <c r="F1501" s="22">
        <v>40.799999999999997</v>
      </c>
      <c r="G1501" s="23">
        <f>2000+2000+500+950+950+200+200+300+300</f>
        <v>7400</v>
      </c>
      <c r="H1501" s="24">
        <f t="shared" ref="H1501:H1502" si="862">F1501*G1501</f>
        <v>301920</v>
      </c>
      <c r="I1501" s="23">
        <v>0</v>
      </c>
      <c r="J1501" s="23">
        <f t="shared" ref="J1501:J1502" si="863">SUM(H1501:I1501)</f>
        <v>301920</v>
      </c>
      <c r="K1501" s="32"/>
      <c r="L1501" s="33"/>
      <c r="M1501" s="34"/>
      <c r="N1501" s="35">
        <f t="shared" si="855"/>
        <v>54438966</v>
      </c>
    </row>
    <row r="1502" spans="1:14" s="18" customFormat="1" ht="24" customHeight="1" x14ac:dyDescent="0.3">
      <c r="A1502" s="19"/>
      <c r="B1502" s="19"/>
      <c r="C1502" s="36" t="s">
        <v>23</v>
      </c>
      <c r="D1502" s="82"/>
      <c r="E1502" s="19">
        <v>94</v>
      </c>
      <c r="F1502" s="22">
        <v>655.1</v>
      </c>
      <c r="G1502" s="23">
        <f>2000+500+950+200+300</f>
        <v>3950</v>
      </c>
      <c r="H1502" s="24">
        <f t="shared" si="862"/>
        <v>2587645</v>
      </c>
      <c r="I1502" s="23">
        <v>0</v>
      </c>
      <c r="J1502" s="23">
        <f t="shared" si="863"/>
        <v>2587645</v>
      </c>
      <c r="K1502" s="32"/>
      <c r="L1502" s="33"/>
      <c r="M1502" s="34"/>
      <c r="N1502" s="35">
        <f t="shared" si="855"/>
        <v>57026611</v>
      </c>
    </row>
    <row r="1503" spans="1:14" s="18" customFormat="1" ht="24" customHeight="1" x14ac:dyDescent="0.3">
      <c r="A1503" s="19"/>
      <c r="B1503" s="19">
        <v>6</v>
      </c>
      <c r="C1503" s="29" t="s">
        <v>254</v>
      </c>
      <c r="D1503" s="21"/>
      <c r="E1503" s="19"/>
      <c r="F1503" s="22"/>
      <c r="G1503" s="23"/>
      <c r="H1503" s="24"/>
      <c r="I1503" s="23"/>
      <c r="J1503" s="23"/>
      <c r="K1503" s="32"/>
      <c r="L1503" s="33"/>
      <c r="M1503" s="34"/>
      <c r="N1503" s="35">
        <f t="shared" si="855"/>
        <v>57026611</v>
      </c>
    </row>
    <row r="1504" spans="1:14" s="18" customFormat="1" ht="24" customHeight="1" x14ac:dyDescent="0.3">
      <c r="A1504" s="19"/>
      <c r="B1504" s="19"/>
      <c r="C1504" s="36" t="s">
        <v>23</v>
      </c>
      <c r="D1504" s="21"/>
      <c r="E1504" s="19">
        <v>168</v>
      </c>
      <c r="F1504" s="22">
        <v>1226.4000000000001</v>
      </c>
      <c r="G1504" s="23">
        <f>2000+500+950+200+300</f>
        <v>3950</v>
      </c>
      <c r="H1504" s="24">
        <f t="shared" ref="H1504" si="864">F1504*G1504</f>
        <v>4844280</v>
      </c>
      <c r="I1504" s="23">
        <v>0</v>
      </c>
      <c r="J1504" s="23">
        <f t="shared" ref="J1504" si="865">SUM(H1504:I1504)</f>
        <v>4844280</v>
      </c>
      <c r="K1504" s="32"/>
      <c r="L1504" s="33"/>
      <c r="M1504" s="34"/>
      <c r="N1504" s="35">
        <f t="shared" si="855"/>
        <v>61870891</v>
      </c>
    </row>
    <row r="1505" spans="1:14" s="18" customFormat="1" ht="24" customHeight="1" x14ac:dyDescent="0.3">
      <c r="A1505" s="19"/>
      <c r="B1505" s="19">
        <v>6</v>
      </c>
      <c r="C1505" s="39" t="s">
        <v>509</v>
      </c>
      <c r="D1505" s="21"/>
      <c r="E1505" s="19"/>
      <c r="F1505" s="22"/>
      <c r="G1505" s="23"/>
      <c r="H1505" s="24"/>
      <c r="I1505" s="23"/>
      <c r="J1505" s="23"/>
      <c r="K1505" s="32"/>
      <c r="L1505" s="33"/>
      <c r="M1505" s="34"/>
      <c r="N1505" s="35">
        <f t="shared" si="855"/>
        <v>61870891</v>
      </c>
    </row>
    <row r="1506" spans="1:14" s="18" customFormat="1" ht="24" customHeight="1" x14ac:dyDescent="0.3">
      <c r="A1506" s="19"/>
      <c r="B1506" s="19"/>
      <c r="C1506" s="29" t="s">
        <v>105</v>
      </c>
      <c r="D1506" s="21"/>
      <c r="E1506" s="19"/>
      <c r="F1506" s="22"/>
      <c r="G1506" s="23"/>
      <c r="H1506" s="24">
        <v>108000</v>
      </c>
      <c r="I1506" s="23">
        <f>H1506*0.1</f>
        <v>10800</v>
      </c>
      <c r="J1506" s="23">
        <f>SUM(H1506:I1506)</f>
        <v>118800</v>
      </c>
      <c r="K1506" s="32"/>
      <c r="L1506" s="33"/>
      <c r="M1506" s="34"/>
      <c r="N1506" s="35">
        <f t="shared" si="855"/>
        <v>61989691</v>
      </c>
    </row>
    <row r="1507" spans="1:14" s="18" customFormat="1" ht="24" customHeight="1" x14ac:dyDescent="0.3">
      <c r="A1507" s="19"/>
      <c r="B1507" s="19">
        <v>6</v>
      </c>
      <c r="C1507" s="20" t="s">
        <v>510</v>
      </c>
      <c r="D1507" s="21"/>
      <c r="E1507" s="19"/>
      <c r="F1507" s="22"/>
      <c r="G1507" s="23"/>
      <c r="H1507" s="24"/>
      <c r="I1507" s="23"/>
      <c r="J1507" s="23"/>
      <c r="K1507" s="32"/>
      <c r="L1507" s="33"/>
      <c r="M1507" s="34"/>
      <c r="N1507" s="35">
        <f t="shared" si="855"/>
        <v>61989691</v>
      </c>
    </row>
    <row r="1508" spans="1:14" s="18" customFormat="1" ht="24" customHeight="1" x14ac:dyDescent="0.3">
      <c r="A1508" s="19"/>
      <c r="B1508" s="19"/>
      <c r="C1508" s="29" t="s">
        <v>511</v>
      </c>
      <c r="D1508" s="37"/>
      <c r="E1508" s="19"/>
      <c r="F1508" s="22"/>
      <c r="G1508" s="23"/>
      <c r="H1508" s="24">
        <f>130000*2</f>
        <v>260000</v>
      </c>
      <c r="I1508" s="23">
        <f>H1508*0.1</f>
        <v>26000</v>
      </c>
      <c r="J1508" s="23">
        <f>SUM(H1508:I1508)</f>
        <v>286000</v>
      </c>
      <c r="K1508" s="32"/>
      <c r="L1508" s="33"/>
      <c r="M1508" s="34"/>
      <c r="N1508" s="35">
        <f t="shared" si="855"/>
        <v>62275691</v>
      </c>
    </row>
    <row r="1509" spans="1:14" s="18" customFormat="1" ht="24" customHeight="1" x14ac:dyDescent="0.3">
      <c r="A1509" s="19"/>
      <c r="B1509" s="19">
        <v>7</v>
      </c>
      <c r="C1509" s="20" t="s">
        <v>510</v>
      </c>
      <c r="D1509" s="21"/>
      <c r="E1509" s="19"/>
      <c r="F1509" s="22"/>
      <c r="G1509" s="23"/>
      <c r="H1509" s="24"/>
      <c r="I1509" s="23"/>
      <c r="J1509" s="23"/>
      <c r="K1509" s="32"/>
      <c r="L1509" s="33"/>
      <c r="M1509" s="34"/>
      <c r="N1509" s="35">
        <f t="shared" si="855"/>
        <v>62275691</v>
      </c>
    </row>
    <row r="1510" spans="1:14" s="18" customFormat="1" ht="24" customHeight="1" x14ac:dyDescent="0.3">
      <c r="A1510" s="19"/>
      <c r="B1510" s="19"/>
      <c r="C1510" s="29" t="s">
        <v>45</v>
      </c>
      <c r="D1510" s="37"/>
      <c r="E1510" s="19"/>
      <c r="F1510" s="22"/>
      <c r="G1510" s="23"/>
      <c r="H1510" s="24">
        <v>130000</v>
      </c>
      <c r="I1510" s="23">
        <f>H1510*0.1</f>
        <v>13000</v>
      </c>
      <c r="J1510" s="23">
        <f>SUM(H1510:I1510)</f>
        <v>143000</v>
      </c>
      <c r="K1510" s="32"/>
      <c r="L1510" s="33"/>
      <c r="M1510" s="34"/>
      <c r="N1510" s="35">
        <f t="shared" si="855"/>
        <v>62418691</v>
      </c>
    </row>
    <row r="1511" spans="1:14" s="18" customFormat="1" ht="24" customHeight="1" x14ac:dyDescent="0.3">
      <c r="A1511" s="19"/>
      <c r="B1511" s="19">
        <v>7</v>
      </c>
      <c r="C1511" s="20" t="s">
        <v>499</v>
      </c>
      <c r="D1511" s="21"/>
      <c r="E1511" s="19"/>
      <c r="F1511" s="22"/>
      <c r="G1511" s="23"/>
      <c r="H1511" s="24"/>
      <c r="I1511" s="23"/>
      <c r="J1511" s="23"/>
      <c r="K1511" s="32"/>
      <c r="L1511" s="33"/>
      <c r="M1511" s="34"/>
      <c r="N1511" s="35">
        <f t="shared" si="855"/>
        <v>62418691</v>
      </c>
    </row>
    <row r="1512" spans="1:14" s="18" customFormat="1" ht="24" customHeight="1" x14ac:dyDescent="0.3">
      <c r="A1512" s="19"/>
      <c r="B1512" s="19"/>
      <c r="C1512" s="29" t="s">
        <v>126</v>
      </c>
      <c r="D1512" s="21"/>
      <c r="E1512" s="19">
        <v>21</v>
      </c>
      <c r="F1512" s="22">
        <v>118.5</v>
      </c>
      <c r="G1512" s="23">
        <f>500+1000+900+150</f>
        <v>2550</v>
      </c>
      <c r="H1512" s="24">
        <f t="shared" ref="H1512" si="866">F1512*G1512</f>
        <v>302175</v>
      </c>
      <c r="I1512" s="23">
        <v>0</v>
      </c>
      <c r="J1512" s="23">
        <f t="shared" ref="J1512" si="867">SUM(H1512:I1512)</f>
        <v>302175</v>
      </c>
      <c r="K1512" s="32"/>
      <c r="L1512" s="33"/>
      <c r="M1512" s="34"/>
      <c r="N1512" s="35">
        <f t="shared" si="855"/>
        <v>62720866</v>
      </c>
    </row>
    <row r="1513" spans="1:14" s="18" customFormat="1" ht="24" customHeight="1" x14ac:dyDescent="0.3">
      <c r="A1513" s="19"/>
      <c r="B1513" s="19">
        <v>7</v>
      </c>
      <c r="C1513" s="29" t="s">
        <v>503</v>
      </c>
      <c r="D1513" s="37"/>
      <c r="E1513" s="19"/>
      <c r="F1513" s="22"/>
      <c r="G1513" s="23"/>
      <c r="H1513" s="24"/>
      <c r="I1513" s="23"/>
      <c r="J1513" s="23"/>
      <c r="K1513" s="32"/>
      <c r="L1513" s="33"/>
      <c r="M1513" s="34"/>
      <c r="N1513" s="35">
        <f t="shared" si="855"/>
        <v>62720866</v>
      </c>
    </row>
    <row r="1514" spans="1:14" s="18" customFormat="1" ht="24" customHeight="1" x14ac:dyDescent="0.3">
      <c r="A1514" s="19"/>
      <c r="B1514" s="19"/>
      <c r="C1514" s="39" t="s">
        <v>107</v>
      </c>
      <c r="D1514" s="21"/>
      <c r="E1514" s="19">
        <v>534</v>
      </c>
      <c r="F1514" s="22">
        <v>6036.4</v>
      </c>
      <c r="G1514" s="23">
        <f>500+500+750</f>
        <v>1750</v>
      </c>
      <c r="H1514" s="24">
        <f t="shared" ref="H1514:H1515" si="868">F1514*G1514</f>
        <v>10563700</v>
      </c>
      <c r="I1514" s="23">
        <v>0</v>
      </c>
      <c r="J1514" s="23">
        <f t="shared" ref="J1514:J1515" si="869">SUM(H1514:I1514)</f>
        <v>10563700</v>
      </c>
      <c r="K1514" s="32"/>
      <c r="L1514" s="33"/>
      <c r="M1514" s="34"/>
      <c r="N1514" s="35">
        <f t="shared" si="855"/>
        <v>73284566</v>
      </c>
    </row>
    <row r="1515" spans="1:14" s="18" customFormat="1" ht="24" customHeight="1" x14ac:dyDescent="0.3">
      <c r="A1515" s="19"/>
      <c r="B1515" s="19"/>
      <c r="C1515" s="39" t="s">
        <v>504</v>
      </c>
      <c r="D1515" s="21"/>
      <c r="E1515" s="19">
        <v>178</v>
      </c>
      <c r="F1515" s="22">
        <v>591</v>
      </c>
      <c r="G1515" s="23">
        <f>500+1100+750</f>
        <v>2350</v>
      </c>
      <c r="H1515" s="24">
        <f t="shared" si="868"/>
        <v>1388850</v>
      </c>
      <c r="I1515" s="23">
        <v>0</v>
      </c>
      <c r="J1515" s="23">
        <f t="shared" si="869"/>
        <v>1388850</v>
      </c>
      <c r="K1515" s="32"/>
      <c r="L1515" s="33"/>
      <c r="M1515" s="34"/>
      <c r="N1515" s="35">
        <f t="shared" si="855"/>
        <v>74673416</v>
      </c>
    </row>
    <row r="1516" spans="1:14" s="18" customFormat="1" ht="24" customHeight="1" x14ac:dyDescent="0.3">
      <c r="A1516" s="19"/>
      <c r="B1516" s="19">
        <v>7</v>
      </c>
      <c r="C1516" s="29" t="s">
        <v>375</v>
      </c>
      <c r="D1516" s="21"/>
      <c r="E1516" s="19"/>
      <c r="F1516" s="22"/>
      <c r="G1516" s="23"/>
      <c r="H1516" s="24"/>
      <c r="I1516" s="23"/>
      <c r="J1516" s="23"/>
      <c r="K1516" s="32"/>
      <c r="L1516" s="33"/>
      <c r="M1516" s="34"/>
      <c r="N1516" s="35">
        <f t="shared" si="855"/>
        <v>74673416</v>
      </c>
    </row>
    <row r="1517" spans="1:14" s="18" customFormat="1" ht="24" customHeight="1" x14ac:dyDescent="0.3">
      <c r="A1517" s="19"/>
      <c r="B1517" s="19"/>
      <c r="C1517" s="36" t="s">
        <v>23</v>
      </c>
      <c r="D1517" s="21"/>
      <c r="E1517" s="19">
        <v>2</v>
      </c>
      <c r="F1517" s="22">
        <v>19.399999999999999</v>
      </c>
      <c r="G1517" s="23">
        <f>2000+500+950+200+300</f>
        <v>3950</v>
      </c>
      <c r="H1517" s="24">
        <f t="shared" ref="H1517:H1519" si="870">F1517*G1517</f>
        <v>76630</v>
      </c>
      <c r="I1517" s="23">
        <v>0</v>
      </c>
      <c r="J1517" s="23">
        <f t="shared" ref="J1517:J1519" si="871">SUM(H1517:I1517)</f>
        <v>76630</v>
      </c>
      <c r="K1517" s="32"/>
      <c r="L1517" s="33"/>
      <c r="M1517" s="34"/>
      <c r="N1517" s="35">
        <f t="shared" si="855"/>
        <v>74750046</v>
      </c>
    </row>
    <row r="1518" spans="1:14" s="18" customFormat="1" ht="24" customHeight="1" x14ac:dyDescent="0.3">
      <c r="A1518" s="19"/>
      <c r="B1518" s="19"/>
      <c r="C1518" s="29" t="s">
        <v>46</v>
      </c>
      <c r="D1518" s="21"/>
      <c r="E1518" s="19">
        <v>7</v>
      </c>
      <c r="F1518" s="22">
        <v>21</v>
      </c>
      <c r="G1518" s="23">
        <v>1950</v>
      </c>
      <c r="H1518" s="24">
        <f t="shared" si="870"/>
        <v>40950</v>
      </c>
      <c r="I1518" s="23">
        <v>0</v>
      </c>
      <c r="J1518" s="23">
        <f t="shared" si="871"/>
        <v>40950</v>
      </c>
      <c r="K1518" s="32"/>
      <c r="L1518" s="33"/>
      <c r="M1518" s="34"/>
      <c r="N1518" s="35">
        <f t="shared" si="855"/>
        <v>74790996</v>
      </c>
    </row>
    <row r="1519" spans="1:14" s="18" customFormat="1" ht="24" customHeight="1" x14ac:dyDescent="0.3">
      <c r="A1519" s="19"/>
      <c r="B1519" s="19"/>
      <c r="C1519" s="29" t="s">
        <v>512</v>
      </c>
      <c r="D1519" s="37" t="s">
        <v>377</v>
      </c>
      <c r="E1519" s="19">
        <v>2</v>
      </c>
      <c r="F1519" s="22">
        <v>53.5</v>
      </c>
      <c r="G1519" s="23">
        <v>2340</v>
      </c>
      <c r="H1519" s="24">
        <f t="shared" si="870"/>
        <v>125190</v>
      </c>
      <c r="I1519" s="23">
        <v>0</v>
      </c>
      <c r="J1519" s="23">
        <f t="shared" si="871"/>
        <v>125190</v>
      </c>
      <c r="K1519" s="32"/>
      <c r="L1519" s="33"/>
      <c r="M1519" s="34"/>
      <c r="N1519" s="38">
        <f t="shared" si="855"/>
        <v>74916186</v>
      </c>
    </row>
    <row r="1520" spans="1:14" s="18" customFormat="1" ht="24" customHeight="1" x14ac:dyDescent="0.3">
      <c r="A1520" s="19"/>
      <c r="B1520" s="19">
        <v>7</v>
      </c>
      <c r="C1520" s="29" t="s">
        <v>513</v>
      </c>
      <c r="D1520" s="21"/>
      <c r="E1520" s="19"/>
      <c r="F1520" s="22"/>
      <c r="G1520" s="23"/>
      <c r="H1520" s="24"/>
      <c r="I1520" s="23"/>
      <c r="J1520" s="23"/>
      <c r="K1520" s="32"/>
      <c r="L1520" s="33"/>
      <c r="M1520" s="34"/>
      <c r="N1520" s="38">
        <f t="shared" si="855"/>
        <v>74916186</v>
      </c>
    </row>
    <row r="1521" spans="1:14" s="18" customFormat="1" ht="24" customHeight="1" x14ac:dyDescent="0.3">
      <c r="A1521" s="19"/>
      <c r="B1521" s="19"/>
      <c r="C1521" s="36" t="s">
        <v>86</v>
      </c>
      <c r="D1521" s="37"/>
      <c r="E1521" s="19">
        <v>8</v>
      </c>
      <c r="F1521" s="22">
        <v>63.1</v>
      </c>
      <c r="G1521" s="23">
        <f>500+1000+950+200</f>
        <v>2650</v>
      </c>
      <c r="H1521" s="24">
        <f t="shared" ref="H1521" si="872">F1521*G1521</f>
        <v>167215</v>
      </c>
      <c r="I1521" s="23">
        <v>0</v>
      </c>
      <c r="J1521" s="23">
        <f t="shared" ref="J1521" si="873">SUM(H1521:I1521)</f>
        <v>167215</v>
      </c>
      <c r="K1521" s="32"/>
      <c r="L1521" s="33"/>
      <c r="M1521" s="34"/>
      <c r="N1521" s="38">
        <f t="shared" si="855"/>
        <v>75083401</v>
      </c>
    </row>
    <row r="1522" spans="1:14" s="2" customFormat="1" ht="27" customHeight="1" thickBot="1" x14ac:dyDescent="0.35">
      <c r="A1522" s="1"/>
      <c r="B1522" s="1"/>
      <c r="C1522" s="1"/>
      <c r="E1522" s="86" t="s">
        <v>0</v>
      </c>
      <c r="F1522" s="86"/>
      <c r="G1522" s="86"/>
      <c r="H1522" s="86"/>
      <c r="I1522" s="86"/>
      <c r="J1522" s="86"/>
      <c r="K1522" s="1"/>
      <c r="L1522" s="3"/>
      <c r="M1522" s="3"/>
      <c r="N1522" s="1"/>
    </row>
    <row r="1523" spans="1:14" s="2" customFormat="1" ht="24" customHeight="1" thickTop="1" x14ac:dyDescent="0.3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3"/>
      <c r="M1523" s="3"/>
      <c r="N1523" s="1"/>
    </row>
    <row r="1524" spans="1:14" s="2" customFormat="1" ht="24" customHeight="1" thickBot="1" x14ac:dyDescent="0.35">
      <c r="A1524" s="2" t="s">
        <v>1</v>
      </c>
      <c r="C1524" s="4"/>
      <c r="D1524" s="4"/>
      <c r="E1524" s="5"/>
      <c r="F1524" s="6"/>
      <c r="G1524" s="7"/>
      <c r="H1524" s="7"/>
      <c r="I1524" s="7"/>
      <c r="J1524" s="8"/>
      <c r="K1524" s="9"/>
      <c r="L1524" s="10"/>
      <c r="M1524" s="11"/>
      <c r="N1524" s="12" t="s">
        <v>2</v>
      </c>
    </row>
    <row r="1525" spans="1:14" s="18" customFormat="1" ht="24" customHeight="1" thickTop="1" thickBot="1" x14ac:dyDescent="0.35">
      <c r="A1525" s="13" t="s">
        <v>3</v>
      </c>
      <c r="B1525" s="13" t="s">
        <v>4</v>
      </c>
      <c r="C1525" s="87" t="s">
        <v>5</v>
      </c>
      <c r="D1525" s="88"/>
      <c r="E1525" s="13" t="s">
        <v>6</v>
      </c>
      <c r="F1525" s="14" t="s">
        <v>7</v>
      </c>
      <c r="G1525" s="15" t="s">
        <v>8</v>
      </c>
      <c r="H1525" s="15" t="s">
        <v>9</v>
      </c>
      <c r="I1525" s="15" t="s">
        <v>10</v>
      </c>
      <c r="J1525" s="15" t="s">
        <v>11</v>
      </c>
      <c r="K1525" s="16" t="s">
        <v>12</v>
      </c>
      <c r="L1525" s="89" t="s">
        <v>13</v>
      </c>
      <c r="M1525" s="90"/>
      <c r="N1525" s="17" t="s">
        <v>14</v>
      </c>
    </row>
    <row r="1526" spans="1:14" s="18" customFormat="1" ht="24" customHeight="1" thickTop="1" x14ac:dyDescent="0.3">
      <c r="A1526" s="41"/>
      <c r="B1526" s="41"/>
      <c r="C1526" s="73" t="s">
        <v>41</v>
      </c>
      <c r="D1526" s="40"/>
      <c r="E1526" s="41"/>
      <c r="F1526" s="42"/>
      <c r="G1526" s="43"/>
      <c r="H1526" s="44"/>
      <c r="I1526" s="43"/>
      <c r="J1526" s="43"/>
      <c r="K1526" s="25"/>
      <c r="L1526" s="26"/>
      <c r="M1526" s="27"/>
      <c r="N1526" s="28">
        <f>N1521</f>
        <v>75083401</v>
      </c>
    </row>
    <row r="1527" spans="1:14" s="18" customFormat="1" ht="24" customHeight="1" x14ac:dyDescent="0.3">
      <c r="A1527" s="19">
        <v>8</v>
      </c>
      <c r="B1527" s="19">
        <v>7</v>
      </c>
      <c r="C1527" s="29" t="s">
        <v>514</v>
      </c>
      <c r="D1527" s="21"/>
      <c r="E1527" s="19"/>
      <c r="F1527" s="22"/>
      <c r="G1527" s="23"/>
      <c r="H1527" s="24"/>
      <c r="I1527" s="23"/>
      <c r="J1527" s="23"/>
      <c r="K1527" s="32"/>
      <c r="L1527" s="33"/>
      <c r="M1527" s="34"/>
      <c r="N1527" s="35">
        <f>N1526+J1527+K1527</f>
        <v>75083401</v>
      </c>
    </row>
    <row r="1528" spans="1:14" s="18" customFormat="1" ht="24" customHeight="1" x14ac:dyDescent="0.3">
      <c r="A1528" s="19"/>
      <c r="B1528" s="19"/>
      <c r="C1528" s="36" t="s">
        <v>515</v>
      </c>
      <c r="D1528" s="37"/>
      <c r="E1528" s="19">
        <v>916</v>
      </c>
      <c r="F1528" s="22">
        <v>6148.7</v>
      </c>
      <c r="G1528" s="23">
        <f>500+1000+900+150</f>
        <v>2550</v>
      </c>
      <c r="H1528" s="24">
        <f t="shared" ref="H1528" si="874">F1528*G1528</f>
        <v>15679185</v>
      </c>
      <c r="I1528" s="23">
        <v>0</v>
      </c>
      <c r="J1528" s="23">
        <f t="shared" ref="J1528" si="875">SUM(H1528:I1528)</f>
        <v>15679185</v>
      </c>
      <c r="K1528" s="32"/>
      <c r="L1528" s="33"/>
      <c r="M1528" s="34"/>
      <c r="N1528" s="35">
        <f>N1527+J1528+K1528</f>
        <v>90762586</v>
      </c>
    </row>
    <row r="1529" spans="1:14" s="18" customFormat="1" ht="24" customHeight="1" x14ac:dyDescent="0.3">
      <c r="A1529" s="19"/>
      <c r="B1529" s="19">
        <v>7</v>
      </c>
      <c r="C1529" s="20" t="s">
        <v>499</v>
      </c>
      <c r="D1529" s="37"/>
      <c r="E1529" s="19"/>
      <c r="F1529" s="22"/>
      <c r="G1529" s="23"/>
      <c r="H1529" s="24"/>
      <c r="I1529" s="23"/>
      <c r="J1529" s="23"/>
      <c r="K1529" s="32"/>
      <c r="L1529" s="33"/>
      <c r="M1529" s="34"/>
      <c r="N1529" s="35">
        <f t="shared" ref="N1529:N1560" si="876">N1528+J1529+K1529</f>
        <v>90762586</v>
      </c>
    </row>
    <row r="1530" spans="1:14" s="18" customFormat="1" ht="24" customHeight="1" x14ac:dyDescent="0.3">
      <c r="A1530" s="19"/>
      <c r="B1530" s="19"/>
      <c r="C1530" s="36" t="s">
        <v>61</v>
      </c>
      <c r="D1530" s="21"/>
      <c r="E1530" s="19">
        <v>2</v>
      </c>
      <c r="F1530" s="22">
        <v>6</v>
      </c>
      <c r="G1530" s="23">
        <f>2000+2000+500+950+950+200+200+300+300</f>
        <v>7400</v>
      </c>
      <c r="H1530" s="24">
        <f t="shared" ref="H1530" si="877">F1530*G1530</f>
        <v>44400</v>
      </c>
      <c r="I1530" s="23">
        <v>0</v>
      </c>
      <c r="J1530" s="23">
        <f t="shared" ref="J1530" si="878">SUM(H1530:I1530)</f>
        <v>44400</v>
      </c>
      <c r="K1530" s="32"/>
      <c r="L1530" s="33"/>
      <c r="M1530" s="34"/>
      <c r="N1530" s="35">
        <f t="shared" si="876"/>
        <v>90806986</v>
      </c>
    </row>
    <row r="1531" spans="1:14" s="18" customFormat="1" ht="24" customHeight="1" x14ac:dyDescent="0.3">
      <c r="A1531" s="19"/>
      <c r="B1531" s="19">
        <v>8</v>
      </c>
      <c r="C1531" s="39" t="s">
        <v>516</v>
      </c>
      <c r="D1531" s="21"/>
      <c r="E1531" s="19"/>
      <c r="F1531" s="22"/>
      <c r="G1531" s="23"/>
      <c r="H1531" s="24"/>
      <c r="I1531" s="23"/>
      <c r="J1531" s="23"/>
      <c r="K1531" s="32"/>
      <c r="L1531" s="33"/>
      <c r="M1531" s="34"/>
      <c r="N1531" s="35">
        <f t="shared" si="876"/>
        <v>90806986</v>
      </c>
    </row>
    <row r="1532" spans="1:14" s="18" customFormat="1" ht="24" customHeight="1" x14ac:dyDescent="0.3">
      <c r="A1532" s="19"/>
      <c r="B1532" s="19"/>
      <c r="C1532" s="29" t="s">
        <v>126</v>
      </c>
      <c r="D1532" s="37"/>
      <c r="E1532" s="19">
        <v>1</v>
      </c>
      <c r="F1532" s="22">
        <v>6.5</v>
      </c>
      <c r="G1532" s="23">
        <f>500+1000+900+150</f>
        <v>2550</v>
      </c>
      <c r="H1532" s="24">
        <f t="shared" ref="H1532" si="879">F1532*G1532</f>
        <v>16575</v>
      </c>
      <c r="I1532" s="23">
        <v>0</v>
      </c>
      <c r="J1532" s="23">
        <f t="shared" ref="J1532" si="880">SUM(H1532:I1532)</f>
        <v>16575</v>
      </c>
      <c r="K1532" s="32"/>
      <c r="L1532" s="33"/>
      <c r="M1532" s="34"/>
      <c r="N1532" s="35">
        <f t="shared" si="876"/>
        <v>90823561</v>
      </c>
    </row>
    <row r="1533" spans="1:14" s="18" customFormat="1" ht="24" customHeight="1" x14ac:dyDescent="0.3">
      <c r="A1533" s="19"/>
      <c r="B1533" s="19">
        <v>8</v>
      </c>
      <c r="C1533" s="20" t="s">
        <v>517</v>
      </c>
      <c r="D1533" s="21"/>
      <c r="E1533" s="19"/>
      <c r="F1533" s="22"/>
      <c r="G1533" s="23"/>
      <c r="H1533" s="24"/>
      <c r="I1533" s="23"/>
      <c r="J1533" s="23"/>
      <c r="K1533" s="32"/>
      <c r="L1533" s="33"/>
      <c r="M1533" s="34"/>
      <c r="N1533" s="35">
        <f t="shared" si="876"/>
        <v>90823561</v>
      </c>
    </row>
    <row r="1534" spans="1:14" s="18" customFormat="1" ht="24" customHeight="1" x14ac:dyDescent="0.3">
      <c r="A1534" s="19"/>
      <c r="B1534" s="19"/>
      <c r="C1534" s="29" t="s">
        <v>126</v>
      </c>
      <c r="D1534" s="37"/>
      <c r="E1534" s="19">
        <v>8</v>
      </c>
      <c r="F1534" s="22">
        <v>31</v>
      </c>
      <c r="G1534" s="23">
        <f>500+1000+900+150</f>
        <v>2550</v>
      </c>
      <c r="H1534" s="24">
        <f t="shared" ref="H1534" si="881">F1534*G1534</f>
        <v>79050</v>
      </c>
      <c r="I1534" s="23">
        <v>0</v>
      </c>
      <c r="J1534" s="23">
        <f t="shared" ref="J1534" si="882">SUM(H1534:I1534)</f>
        <v>79050</v>
      </c>
      <c r="K1534" s="32"/>
      <c r="L1534" s="33"/>
      <c r="M1534" s="34"/>
      <c r="N1534" s="35">
        <f t="shared" si="876"/>
        <v>90902611</v>
      </c>
    </row>
    <row r="1535" spans="1:14" s="18" customFormat="1" ht="24" customHeight="1" x14ac:dyDescent="0.3">
      <c r="A1535" s="19"/>
      <c r="B1535" s="19">
        <v>8</v>
      </c>
      <c r="C1535" s="39" t="s">
        <v>337</v>
      </c>
      <c r="D1535" s="21"/>
      <c r="E1535" s="19"/>
      <c r="F1535" s="22"/>
      <c r="G1535" s="23"/>
      <c r="H1535" s="24"/>
      <c r="I1535" s="23"/>
      <c r="J1535" s="23"/>
      <c r="K1535" s="32"/>
      <c r="L1535" s="33"/>
      <c r="M1535" s="34"/>
      <c r="N1535" s="35">
        <f t="shared" si="876"/>
        <v>90902611</v>
      </c>
    </row>
    <row r="1536" spans="1:14" s="18" customFormat="1" ht="24" customHeight="1" x14ac:dyDescent="0.3">
      <c r="A1536" s="19"/>
      <c r="B1536" s="19"/>
      <c r="C1536" s="36" t="s">
        <v>21</v>
      </c>
      <c r="D1536" s="21"/>
      <c r="E1536" s="19">
        <v>8</v>
      </c>
      <c r="F1536" s="22">
        <v>33.299999999999997</v>
      </c>
      <c r="G1536" s="23">
        <f>2000+500+950+200+300</f>
        <v>3950</v>
      </c>
      <c r="H1536" s="24">
        <f t="shared" ref="H1536:H1538" si="883">F1536*G1536</f>
        <v>131535</v>
      </c>
      <c r="I1536" s="23">
        <v>0</v>
      </c>
      <c r="J1536" s="23">
        <f t="shared" ref="J1536:J1538" si="884">SUM(H1536:I1536)</f>
        <v>131535</v>
      </c>
      <c r="K1536" s="32"/>
      <c r="L1536" s="33"/>
      <c r="M1536" s="34"/>
      <c r="N1536" s="35">
        <f t="shared" si="876"/>
        <v>91034146</v>
      </c>
    </row>
    <row r="1537" spans="1:14" s="18" customFormat="1" ht="24" customHeight="1" x14ac:dyDescent="0.3">
      <c r="A1537" s="19"/>
      <c r="B1537" s="19"/>
      <c r="C1537" s="39" t="s">
        <v>46</v>
      </c>
      <c r="D1537" s="21"/>
      <c r="E1537" s="19">
        <v>5</v>
      </c>
      <c r="F1537" s="22">
        <v>36.4</v>
      </c>
      <c r="G1537" s="23">
        <v>1950</v>
      </c>
      <c r="H1537" s="24">
        <f t="shared" si="883"/>
        <v>70980</v>
      </c>
      <c r="I1537" s="23">
        <v>0</v>
      </c>
      <c r="J1537" s="23">
        <f t="shared" si="884"/>
        <v>70980</v>
      </c>
      <c r="K1537" s="32"/>
      <c r="L1537" s="33"/>
      <c r="M1537" s="34"/>
      <c r="N1537" s="35">
        <f t="shared" si="876"/>
        <v>91105126</v>
      </c>
    </row>
    <row r="1538" spans="1:14" s="18" customFormat="1" ht="24" customHeight="1" x14ac:dyDescent="0.3">
      <c r="A1538" s="19"/>
      <c r="B1538" s="19"/>
      <c r="C1538" s="39" t="s">
        <v>75</v>
      </c>
      <c r="D1538" s="37"/>
      <c r="E1538" s="19">
        <v>8</v>
      </c>
      <c r="F1538" s="22">
        <v>28.7</v>
      </c>
      <c r="G1538" s="23">
        <v>2500</v>
      </c>
      <c r="H1538" s="24">
        <f t="shared" si="883"/>
        <v>71750</v>
      </c>
      <c r="I1538" s="23">
        <v>0</v>
      </c>
      <c r="J1538" s="23">
        <f t="shared" si="884"/>
        <v>71750</v>
      </c>
      <c r="K1538" s="32"/>
      <c r="L1538" s="33"/>
      <c r="M1538" s="34"/>
      <c r="N1538" s="35">
        <f t="shared" si="876"/>
        <v>91176876</v>
      </c>
    </row>
    <row r="1539" spans="1:14" s="18" customFormat="1" ht="24" customHeight="1" x14ac:dyDescent="0.3">
      <c r="A1539" s="19"/>
      <c r="B1539" s="19">
        <v>8</v>
      </c>
      <c r="C1539" s="29" t="s">
        <v>518</v>
      </c>
      <c r="D1539" s="37"/>
      <c r="E1539" s="19"/>
      <c r="F1539" s="22"/>
      <c r="G1539" s="23"/>
      <c r="H1539" s="24"/>
      <c r="I1539" s="23"/>
      <c r="J1539" s="23"/>
      <c r="K1539" s="32"/>
      <c r="L1539" s="33"/>
      <c r="M1539" s="34"/>
      <c r="N1539" s="35">
        <f t="shared" si="876"/>
        <v>91176876</v>
      </c>
    </row>
    <row r="1540" spans="1:14" s="18" customFormat="1" ht="24" customHeight="1" x14ac:dyDescent="0.3">
      <c r="A1540" s="19"/>
      <c r="B1540" s="19"/>
      <c r="C1540" s="36" t="s">
        <v>86</v>
      </c>
      <c r="D1540" s="82"/>
      <c r="E1540" s="19">
        <v>10</v>
      </c>
      <c r="F1540" s="22">
        <v>53.5</v>
      </c>
      <c r="G1540" s="23">
        <f>500+1000+950+200</f>
        <v>2650</v>
      </c>
      <c r="H1540" s="24">
        <f t="shared" ref="H1540" si="885">F1540*G1540</f>
        <v>141775</v>
      </c>
      <c r="I1540" s="23">
        <v>0</v>
      </c>
      <c r="J1540" s="23">
        <f t="shared" ref="J1540" si="886">SUM(H1540:I1540)</f>
        <v>141775</v>
      </c>
      <c r="K1540" s="32"/>
      <c r="L1540" s="33"/>
      <c r="M1540" s="34"/>
      <c r="N1540" s="35">
        <f t="shared" si="876"/>
        <v>91318651</v>
      </c>
    </row>
    <row r="1541" spans="1:14" s="18" customFormat="1" ht="24" customHeight="1" x14ac:dyDescent="0.3">
      <c r="A1541" s="19"/>
      <c r="B1541" s="19">
        <v>8</v>
      </c>
      <c r="C1541" s="29" t="s">
        <v>519</v>
      </c>
      <c r="D1541" s="82"/>
      <c r="E1541" s="19"/>
      <c r="F1541" s="22"/>
      <c r="G1541" s="23"/>
      <c r="H1541" s="24"/>
      <c r="I1541" s="23"/>
      <c r="J1541" s="23"/>
      <c r="K1541" s="32"/>
      <c r="L1541" s="33"/>
      <c r="M1541" s="34"/>
      <c r="N1541" s="35">
        <f t="shared" si="876"/>
        <v>91318651</v>
      </c>
    </row>
    <row r="1542" spans="1:14" s="18" customFormat="1" ht="24" customHeight="1" x14ac:dyDescent="0.3">
      <c r="A1542" s="19"/>
      <c r="B1542" s="19"/>
      <c r="C1542" s="36" t="s">
        <v>23</v>
      </c>
      <c r="D1542" s="21"/>
      <c r="E1542" s="19">
        <v>482</v>
      </c>
      <c r="F1542" s="22">
        <v>3599.9</v>
      </c>
      <c r="G1542" s="23">
        <f>2000+500+950+200+300</f>
        <v>3950</v>
      </c>
      <c r="H1542" s="24">
        <f t="shared" ref="H1542" si="887">F1542*G1542</f>
        <v>14219605</v>
      </c>
      <c r="I1542" s="23">
        <v>0</v>
      </c>
      <c r="J1542" s="23">
        <f t="shared" ref="J1542" si="888">SUM(H1542:I1542)</f>
        <v>14219605</v>
      </c>
      <c r="K1542" s="32"/>
      <c r="L1542" s="33"/>
      <c r="M1542" s="34"/>
      <c r="N1542" s="35">
        <f t="shared" si="876"/>
        <v>105538256</v>
      </c>
    </row>
    <row r="1543" spans="1:14" s="18" customFormat="1" ht="24" customHeight="1" x14ac:dyDescent="0.3">
      <c r="A1543" s="19"/>
      <c r="B1543" s="19">
        <v>11</v>
      </c>
      <c r="C1543" s="39" t="s">
        <v>520</v>
      </c>
      <c r="D1543" s="21"/>
      <c r="E1543" s="19"/>
      <c r="F1543" s="22"/>
      <c r="G1543" s="23"/>
      <c r="H1543" s="24"/>
      <c r="I1543" s="23"/>
      <c r="J1543" s="23"/>
      <c r="K1543" s="32"/>
      <c r="L1543" s="33"/>
      <c r="M1543" s="34"/>
      <c r="N1543" s="35">
        <f t="shared" si="876"/>
        <v>105538256</v>
      </c>
    </row>
    <row r="1544" spans="1:14" s="18" customFormat="1" ht="24" customHeight="1" x14ac:dyDescent="0.3">
      <c r="A1544" s="19"/>
      <c r="B1544" s="19"/>
      <c r="C1544" s="36" t="s">
        <v>86</v>
      </c>
      <c r="D1544" s="21"/>
      <c r="E1544" s="19">
        <v>1</v>
      </c>
      <c r="F1544" s="22">
        <v>18.2</v>
      </c>
      <c r="G1544" s="23">
        <f>500+1000+950+200</f>
        <v>2650</v>
      </c>
      <c r="H1544" s="24">
        <f t="shared" ref="H1544" si="889">F1544*G1544</f>
        <v>48230</v>
      </c>
      <c r="I1544" s="23">
        <v>0</v>
      </c>
      <c r="J1544" s="23">
        <f t="shared" ref="J1544" si="890">SUM(H1544:I1544)</f>
        <v>48230</v>
      </c>
      <c r="K1544" s="32"/>
      <c r="L1544" s="33"/>
      <c r="M1544" s="34"/>
      <c r="N1544" s="35">
        <f t="shared" si="876"/>
        <v>105586486</v>
      </c>
    </row>
    <row r="1545" spans="1:14" s="18" customFormat="1" ht="24" customHeight="1" x14ac:dyDescent="0.3">
      <c r="A1545" s="19"/>
      <c r="B1545" s="19">
        <v>12</v>
      </c>
      <c r="C1545" s="29" t="s">
        <v>383</v>
      </c>
      <c r="D1545" s="21"/>
      <c r="E1545" s="19"/>
      <c r="F1545" s="22"/>
      <c r="G1545" s="23"/>
      <c r="H1545" s="24"/>
      <c r="I1545" s="23"/>
      <c r="J1545" s="23"/>
      <c r="K1545" s="32"/>
      <c r="L1545" s="33"/>
      <c r="M1545" s="34"/>
      <c r="N1545" s="35">
        <f t="shared" si="876"/>
        <v>105586486</v>
      </c>
    </row>
    <row r="1546" spans="1:14" s="18" customFormat="1" ht="24" customHeight="1" x14ac:dyDescent="0.3">
      <c r="A1546" s="19"/>
      <c r="B1546" s="19"/>
      <c r="C1546" s="36" t="s">
        <v>21</v>
      </c>
      <c r="D1546" s="21"/>
      <c r="E1546" s="19">
        <v>4</v>
      </c>
      <c r="F1546" s="22">
        <v>58.7</v>
      </c>
      <c r="G1546" s="23">
        <f>2000+500+950+200+300</f>
        <v>3950</v>
      </c>
      <c r="H1546" s="24">
        <f t="shared" ref="H1546" si="891">F1546*G1546</f>
        <v>231865</v>
      </c>
      <c r="I1546" s="23">
        <v>0</v>
      </c>
      <c r="J1546" s="23">
        <f t="shared" ref="J1546" si="892">SUM(H1546:I1546)</f>
        <v>231865</v>
      </c>
      <c r="K1546" s="32"/>
      <c r="L1546" s="33"/>
      <c r="M1546" s="34"/>
      <c r="N1546" s="35">
        <f t="shared" si="876"/>
        <v>105818351</v>
      </c>
    </row>
    <row r="1547" spans="1:14" s="18" customFormat="1" ht="24" customHeight="1" x14ac:dyDescent="0.3">
      <c r="A1547" s="19"/>
      <c r="B1547" s="19">
        <v>12</v>
      </c>
      <c r="C1547" s="29" t="s">
        <v>521</v>
      </c>
      <c r="D1547" s="37"/>
      <c r="E1547" s="19"/>
      <c r="F1547" s="22"/>
      <c r="G1547" s="23"/>
      <c r="H1547" s="24"/>
      <c r="I1547" s="23"/>
      <c r="J1547" s="23"/>
      <c r="K1547" s="32"/>
      <c r="L1547" s="33"/>
      <c r="M1547" s="34"/>
      <c r="N1547" s="35">
        <f t="shared" si="876"/>
        <v>105818351</v>
      </c>
    </row>
    <row r="1548" spans="1:14" s="18" customFormat="1" ht="24" customHeight="1" x14ac:dyDescent="0.3">
      <c r="A1548" s="19"/>
      <c r="B1548" s="19"/>
      <c r="C1548" s="29" t="s">
        <v>107</v>
      </c>
      <c r="D1548" s="21"/>
      <c r="E1548" s="19">
        <v>1866</v>
      </c>
      <c r="F1548" s="22">
        <v>21093.4</v>
      </c>
      <c r="G1548" s="23">
        <f>500+500+750</f>
        <v>1750</v>
      </c>
      <c r="H1548" s="24">
        <f t="shared" ref="H1548:H1549" si="893">F1548*G1548</f>
        <v>36913450</v>
      </c>
      <c r="I1548" s="23">
        <v>0</v>
      </c>
      <c r="J1548" s="23">
        <f t="shared" ref="J1548:J1549" si="894">SUM(H1548:I1548)</f>
        <v>36913450</v>
      </c>
      <c r="K1548" s="32"/>
      <c r="L1548" s="33"/>
      <c r="M1548" s="34"/>
      <c r="N1548" s="35">
        <f t="shared" si="876"/>
        <v>142731801</v>
      </c>
    </row>
    <row r="1549" spans="1:14" s="18" customFormat="1" ht="24" customHeight="1" x14ac:dyDescent="0.3">
      <c r="A1549" s="19"/>
      <c r="B1549" s="19"/>
      <c r="C1549" s="29" t="s">
        <v>504</v>
      </c>
      <c r="D1549" s="37"/>
      <c r="E1549" s="19">
        <v>622</v>
      </c>
      <c r="F1549" s="22">
        <v>2065.3000000000002</v>
      </c>
      <c r="G1549" s="23">
        <f>500+1100+750</f>
        <v>2350</v>
      </c>
      <c r="H1549" s="24">
        <f t="shared" si="893"/>
        <v>4853455</v>
      </c>
      <c r="I1549" s="23">
        <v>0</v>
      </c>
      <c r="J1549" s="23">
        <f t="shared" si="894"/>
        <v>4853455</v>
      </c>
      <c r="K1549" s="32"/>
      <c r="L1549" s="33"/>
      <c r="M1549" s="34"/>
      <c r="N1549" s="35">
        <f t="shared" si="876"/>
        <v>147585256</v>
      </c>
    </row>
    <row r="1550" spans="1:14" s="18" customFormat="1" ht="24" customHeight="1" x14ac:dyDescent="0.3">
      <c r="A1550" s="19"/>
      <c r="B1550" s="19">
        <v>12</v>
      </c>
      <c r="C1550" s="29" t="s">
        <v>24</v>
      </c>
      <c r="D1550" s="21"/>
      <c r="E1550" s="19"/>
      <c r="F1550" s="22"/>
      <c r="G1550" s="23"/>
      <c r="H1550" s="24"/>
      <c r="I1550" s="23"/>
      <c r="J1550" s="23"/>
      <c r="K1550" s="32"/>
      <c r="L1550" s="33"/>
      <c r="M1550" s="34"/>
      <c r="N1550" s="35">
        <f t="shared" si="876"/>
        <v>147585256</v>
      </c>
    </row>
    <row r="1551" spans="1:14" s="18" customFormat="1" ht="24" customHeight="1" x14ac:dyDescent="0.3">
      <c r="A1551" s="19"/>
      <c r="B1551" s="19"/>
      <c r="C1551" s="36" t="s">
        <v>23</v>
      </c>
      <c r="D1551" s="21"/>
      <c r="E1551" s="19">
        <v>694</v>
      </c>
      <c r="F1551" s="22">
        <v>5278.2</v>
      </c>
      <c r="G1551" s="23">
        <f>2000+500+950+200+300</f>
        <v>3950</v>
      </c>
      <c r="H1551" s="24">
        <f t="shared" ref="H1551" si="895">F1551*G1551</f>
        <v>20848890</v>
      </c>
      <c r="I1551" s="23">
        <v>0</v>
      </c>
      <c r="J1551" s="23">
        <f t="shared" ref="J1551" si="896">SUM(H1551:I1551)</f>
        <v>20848890</v>
      </c>
      <c r="K1551" s="32"/>
      <c r="L1551" s="33"/>
      <c r="M1551" s="34"/>
      <c r="N1551" s="35">
        <f t="shared" si="876"/>
        <v>168434146</v>
      </c>
    </row>
    <row r="1552" spans="1:14" s="18" customFormat="1" ht="24" customHeight="1" x14ac:dyDescent="0.3">
      <c r="A1552" s="19"/>
      <c r="B1552" s="19">
        <v>12</v>
      </c>
      <c r="C1552" s="29" t="s">
        <v>522</v>
      </c>
      <c r="D1552" s="37"/>
      <c r="E1552" s="19"/>
      <c r="F1552" s="22"/>
      <c r="G1552" s="23"/>
      <c r="H1552" s="24"/>
      <c r="I1552" s="23"/>
      <c r="J1552" s="23"/>
      <c r="K1552" s="32"/>
      <c r="L1552" s="33"/>
      <c r="M1552" s="34"/>
      <c r="N1552" s="35">
        <f t="shared" si="876"/>
        <v>168434146</v>
      </c>
    </row>
    <row r="1553" spans="1:14" s="18" customFormat="1" ht="24" customHeight="1" x14ac:dyDescent="0.3">
      <c r="A1553" s="19"/>
      <c r="B1553" s="19"/>
      <c r="C1553" s="36" t="s">
        <v>86</v>
      </c>
      <c r="D1553" s="21"/>
      <c r="E1553" s="19">
        <v>168</v>
      </c>
      <c r="F1553" s="22">
        <v>1455.9</v>
      </c>
      <c r="G1553" s="23">
        <f>500+1000+950+200</f>
        <v>2650</v>
      </c>
      <c r="H1553" s="24">
        <f t="shared" ref="H1553" si="897">F1553*G1553</f>
        <v>3858135.0000000005</v>
      </c>
      <c r="I1553" s="23">
        <v>0</v>
      </c>
      <c r="J1553" s="23">
        <f t="shared" ref="J1553" si="898">SUM(H1553:I1553)</f>
        <v>3858135.0000000005</v>
      </c>
      <c r="K1553" s="32"/>
      <c r="L1553" s="33"/>
      <c r="M1553" s="34"/>
      <c r="N1553" s="35">
        <f t="shared" si="876"/>
        <v>172292281</v>
      </c>
    </row>
    <row r="1554" spans="1:14" s="18" customFormat="1" ht="24" customHeight="1" x14ac:dyDescent="0.3">
      <c r="A1554" s="19"/>
      <c r="B1554" s="19">
        <v>12</v>
      </c>
      <c r="C1554" s="39" t="s">
        <v>523</v>
      </c>
      <c r="D1554" s="21"/>
      <c r="E1554" s="19"/>
      <c r="F1554" s="22"/>
      <c r="G1554" s="23"/>
      <c r="H1554" s="24"/>
      <c r="I1554" s="23"/>
      <c r="J1554" s="23"/>
      <c r="K1554" s="32"/>
      <c r="L1554" s="33"/>
      <c r="M1554" s="34"/>
      <c r="N1554" s="35">
        <f t="shared" si="876"/>
        <v>172292281</v>
      </c>
    </row>
    <row r="1555" spans="1:14" s="18" customFormat="1" ht="24" customHeight="1" x14ac:dyDescent="0.3">
      <c r="A1555" s="19"/>
      <c r="B1555" s="19"/>
      <c r="C1555" s="36" t="s">
        <v>23</v>
      </c>
      <c r="D1555" s="21"/>
      <c r="E1555" s="19">
        <v>31</v>
      </c>
      <c r="F1555" s="22">
        <v>301.89999999999998</v>
      </c>
      <c r="G1555" s="23">
        <f>2000+500+950+200+300</f>
        <v>3950</v>
      </c>
      <c r="H1555" s="24">
        <f t="shared" ref="H1555" si="899">F1555*G1555</f>
        <v>1192505</v>
      </c>
      <c r="I1555" s="23">
        <v>0</v>
      </c>
      <c r="J1555" s="23">
        <f t="shared" ref="J1555" si="900">SUM(H1555:I1555)</f>
        <v>1192505</v>
      </c>
      <c r="K1555" s="32"/>
      <c r="L1555" s="33"/>
      <c r="M1555" s="34"/>
      <c r="N1555" s="35">
        <f t="shared" si="876"/>
        <v>173484786</v>
      </c>
    </row>
    <row r="1556" spans="1:14" s="18" customFormat="1" ht="24" customHeight="1" x14ac:dyDescent="0.3">
      <c r="A1556" s="19"/>
      <c r="B1556" s="19">
        <v>13</v>
      </c>
      <c r="C1556" s="39" t="s">
        <v>524</v>
      </c>
      <c r="D1556" s="21"/>
      <c r="E1556" s="19"/>
      <c r="F1556" s="22"/>
      <c r="G1556" s="23"/>
      <c r="H1556" s="24"/>
      <c r="I1556" s="23"/>
      <c r="J1556" s="23"/>
      <c r="K1556" s="32"/>
      <c r="L1556" s="33"/>
      <c r="M1556" s="34"/>
      <c r="N1556" s="35">
        <f t="shared" si="876"/>
        <v>173484786</v>
      </c>
    </row>
    <row r="1557" spans="1:14" s="18" customFormat="1" ht="24" customHeight="1" x14ac:dyDescent="0.3">
      <c r="A1557" s="19"/>
      <c r="B1557" s="19"/>
      <c r="C1557" s="36" t="s">
        <v>21</v>
      </c>
      <c r="D1557" s="21"/>
      <c r="E1557" s="19">
        <v>1</v>
      </c>
      <c r="F1557" s="22">
        <v>12</v>
      </c>
      <c r="G1557" s="23">
        <f>2000+500+950+200+300</f>
        <v>3950</v>
      </c>
      <c r="H1557" s="24">
        <f t="shared" ref="H1557" si="901">F1557*G1557</f>
        <v>47400</v>
      </c>
      <c r="I1557" s="23">
        <v>0</v>
      </c>
      <c r="J1557" s="23">
        <f t="shared" ref="J1557" si="902">SUM(H1557:I1557)</f>
        <v>47400</v>
      </c>
      <c r="K1557" s="32"/>
      <c r="L1557" s="33"/>
      <c r="M1557" s="34"/>
      <c r="N1557" s="35">
        <f t="shared" si="876"/>
        <v>173532186</v>
      </c>
    </row>
    <row r="1558" spans="1:14" s="18" customFormat="1" ht="24" customHeight="1" x14ac:dyDescent="0.3">
      <c r="A1558" s="19"/>
      <c r="B1558" s="19">
        <v>13</v>
      </c>
      <c r="C1558" s="29" t="s">
        <v>525</v>
      </c>
      <c r="D1558" s="37"/>
      <c r="E1558" s="19"/>
      <c r="F1558" s="22"/>
      <c r="G1558" s="23"/>
      <c r="H1558" s="24"/>
      <c r="I1558" s="23"/>
      <c r="J1558" s="23"/>
      <c r="K1558" s="32"/>
      <c r="L1558" s="33"/>
      <c r="M1558" s="34"/>
      <c r="N1558" s="38">
        <f t="shared" si="876"/>
        <v>173532186</v>
      </c>
    </row>
    <row r="1559" spans="1:14" s="18" customFormat="1" ht="24" customHeight="1" x14ac:dyDescent="0.3">
      <c r="A1559" s="19"/>
      <c r="B1559" s="19"/>
      <c r="C1559" s="36" t="s">
        <v>526</v>
      </c>
      <c r="D1559" s="21"/>
      <c r="E1559" s="19">
        <v>48</v>
      </c>
      <c r="F1559" s="22">
        <v>1541</v>
      </c>
      <c r="G1559" s="23">
        <v>4400</v>
      </c>
      <c r="H1559" s="24">
        <f t="shared" ref="H1559" si="903">F1559*G1559</f>
        <v>6780400</v>
      </c>
      <c r="I1559" s="23">
        <v>0</v>
      </c>
      <c r="J1559" s="23">
        <f t="shared" ref="J1559" si="904">SUM(H1559:I1559)</f>
        <v>6780400</v>
      </c>
      <c r="K1559" s="32"/>
      <c r="L1559" s="33"/>
      <c r="M1559" s="34"/>
      <c r="N1559" s="38">
        <f t="shared" si="876"/>
        <v>180312586</v>
      </c>
    </row>
    <row r="1560" spans="1:14" s="18" customFormat="1" ht="24" customHeight="1" x14ac:dyDescent="0.3">
      <c r="A1560" s="19"/>
      <c r="B1560" s="19"/>
      <c r="C1560" s="36"/>
      <c r="D1560" s="21"/>
      <c r="E1560" s="19"/>
      <c r="F1560" s="22"/>
      <c r="G1560" s="23"/>
      <c r="H1560" s="24"/>
      <c r="I1560" s="23"/>
      <c r="J1560" s="23"/>
      <c r="K1560" s="32"/>
      <c r="L1560" s="33"/>
      <c r="M1560" s="34"/>
      <c r="N1560" s="38">
        <f t="shared" si="876"/>
        <v>180312586</v>
      </c>
    </row>
    <row r="1561" spans="1:14" s="2" customFormat="1" ht="27" customHeight="1" thickBot="1" x14ac:dyDescent="0.35">
      <c r="A1561" s="1"/>
      <c r="B1561" s="1"/>
      <c r="C1561" s="1"/>
      <c r="E1561" s="86" t="s">
        <v>0</v>
      </c>
      <c r="F1561" s="86"/>
      <c r="G1561" s="86"/>
      <c r="H1561" s="86"/>
      <c r="I1561" s="86"/>
      <c r="J1561" s="86"/>
      <c r="K1561" s="1"/>
      <c r="L1561" s="3"/>
      <c r="M1561" s="3"/>
      <c r="N1561" s="1"/>
    </row>
    <row r="1562" spans="1:14" s="2" customFormat="1" ht="24" customHeight="1" thickTop="1" x14ac:dyDescent="0.3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3"/>
      <c r="M1562" s="3"/>
      <c r="N1562" s="1"/>
    </row>
    <row r="1563" spans="1:14" s="2" customFormat="1" ht="24" customHeight="1" thickBot="1" x14ac:dyDescent="0.35">
      <c r="A1563" s="2" t="s">
        <v>1</v>
      </c>
      <c r="C1563" s="4"/>
      <c r="D1563" s="4"/>
      <c r="E1563" s="5"/>
      <c r="F1563" s="6"/>
      <c r="G1563" s="7"/>
      <c r="H1563" s="7"/>
      <c r="I1563" s="7"/>
      <c r="J1563" s="8"/>
      <c r="K1563" s="9"/>
      <c r="L1563" s="10"/>
      <c r="M1563" s="11"/>
      <c r="N1563" s="12" t="s">
        <v>2</v>
      </c>
    </row>
    <row r="1564" spans="1:14" s="18" customFormat="1" ht="24" customHeight="1" thickTop="1" thickBot="1" x14ac:dyDescent="0.35">
      <c r="A1564" s="13" t="s">
        <v>3</v>
      </c>
      <c r="B1564" s="13" t="s">
        <v>4</v>
      </c>
      <c r="C1564" s="87" t="s">
        <v>5</v>
      </c>
      <c r="D1564" s="88"/>
      <c r="E1564" s="13" t="s">
        <v>6</v>
      </c>
      <c r="F1564" s="14" t="s">
        <v>7</v>
      </c>
      <c r="G1564" s="15" t="s">
        <v>8</v>
      </c>
      <c r="H1564" s="15" t="s">
        <v>9</v>
      </c>
      <c r="I1564" s="15" t="s">
        <v>10</v>
      </c>
      <c r="J1564" s="15" t="s">
        <v>11</v>
      </c>
      <c r="K1564" s="16" t="s">
        <v>12</v>
      </c>
      <c r="L1564" s="89" t="s">
        <v>13</v>
      </c>
      <c r="M1564" s="90"/>
      <c r="N1564" s="17" t="s">
        <v>14</v>
      </c>
    </row>
    <row r="1565" spans="1:14" s="18" customFormat="1" ht="24" customHeight="1" thickTop="1" x14ac:dyDescent="0.3">
      <c r="A1565" s="41"/>
      <c r="B1565" s="41"/>
      <c r="C1565" s="73" t="s">
        <v>41</v>
      </c>
      <c r="D1565" s="40"/>
      <c r="E1565" s="41"/>
      <c r="F1565" s="42"/>
      <c r="G1565" s="43"/>
      <c r="H1565" s="44"/>
      <c r="I1565" s="43"/>
      <c r="J1565" s="43"/>
      <c r="K1565" s="25"/>
      <c r="L1565" s="26"/>
      <c r="M1565" s="27"/>
      <c r="N1565" s="28">
        <f>N1560</f>
        <v>180312586</v>
      </c>
    </row>
    <row r="1566" spans="1:14" s="18" customFormat="1" ht="24" customHeight="1" x14ac:dyDescent="0.3">
      <c r="A1566" s="19">
        <v>8</v>
      </c>
      <c r="B1566" s="19">
        <v>13</v>
      </c>
      <c r="C1566" s="39" t="s">
        <v>418</v>
      </c>
      <c r="D1566" s="37"/>
      <c r="E1566" s="19"/>
      <c r="F1566" s="22"/>
      <c r="G1566" s="23"/>
      <c r="H1566" s="24"/>
      <c r="I1566" s="23"/>
      <c r="J1566" s="23"/>
      <c r="K1566" s="32"/>
      <c r="L1566" s="33"/>
      <c r="M1566" s="34"/>
      <c r="N1566" s="35">
        <f>N1565+J1566+K1566</f>
        <v>180312586</v>
      </c>
    </row>
    <row r="1567" spans="1:14" s="18" customFormat="1" ht="24" customHeight="1" x14ac:dyDescent="0.3">
      <c r="A1567" s="19"/>
      <c r="B1567" s="19"/>
      <c r="C1567" s="69" t="s">
        <v>86</v>
      </c>
      <c r="D1567" s="21"/>
      <c r="E1567" s="19">
        <v>36</v>
      </c>
      <c r="F1567" s="22">
        <v>542.1</v>
      </c>
      <c r="G1567" s="23">
        <f>500+1000+950+200</f>
        <v>2650</v>
      </c>
      <c r="H1567" s="24">
        <f t="shared" ref="H1567" si="905">F1567*G1567</f>
        <v>1436565</v>
      </c>
      <c r="I1567" s="23">
        <v>0</v>
      </c>
      <c r="J1567" s="23">
        <f t="shared" ref="J1567" si="906">SUM(H1567:I1567)</f>
        <v>1436565</v>
      </c>
      <c r="K1567" s="32"/>
      <c r="L1567" s="33"/>
      <c r="M1567" s="34"/>
      <c r="N1567" s="35">
        <f>N1566+J1567+K1567</f>
        <v>181749151</v>
      </c>
    </row>
    <row r="1568" spans="1:14" s="18" customFormat="1" ht="24" customHeight="1" x14ac:dyDescent="0.3">
      <c r="A1568" s="19"/>
      <c r="B1568" s="19">
        <v>13</v>
      </c>
      <c r="C1568" s="39" t="s">
        <v>514</v>
      </c>
      <c r="D1568" s="37"/>
      <c r="E1568" s="19"/>
      <c r="F1568" s="22"/>
      <c r="G1568" s="23"/>
      <c r="H1568" s="24"/>
      <c r="I1568" s="23"/>
      <c r="J1568" s="23"/>
      <c r="K1568" s="32"/>
      <c r="L1568" s="33"/>
      <c r="M1568" s="34"/>
      <c r="N1568" s="35">
        <f t="shared" ref="N1568:N1599" si="907">N1567+J1568+K1568</f>
        <v>181749151</v>
      </c>
    </row>
    <row r="1569" spans="1:14" s="18" customFormat="1" ht="24" customHeight="1" x14ac:dyDescent="0.3">
      <c r="A1569" s="19"/>
      <c r="B1569" s="19"/>
      <c r="C1569" s="69" t="s">
        <v>515</v>
      </c>
      <c r="D1569" s="37"/>
      <c r="E1569" s="19">
        <v>1</v>
      </c>
      <c r="F1569" s="22">
        <v>3</v>
      </c>
      <c r="G1569" s="23">
        <f>500+1000+900+150</f>
        <v>2550</v>
      </c>
      <c r="H1569" s="24">
        <f t="shared" ref="H1569" si="908">F1569*G1569</f>
        <v>7650</v>
      </c>
      <c r="I1569" s="23">
        <v>0</v>
      </c>
      <c r="J1569" s="23">
        <f t="shared" ref="J1569" si="909">SUM(H1569:I1569)</f>
        <v>7650</v>
      </c>
      <c r="K1569" s="32"/>
      <c r="L1569" s="33"/>
      <c r="M1569" s="34"/>
      <c r="N1569" s="35">
        <f t="shared" si="907"/>
        <v>181756801</v>
      </c>
    </row>
    <row r="1570" spans="1:14" s="18" customFormat="1" ht="24" customHeight="1" x14ac:dyDescent="0.3">
      <c r="A1570" s="19"/>
      <c r="B1570" s="19">
        <v>14</v>
      </c>
      <c r="C1570" s="39" t="s">
        <v>527</v>
      </c>
      <c r="D1570" s="21"/>
      <c r="E1570" s="19"/>
      <c r="F1570" s="22"/>
      <c r="G1570" s="23"/>
      <c r="H1570" s="24"/>
      <c r="I1570" s="23"/>
      <c r="J1570" s="23"/>
      <c r="K1570" s="32"/>
      <c r="L1570" s="33"/>
      <c r="M1570" s="34"/>
      <c r="N1570" s="35">
        <f t="shared" si="907"/>
        <v>181756801</v>
      </c>
    </row>
    <row r="1571" spans="1:14" s="18" customFormat="1" ht="24" customHeight="1" x14ac:dyDescent="0.3">
      <c r="A1571" s="19"/>
      <c r="B1571" s="19"/>
      <c r="C1571" s="45" t="s">
        <v>506</v>
      </c>
      <c r="D1571" s="37"/>
      <c r="E1571" s="19">
        <v>3</v>
      </c>
      <c r="F1571" s="22">
        <v>62.6</v>
      </c>
      <c r="G1571" s="23">
        <f>1100+1700+900+150</f>
        <v>3850</v>
      </c>
      <c r="H1571" s="24">
        <f t="shared" ref="H1571:H1572" si="910">F1571*G1571</f>
        <v>241010</v>
      </c>
      <c r="I1571" s="23">
        <v>0</v>
      </c>
      <c r="J1571" s="23">
        <f t="shared" ref="J1571:J1572" si="911">SUM(H1571:I1571)</f>
        <v>241010</v>
      </c>
      <c r="K1571" s="32"/>
      <c r="L1571" s="33"/>
      <c r="M1571" s="34"/>
      <c r="N1571" s="35">
        <f t="shared" si="907"/>
        <v>181997811</v>
      </c>
    </row>
    <row r="1572" spans="1:14" s="18" customFormat="1" ht="24" customHeight="1" x14ac:dyDescent="0.3">
      <c r="A1572" s="19"/>
      <c r="B1572" s="19"/>
      <c r="C1572" s="69" t="s">
        <v>126</v>
      </c>
      <c r="D1572" s="21"/>
      <c r="E1572" s="19">
        <v>4</v>
      </c>
      <c r="F1572" s="22">
        <v>12</v>
      </c>
      <c r="G1572" s="23">
        <f>500+1000+900+150</f>
        <v>2550</v>
      </c>
      <c r="H1572" s="24">
        <f t="shared" si="910"/>
        <v>30600</v>
      </c>
      <c r="I1572" s="23">
        <v>0</v>
      </c>
      <c r="J1572" s="23">
        <f t="shared" si="911"/>
        <v>30600</v>
      </c>
      <c r="K1572" s="32"/>
      <c r="L1572" s="33"/>
      <c r="M1572" s="34"/>
      <c r="N1572" s="35">
        <f t="shared" si="907"/>
        <v>182028411</v>
      </c>
    </row>
    <row r="1573" spans="1:14" s="18" customFormat="1" ht="24" customHeight="1" x14ac:dyDescent="0.3">
      <c r="A1573" s="19"/>
      <c r="B1573" s="19">
        <v>14</v>
      </c>
      <c r="C1573" s="29" t="s">
        <v>522</v>
      </c>
      <c r="D1573" s="37"/>
      <c r="E1573" s="19"/>
      <c r="F1573" s="22"/>
      <c r="G1573" s="23"/>
      <c r="H1573" s="24"/>
      <c r="I1573" s="23"/>
      <c r="J1573" s="23"/>
      <c r="K1573" s="32"/>
      <c r="L1573" s="33"/>
      <c r="M1573" s="34"/>
      <c r="N1573" s="35">
        <f t="shared" si="907"/>
        <v>182028411</v>
      </c>
    </row>
    <row r="1574" spans="1:14" s="18" customFormat="1" ht="24" customHeight="1" x14ac:dyDescent="0.3">
      <c r="A1574" s="19"/>
      <c r="B1574" s="19"/>
      <c r="C1574" s="36" t="s">
        <v>86</v>
      </c>
      <c r="D1574" s="21"/>
      <c r="E1574" s="19">
        <v>1</v>
      </c>
      <c r="F1574" s="22">
        <v>8.6999999999999993</v>
      </c>
      <c r="G1574" s="23">
        <f>500+1000+950+200</f>
        <v>2650</v>
      </c>
      <c r="H1574" s="24">
        <f t="shared" ref="H1574" si="912">F1574*G1574</f>
        <v>23054.999999999996</v>
      </c>
      <c r="I1574" s="23">
        <v>0</v>
      </c>
      <c r="J1574" s="23">
        <f t="shared" ref="J1574" si="913">SUM(H1574:I1574)</f>
        <v>23054.999999999996</v>
      </c>
      <c r="K1574" s="32"/>
      <c r="L1574" s="33"/>
      <c r="M1574" s="34"/>
      <c r="N1574" s="35">
        <f t="shared" si="907"/>
        <v>182051466</v>
      </c>
    </row>
    <row r="1575" spans="1:14" s="18" customFormat="1" ht="24" customHeight="1" x14ac:dyDescent="0.3">
      <c r="A1575" s="19"/>
      <c r="B1575" s="19">
        <v>14</v>
      </c>
      <c r="C1575" s="39" t="s">
        <v>263</v>
      </c>
      <c r="D1575" s="21"/>
      <c r="E1575" s="19"/>
      <c r="F1575" s="22"/>
      <c r="G1575" s="23"/>
      <c r="H1575" s="24"/>
      <c r="I1575" s="23"/>
      <c r="J1575" s="23"/>
      <c r="K1575" s="32"/>
      <c r="L1575" s="33"/>
      <c r="M1575" s="34"/>
      <c r="N1575" s="35">
        <f t="shared" si="907"/>
        <v>182051466</v>
      </c>
    </row>
    <row r="1576" spans="1:14" s="18" customFormat="1" ht="24" customHeight="1" x14ac:dyDescent="0.3">
      <c r="A1576" s="19"/>
      <c r="B1576" s="19"/>
      <c r="C1576" s="29" t="s">
        <v>528</v>
      </c>
      <c r="D1576" s="21"/>
      <c r="E1576" s="19"/>
      <c r="F1576" s="22"/>
      <c r="G1576" s="23"/>
      <c r="H1576" s="24">
        <v>288000</v>
      </c>
      <c r="I1576" s="23">
        <f>H1576*0.1</f>
        <v>28800</v>
      </c>
      <c r="J1576" s="23">
        <f>SUM(H1576:I1576)</f>
        <v>316800</v>
      </c>
      <c r="K1576" s="32"/>
      <c r="L1576" s="33"/>
      <c r="M1576" s="34"/>
      <c r="N1576" s="35">
        <f t="shared" si="907"/>
        <v>182368266</v>
      </c>
    </row>
    <row r="1577" spans="1:14" s="18" customFormat="1" ht="24" customHeight="1" x14ac:dyDescent="0.3">
      <c r="A1577" s="19"/>
      <c r="B1577" s="19">
        <v>16</v>
      </c>
      <c r="C1577" s="29" t="s">
        <v>463</v>
      </c>
      <c r="D1577" s="37"/>
      <c r="E1577" s="19"/>
      <c r="F1577" s="22"/>
      <c r="G1577" s="23"/>
      <c r="H1577" s="24"/>
      <c r="I1577" s="23"/>
      <c r="J1577" s="23"/>
      <c r="K1577" s="32"/>
      <c r="L1577" s="33"/>
      <c r="M1577" s="34"/>
      <c r="N1577" s="35">
        <f t="shared" si="907"/>
        <v>182368266</v>
      </c>
    </row>
    <row r="1578" spans="1:14" s="18" customFormat="1" ht="24" customHeight="1" x14ac:dyDescent="0.3">
      <c r="A1578" s="19"/>
      <c r="B1578" s="19"/>
      <c r="C1578" s="29" t="s">
        <v>528</v>
      </c>
      <c r="D1578" s="37"/>
      <c r="E1578" s="19"/>
      <c r="F1578" s="22"/>
      <c r="G1578" s="23"/>
      <c r="H1578" s="24">
        <v>288000</v>
      </c>
      <c r="I1578" s="23">
        <f>H1578*0.1</f>
        <v>28800</v>
      </c>
      <c r="J1578" s="23">
        <f>SUM(H1578:I1578)</f>
        <v>316800</v>
      </c>
      <c r="K1578" s="32"/>
      <c r="L1578" s="33"/>
      <c r="M1578" s="34"/>
      <c r="N1578" s="35">
        <f t="shared" si="907"/>
        <v>182685066</v>
      </c>
    </row>
    <row r="1579" spans="1:14" s="18" customFormat="1" ht="24" customHeight="1" x14ac:dyDescent="0.3">
      <c r="A1579" s="19"/>
      <c r="B1579" s="19">
        <v>18</v>
      </c>
      <c r="C1579" s="39" t="s">
        <v>491</v>
      </c>
      <c r="D1579" s="82"/>
      <c r="E1579" s="19"/>
      <c r="F1579" s="22"/>
      <c r="G1579" s="23"/>
      <c r="H1579" s="24"/>
      <c r="I1579" s="23"/>
      <c r="J1579" s="23"/>
      <c r="K1579" s="32"/>
      <c r="L1579" s="33"/>
      <c r="M1579" s="34"/>
      <c r="N1579" s="35">
        <f t="shared" si="907"/>
        <v>182685066</v>
      </c>
    </row>
    <row r="1580" spans="1:14" s="18" customFormat="1" ht="24" customHeight="1" x14ac:dyDescent="0.3">
      <c r="A1580" s="19"/>
      <c r="B1580" s="19"/>
      <c r="C1580" s="36" t="s">
        <v>529</v>
      </c>
      <c r="D1580" s="82"/>
      <c r="E1580" s="19">
        <v>6</v>
      </c>
      <c r="F1580" s="22">
        <v>23.5</v>
      </c>
      <c r="G1580" s="23">
        <f>2000+2000+1100+950+950+200+200+300+300</f>
        <v>8000</v>
      </c>
      <c r="H1580" s="24">
        <f t="shared" ref="H1580:H1581" si="914">F1580*G1580</f>
        <v>188000</v>
      </c>
      <c r="I1580" s="23">
        <v>0</v>
      </c>
      <c r="J1580" s="23">
        <f t="shared" ref="J1580:J1581" si="915">SUM(H1580:I1580)</f>
        <v>188000</v>
      </c>
      <c r="K1580" s="32"/>
      <c r="L1580" s="33"/>
      <c r="M1580" s="34"/>
      <c r="N1580" s="35">
        <f t="shared" si="907"/>
        <v>182873066</v>
      </c>
    </row>
    <row r="1581" spans="1:14" s="18" customFormat="1" ht="24" customHeight="1" x14ac:dyDescent="0.3">
      <c r="A1581" s="19"/>
      <c r="B1581" s="19"/>
      <c r="C1581" s="39" t="s">
        <v>379</v>
      </c>
      <c r="D1581" s="21"/>
      <c r="E1581" s="19">
        <v>1</v>
      </c>
      <c r="F1581" s="22">
        <v>3</v>
      </c>
      <c r="G1581" s="23">
        <f>1100+110</f>
        <v>1210</v>
      </c>
      <c r="H1581" s="24">
        <f t="shared" si="914"/>
        <v>3630</v>
      </c>
      <c r="I1581" s="23">
        <v>0</v>
      </c>
      <c r="J1581" s="23">
        <f t="shared" si="915"/>
        <v>3630</v>
      </c>
      <c r="K1581" s="32"/>
      <c r="L1581" s="33"/>
      <c r="M1581" s="34"/>
      <c r="N1581" s="35">
        <f t="shared" si="907"/>
        <v>182876696</v>
      </c>
    </row>
    <row r="1582" spans="1:14" s="18" customFormat="1" ht="24" customHeight="1" x14ac:dyDescent="0.3">
      <c r="A1582" s="19"/>
      <c r="B1582" s="19">
        <v>18</v>
      </c>
      <c r="C1582" s="20" t="s">
        <v>517</v>
      </c>
      <c r="D1582" s="21"/>
      <c r="E1582" s="19"/>
      <c r="F1582" s="22"/>
      <c r="G1582" s="23"/>
      <c r="H1582" s="24"/>
      <c r="I1582" s="23"/>
      <c r="J1582" s="23"/>
      <c r="K1582" s="32"/>
      <c r="L1582" s="33"/>
      <c r="M1582" s="34"/>
      <c r="N1582" s="35">
        <f t="shared" si="907"/>
        <v>182876696</v>
      </c>
    </row>
    <row r="1583" spans="1:14" s="18" customFormat="1" ht="24" customHeight="1" x14ac:dyDescent="0.3">
      <c r="A1583" s="19"/>
      <c r="B1583" s="19"/>
      <c r="C1583" s="36" t="s">
        <v>126</v>
      </c>
      <c r="D1583" s="21"/>
      <c r="E1583" s="19">
        <v>2</v>
      </c>
      <c r="F1583" s="22">
        <v>6</v>
      </c>
      <c r="G1583" s="23">
        <f>500+1000+900+150</f>
        <v>2550</v>
      </c>
      <c r="H1583" s="24">
        <f t="shared" ref="H1583" si="916">F1583*G1583</f>
        <v>15300</v>
      </c>
      <c r="I1583" s="23">
        <v>0</v>
      </c>
      <c r="J1583" s="23">
        <f t="shared" ref="J1583" si="917">SUM(H1583:I1583)</f>
        <v>15300</v>
      </c>
      <c r="K1583" s="32"/>
      <c r="L1583" s="33"/>
      <c r="M1583" s="34"/>
      <c r="N1583" s="35">
        <f t="shared" si="907"/>
        <v>182891996</v>
      </c>
    </row>
    <row r="1584" spans="1:14" s="18" customFormat="1" ht="24" customHeight="1" x14ac:dyDescent="0.3">
      <c r="A1584" s="19"/>
      <c r="B1584" s="19">
        <v>18</v>
      </c>
      <c r="C1584" s="29" t="s">
        <v>254</v>
      </c>
      <c r="D1584" s="21"/>
      <c r="E1584" s="19"/>
      <c r="F1584" s="22"/>
      <c r="G1584" s="23"/>
      <c r="H1584" s="24"/>
      <c r="I1584" s="23"/>
      <c r="J1584" s="23"/>
      <c r="K1584" s="32"/>
      <c r="L1584" s="33"/>
      <c r="M1584" s="34"/>
      <c r="N1584" s="35">
        <f t="shared" si="907"/>
        <v>182891996</v>
      </c>
    </row>
    <row r="1585" spans="1:14" s="18" customFormat="1" ht="24" customHeight="1" x14ac:dyDescent="0.3">
      <c r="A1585" s="19"/>
      <c r="B1585" s="19"/>
      <c r="C1585" s="39" t="s">
        <v>45</v>
      </c>
      <c r="D1585" s="21"/>
      <c r="E1585" s="19"/>
      <c r="F1585" s="22"/>
      <c r="G1585" s="23"/>
      <c r="H1585" s="24">
        <v>130000</v>
      </c>
      <c r="I1585" s="23">
        <f>H1585*0.1</f>
        <v>13000</v>
      </c>
      <c r="J1585" s="23">
        <f>SUM(H1585:I1585)</f>
        <v>143000</v>
      </c>
      <c r="K1585" s="32"/>
      <c r="L1585" s="33"/>
      <c r="M1585" s="34"/>
      <c r="N1585" s="35">
        <f t="shared" si="907"/>
        <v>183034996</v>
      </c>
    </row>
    <row r="1586" spans="1:14" s="18" customFormat="1" ht="24" customHeight="1" x14ac:dyDescent="0.3">
      <c r="A1586" s="19"/>
      <c r="B1586" s="19">
        <v>19</v>
      </c>
      <c r="C1586" s="29" t="s">
        <v>530</v>
      </c>
      <c r="D1586" s="37"/>
      <c r="E1586" s="19"/>
      <c r="F1586" s="22"/>
      <c r="G1586" s="23"/>
      <c r="H1586" s="24"/>
      <c r="I1586" s="23"/>
      <c r="J1586" s="23"/>
      <c r="K1586" s="32"/>
      <c r="L1586" s="33"/>
      <c r="M1586" s="34"/>
      <c r="N1586" s="35">
        <f t="shared" si="907"/>
        <v>183034996</v>
      </c>
    </row>
    <row r="1587" spans="1:14" s="18" customFormat="1" ht="24" customHeight="1" x14ac:dyDescent="0.3">
      <c r="A1587" s="19"/>
      <c r="B1587" s="19"/>
      <c r="C1587" s="36" t="s">
        <v>48</v>
      </c>
      <c r="D1587" s="21"/>
      <c r="E1587" s="19">
        <v>56</v>
      </c>
      <c r="F1587" s="22">
        <v>445.5</v>
      </c>
      <c r="G1587" s="23">
        <f>2000+500+950+200</f>
        <v>3650</v>
      </c>
      <c r="H1587" s="24">
        <f t="shared" ref="H1587" si="918">F1587*G1587</f>
        <v>1626075</v>
      </c>
      <c r="I1587" s="23">
        <v>0</v>
      </c>
      <c r="J1587" s="23">
        <f t="shared" ref="J1587" si="919">SUM(H1587:I1587)</f>
        <v>1626075</v>
      </c>
      <c r="K1587" s="32"/>
      <c r="L1587" s="33"/>
      <c r="M1587" s="34"/>
      <c r="N1587" s="35">
        <f t="shared" si="907"/>
        <v>184661071</v>
      </c>
    </row>
    <row r="1588" spans="1:14" s="18" customFormat="1" ht="24" customHeight="1" x14ac:dyDescent="0.3">
      <c r="A1588" s="19"/>
      <c r="B1588" s="19">
        <v>19</v>
      </c>
      <c r="C1588" s="29" t="s">
        <v>270</v>
      </c>
      <c r="D1588" s="37"/>
      <c r="E1588" s="19"/>
      <c r="F1588" s="22"/>
      <c r="G1588" s="23"/>
      <c r="H1588" s="24"/>
      <c r="I1588" s="23"/>
      <c r="J1588" s="23"/>
      <c r="K1588" s="32"/>
      <c r="L1588" s="33"/>
      <c r="M1588" s="34"/>
      <c r="N1588" s="35">
        <f t="shared" si="907"/>
        <v>184661071</v>
      </c>
    </row>
    <row r="1589" spans="1:14" s="18" customFormat="1" ht="24" customHeight="1" x14ac:dyDescent="0.3">
      <c r="A1589" s="19"/>
      <c r="B1589" s="19"/>
      <c r="C1589" s="36" t="s">
        <v>531</v>
      </c>
      <c r="D1589" s="21"/>
      <c r="E1589" s="19">
        <v>296</v>
      </c>
      <c r="F1589" s="22">
        <v>2056</v>
      </c>
      <c r="G1589" s="23">
        <f>500+1000+950+200</f>
        <v>2650</v>
      </c>
      <c r="H1589" s="24">
        <f t="shared" ref="H1589" si="920">F1589*G1589</f>
        <v>5448400</v>
      </c>
      <c r="I1589" s="23">
        <v>0</v>
      </c>
      <c r="J1589" s="23">
        <f t="shared" ref="J1589" si="921">SUM(H1589:I1589)</f>
        <v>5448400</v>
      </c>
      <c r="K1589" s="32"/>
      <c r="L1589" s="33"/>
      <c r="M1589" s="34"/>
      <c r="N1589" s="35">
        <f t="shared" si="907"/>
        <v>190109471</v>
      </c>
    </row>
    <row r="1590" spans="1:14" s="18" customFormat="1" ht="24" customHeight="1" x14ac:dyDescent="0.3">
      <c r="A1590" s="19"/>
      <c r="B1590" s="19">
        <v>19</v>
      </c>
      <c r="C1590" s="29" t="s">
        <v>532</v>
      </c>
      <c r="D1590" s="21"/>
      <c r="E1590" s="19"/>
      <c r="F1590" s="22"/>
      <c r="G1590" s="23"/>
      <c r="H1590" s="24"/>
      <c r="I1590" s="23"/>
      <c r="J1590" s="23"/>
      <c r="K1590" s="32"/>
      <c r="L1590" s="33"/>
      <c r="M1590" s="34"/>
      <c r="N1590" s="35">
        <f t="shared" si="907"/>
        <v>190109471</v>
      </c>
    </row>
    <row r="1591" spans="1:14" s="18" customFormat="1" ht="24" customHeight="1" x14ac:dyDescent="0.3">
      <c r="A1591" s="19"/>
      <c r="B1591" s="19"/>
      <c r="C1591" s="29" t="s">
        <v>89</v>
      </c>
      <c r="D1591" s="37"/>
      <c r="E1591" s="19">
        <v>204</v>
      </c>
      <c r="F1591" s="22">
        <v>1081.5999999999999</v>
      </c>
      <c r="G1591" s="23">
        <v>550</v>
      </c>
      <c r="H1591" s="24">
        <f t="shared" ref="H1591:H1592" si="922">F1591*G1591</f>
        <v>594880</v>
      </c>
      <c r="I1591" s="23">
        <v>0</v>
      </c>
      <c r="J1591" s="23">
        <f t="shared" ref="J1591:J1592" si="923">SUM(H1591:I1591)</f>
        <v>594880</v>
      </c>
      <c r="K1591" s="32"/>
      <c r="L1591" s="33"/>
      <c r="M1591" s="34"/>
      <c r="N1591" s="35">
        <f t="shared" si="907"/>
        <v>190704351</v>
      </c>
    </row>
    <row r="1592" spans="1:14" s="18" customFormat="1" ht="24" customHeight="1" x14ac:dyDescent="0.3">
      <c r="A1592" s="19"/>
      <c r="B1592" s="19"/>
      <c r="C1592" s="36" t="s">
        <v>289</v>
      </c>
      <c r="D1592" s="21"/>
      <c r="E1592" s="19">
        <v>52</v>
      </c>
      <c r="F1592" s="22">
        <v>624.1</v>
      </c>
      <c r="G1592" s="23">
        <v>4510</v>
      </c>
      <c r="H1592" s="24">
        <f t="shared" si="922"/>
        <v>2814691</v>
      </c>
      <c r="I1592" s="23">
        <v>0</v>
      </c>
      <c r="J1592" s="23">
        <f t="shared" si="923"/>
        <v>2814691</v>
      </c>
      <c r="K1592" s="32"/>
      <c r="L1592" s="33"/>
      <c r="M1592" s="34"/>
      <c r="N1592" s="35">
        <f t="shared" si="907"/>
        <v>193519042</v>
      </c>
    </row>
    <row r="1593" spans="1:14" s="18" customFormat="1" ht="24" customHeight="1" x14ac:dyDescent="0.3">
      <c r="A1593" s="19"/>
      <c r="B1593" s="19">
        <v>19</v>
      </c>
      <c r="C1593" s="29" t="s">
        <v>533</v>
      </c>
      <c r="D1593" s="21"/>
      <c r="E1593" s="19"/>
      <c r="F1593" s="22"/>
      <c r="G1593" s="23"/>
      <c r="H1593" s="24"/>
      <c r="I1593" s="23"/>
      <c r="J1593" s="23"/>
      <c r="K1593" s="32"/>
      <c r="L1593" s="33"/>
      <c r="M1593" s="34"/>
      <c r="N1593" s="35">
        <f t="shared" si="907"/>
        <v>193519042</v>
      </c>
    </row>
    <row r="1594" spans="1:14" s="18" customFormat="1" ht="24" customHeight="1" x14ac:dyDescent="0.3">
      <c r="A1594" s="19"/>
      <c r="B1594" s="19"/>
      <c r="C1594" s="29" t="s">
        <v>89</v>
      </c>
      <c r="D1594" s="37"/>
      <c r="E1594" s="19">
        <v>376</v>
      </c>
      <c r="F1594" s="22">
        <v>2039.1</v>
      </c>
      <c r="G1594" s="23">
        <v>550</v>
      </c>
      <c r="H1594" s="24">
        <f t="shared" ref="H1594:H1595" si="924">F1594*G1594</f>
        <v>1121505</v>
      </c>
      <c r="I1594" s="23">
        <v>0</v>
      </c>
      <c r="J1594" s="23">
        <f t="shared" ref="J1594:J1595" si="925">SUM(H1594:I1594)</f>
        <v>1121505</v>
      </c>
      <c r="K1594" s="32"/>
      <c r="L1594" s="33"/>
      <c r="M1594" s="34"/>
      <c r="N1594" s="35">
        <f t="shared" si="907"/>
        <v>194640547</v>
      </c>
    </row>
    <row r="1595" spans="1:14" s="18" customFormat="1" ht="24" customHeight="1" x14ac:dyDescent="0.3">
      <c r="A1595" s="19"/>
      <c r="B1595" s="19"/>
      <c r="C1595" s="36" t="s">
        <v>289</v>
      </c>
      <c r="D1595" s="21"/>
      <c r="E1595" s="19">
        <v>92</v>
      </c>
      <c r="F1595" s="22">
        <v>1104.2</v>
      </c>
      <c r="G1595" s="23">
        <v>4510</v>
      </c>
      <c r="H1595" s="24">
        <f t="shared" si="924"/>
        <v>4979942</v>
      </c>
      <c r="I1595" s="23">
        <v>0</v>
      </c>
      <c r="J1595" s="23">
        <f t="shared" si="925"/>
        <v>4979942</v>
      </c>
      <c r="K1595" s="32"/>
      <c r="L1595" s="33"/>
      <c r="M1595" s="34"/>
      <c r="N1595" s="35">
        <f t="shared" si="907"/>
        <v>199620489</v>
      </c>
    </row>
    <row r="1596" spans="1:14" s="18" customFormat="1" ht="24" customHeight="1" x14ac:dyDescent="0.3">
      <c r="A1596" s="19"/>
      <c r="B1596" s="19">
        <v>19</v>
      </c>
      <c r="C1596" s="29" t="s">
        <v>534</v>
      </c>
      <c r="D1596" s="21"/>
      <c r="E1596" s="19"/>
      <c r="F1596" s="22"/>
      <c r="G1596" s="23"/>
      <c r="H1596" s="24"/>
      <c r="I1596" s="23"/>
      <c r="J1596" s="23"/>
      <c r="K1596" s="32"/>
      <c r="L1596" s="33"/>
      <c r="M1596" s="34"/>
      <c r="N1596" s="35">
        <f t="shared" si="907"/>
        <v>199620489</v>
      </c>
    </row>
    <row r="1597" spans="1:14" s="18" customFormat="1" ht="24" customHeight="1" x14ac:dyDescent="0.3">
      <c r="A1597" s="19"/>
      <c r="B1597" s="19"/>
      <c r="C1597" s="29" t="s">
        <v>89</v>
      </c>
      <c r="D1597" s="37"/>
      <c r="E1597" s="19">
        <v>103</v>
      </c>
      <c r="F1597" s="22">
        <v>567</v>
      </c>
      <c r="G1597" s="23">
        <v>550</v>
      </c>
      <c r="H1597" s="24">
        <f t="shared" ref="H1597:H1598" si="926">F1597*G1597</f>
        <v>311850</v>
      </c>
      <c r="I1597" s="23">
        <v>0</v>
      </c>
      <c r="J1597" s="23">
        <f t="shared" ref="J1597:J1598" si="927">SUM(H1597:I1597)</f>
        <v>311850</v>
      </c>
      <c r="K1597" s="32"/>
      <c r="L1597" s="33"/>
      <c r="M1597" s="34"/>
      <c r="N1597" s="38">
        <f t="shared" si="907"/>
        <v>199932339</v>
      </c>
    </row>
    <row r="1598" spans="1:14" s="18" customFormat="1" ht="24" customHeight="1" x14ac:dyDescent="0.3">
      <c r="A1598" s="19"/>
      <c r="B1598" s="19"/>
      <c r="C1598" s="36" t="s">
        <v>289</v>
      </c>
      <c r="D1598" s="21"/>
      <c r="E1598" s="19">
        <v>23</v>
      </c>
      <c r="F1598" s="22">
        <v>276</v>
      </c>
      <c r="G1598" s="23">
        <v>4510</v>
      </c>
      <c r="H1598" s="24">
        <f t="shared" si="926"/>
        <v>1244760</v>
      </c>
      <c r="I1598" s="23">
        <v>0</v>
      </c>
      <c r="J1598" s="23">
        <f t="shared" si="927"/>
        <v>1244760</v>
      </c>
      <c r="K1598" s="32"/>
      <c r="L1598" s="33"/>
      <c r="M1598" s="34"/>
      <c r="N1598" s="38">
        <f t="shared" si="907"/>
        <v>201177099</v>
      </c>
    </row>
    <row r="1599" spans="1:14" s="18" customFormat="1" ht="24" customHeight="1" x14ac:dyDescent="0.3">
      <c r="A1599" s="19"/>
      <c r="B1599" s="19"/>
      <c r="C1599" s="36"/>
      <c r="D1599" s="21"/>
      <c r="E1599" s="19"/>
      <c r="F1599" s="22"/>
      <c r="G1599" s="23"/>
      <c r="H1599" s="24"/>
      <c r="I1599" s="23"/>
      <c r="J1599" s="23"/>
      <c r="K1599" s="32"/>
      <c r="L1599" s="33"/>
      <c r="M1599" s="34"/>
      <c r="N1599" s="38">
        <f t="shared" si="907"/>
        <v>201177099</v>
      </c>
    </row>
    <row r="1600" spans="1:14" s="2" customFormat="1" ht="27" customHeight="1" thickBot="1" x14ac:dyDescent="0.35">
      <c r="A1600" s="1"/>
      <c r="B1600" s="1"/>
      <c r="C1600" s="1"/>
      <c r="E1600" s="86" t="s">
        <v>0</v>
      </c>
      <c r="F1600" s="86"/>
      <c r="G1600" s="86"/>
      <c r="H1600" s="86"/>
      <c r="I1600" s="86"/>
      <c r="J1600" s="86"/>
      <c r="K1600" s="1"/>
      <c r="L1600" s="3"/>
      <c r="M1600" s="3"/>
      <c r="N1600" s="1"/>
    </row>
    <row r="1601" spans="1:14" s="2" customFormat="1" ht="24" customHeight="1" thickTop="1" x14ac:dyDescent="0.3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3"/>
      <c r="M1601" s="3"/>
      <c r="N1601" s="1"/>
    </row>
    <row r="1602" spans="1:14" s="2" customFormat="1" ht="24" customHeight="1" thickBot="1" x14ac:dyDescent="0.35">
      <c r="A1602" s="2" t="s">
        <v>1</v>
      </c>
      <c r="C1602" s="4"/>
      <c r="D1602" s="4"/>
      <c r="E1602" s="5"/>
      <c r="F1602" s="6"/>
      <c r="G1602" s="7"/>
      <c r="H1602" s="7"/>
      <c r="I1602" s="7"/>
      <c r="J1602" s="8"/>
      <c r="K1602" s="9"/>
      <c r="L1602" s="10"/>
      <c r="M1602" s="11"/>
      <c r="N1602" s="12" t="s">
        <v>2</v>
      </c>
    </row>
    <row r="1603" spans="1:14" s="18" customFormat="1" ht="24" customHeight="1" thickTop="1" thickBot="1" x14ac:dyDescent="0.35">
      <c r="A1603" s="13" t="s">
        <v>3</v>
      </c>
      <c r="B1603" s="13" t="s">
        <v>4</v>
      </c>
      <c r="C1603" s="87" t="s">
        <v>5</v>
      </c>
      <c r="D1603" s="88"/>
      <c r="E1603" s="13" t="s">
        <v>6</v>
      </c>
      <c r="F1603" s="14" t="s">
        <v>7</v>
      </c>
      <c r="G1603" s="15" t="s">
        <v>8</v>
      </c>
      <c r="H1603" s="15" t="s">
        <v>9</v>
      </c>
      <c r="I1603" s="15" t="s">
        <v>10</v>
      </c>
      <c r="J1603" s="15" t="s">
        <v>11</v>
      </c>
      <c r="K1603" s="16" t="s">
        <v>12</v>
      </c>
      <c r="L1603" s="89" t="s">
        <v>13</v>
      </c>
      <c r="M1603" s="90"/>
      <c r="N1603" s="17" t="s">
        <v>14</v>
      </c>
    </row>
    <row r="1604" spans="1:14" s="18" customFormat="1" ht="24" customHeight="1" thickTop="1" x14ac:dyDescent="0.3">
      <c r="A1604" s="41"/>
      <c r="B1604" s="41"/>
      <c r="C1604" s="73" t="s">
        <v>41</v>
      </c>
      <c r="D1604" s="40"/>
      <c r="E1604" s="41"/>
      <c r="F1604" s="42"/>
      <c r="G1604" s="43"/>
      <c r="H1604" s="44"/>
      <c r="I1604" s="43"/>
      <c r="J1604" s="43"/>
      <c r="K1604" s="25"/>
      <c r="L1604" s="26"/>
      <c r="M1604" s="27"/>
      <c r="N1604" s="28">
        <f>N1599</f>
        <v>201177099</v>
      </c>
    </row>
    <row r="1605" spans="1:14" s="18" customFormat="1" ht="24" customHeight="1" x14ac:dyDescent="0.3">
      <c r="A1605" s="19">
        <v>8</v>
      </c>
      <c r="B1605" s="19">
        <v>19</v>
      </c>
      <c r="C1605" s="29" t="s">
        <v>514</v>
      </c>
      <c r="D1605" s="37"/>
      <c r="E1605" s="19"/>
      <c r="F1605" s="22"/>
      <c r="G1605" s="23"/>
      <c r="H1605" s="24"/>
      <c r="I1605" s="23"/>
      <c r="J1605" s="23"/>
      <c r="K1605" s="32"/>
      <c r="L1605" s="33"/>
      <c r="M1605" s="34"/>
      <c r="N1605" s="35">
        <f>N1604+J1605+K1605</f>
        <v>201177099</v>
      </c>
    </row>
    <row r="1606" spans="1:14" s="18" customFormat="1" ht="24" customHeight="1" x14ac:dyDescent="0.3">
      <c r="A1606" s="19"/>
      <c r="B1606" s="19"/>
      <c r="C1606" s="29" t="s">
        <v>535</v>
      </c>
      <c r="D1606" s="21"/>
      <c r="E1606" s="19"/>
      <c r="F1606" s="22"/>
      <c r="G1606" s="23"/>
      <c r="H1606" s="24">
        <v>400000</v>
      </c>
      <c r="I1606" s="23">
        <f>H1606*0.1</f>
        <v>40000</v>
      </c>
      <c r="J1606" s="23">
        <f>SUM(H1606:I1606)</f>
        <v>440000</v>
      </c>
      <c r="K1606" s="32"/>
      <c r="L1606" s="33"/>
      <c r="M1606" s="34"/>
      <c r="N1606" s="35">
        <f>N1605+J1606+K1606</f>
        <v>201617099</v>
      </c>
    </row>
    <row r="1607" spans="1:14" s="18" customFormat="1" ht="24" customHeight="1" x14ac:dyDescent="0.3">
      <c r="A1607" s="19"/>
      <c r="B1607" s="19">
        <v>19</v>
      </c>
      <c r="C1607" s="29" t="s">
        <v>307</v>
      </c>
      <c r="D1607" s="37"/>
      <c r="E1607" s="19"/>
      <c r="F1607" s="22"/>
      <c r="G1607" s="23"/>
      <c r="H1607" s="24">
        <f>280000/2</f>
        <v>140000</v>
      </c>
      <c r="I1607" s="23">
        <f>H1607*0.1</f>
        <v>14000</v>
      </c>
      <c r="J1607" s="23">
        <f>SUM(H1607:I1607)</f>
        <v>154000</v>
      </c>
      <c r="K1607" s="32"/>
      <c r="L1607" s="33"/>
      <c r="M1607" s="34"/>
      <c r="N1607" s="35">
        <f t="shared" ref="N1607:N1638" si="928">N1606+J1607+K1607</f>
        <v>201771099</v>
      </c>
    </row>
    <row r="1608" spans="1:14" s="18" customFormat="1" ht="24" customHeight="1" x14ac:dyDescent="0.3">
      <c r="A1608" s="19"/>
      <c r="B1608" s="19"/>
      <c r="C1608" s="39" t="s">
        <v>81</v>
      </c>
      <c r="D1608" s="37"/>
      <c r="E1608" s="19"/>
      <c r="F1608" s="22"/>
      <c r="G1608" s="23"/>
      <c r="H1608" s="24">
        <f>150000/2</f>
        <v>75000</v>
      </c>
      <c r="I1608" s="23">
        <f>H1608*0.1</f>
        <v>7500</v>
      </c>
      <c r="J1608" s="23">
        <f>SUM(H1608:I1608)</f>
        <v>82500</v>
      </c>
      <c r="K1608" s="32"/>
      <c r="L1608" s="33"/>
      <c r="M1608" s="34"/>
      <c r="N1608" s="35">
        <f t="shared" si="928"/>
        <v>201853599</v>
      </c>
    </row>
    <row r="1609" spans="1:14" s="18" customFormat="1" ht="24" customHeight="1" x14ac:dyDescent="0.3">
      <c r="A1609" s="19"/>
      <c r="B1609" s="19">
        <v>19</v>
      </c>
      <c r="C1609" s="39" t="s">
        <v>536</v>
      </c>
      <c r="D1609" s="21"/>
      <c r="E1609" s="19"/>
      <c r="F1609" s="22"/>
      <c r="G1609" s="23"/>
      <c r="H1609" s="24"/>
      <c r="I1609" s="23"/>
      <c r="J1609" s="23"/>
      <c r="K1609" s="32"/>
      <c r="L1609" s="33"/>
      <c r="M1609" s="34"/>
      <c r="N1609" s="35">
        <f t="shared" si="928"/>
        <v>201853599</v>
      </c>
    </row>
    <row r="1610" spans="1:14" s="18" customFormat="1" ht="24" customHeight="1" x14ac:dyDescent="0.3">
      <c r="A1610" s="19"/>
      <c r="B1610" s="19"/>
      <c r="C1610" s="29" t="s">
        <v>537</v>
      </c>
      <c r="D1610" s="37"/>
      <c r="E1610" s="19"/>
      <c r="F1610" s="22"/>
      <c r="G1610" s="23"/>
      <c r="H1610" s="24">
        <v>280000</v>
      </c>
      <c r="I1610" s="23">
        <f>H1610*0.1</f>
        <v>28000</v>
      </c>
      <c r="J1610" s="23">
        <f>SUM(H1610:I1610)</f>
        <v>308000</v>
      </c>
      <c r="K1610" s="32"/>
      <c r="L1610" s="33"/>
      <c r="M1610" s="34"/>
      <c r="N1610" s="35">
        <f t="shared" si="928"/>
        <v>202161599</v>
      </c>
    </row>
    <row r="1611" spans="1:14" s="18" customFormat="1" ht="24" customHeight="1" x14ac:dyDescent="0.3">
      <c r="A1611" s="19"/>
      <c r="B1611" s="19">
        <v>19</v>
      </c>
      <c r="C1611" s="39" t="s">
        <v>538</v>
      </c>
      <c r="D1611" s="21"/>
      <c r="E1611" s="19"/>
      <c r="F1611" s="22"/>
      <c r="G1611" s="23"/>
      <c r="H1611" s="24"/>
      <c r="I1611" s="23"/>
      <c r="J1611" s="23"/>
      <c r="K1611" s="32"/>
      <c r="L1611" s="33"/>
      <c r="M1611" s="34"/>
      <c r="N1611" s="35">
        <f t="shared" si="928"/>
        <v>202161599</v>
      </c>
    </row>
    <row r="1612" spans="1:14" s="18" customFormat="1" ht="24" customHeight="1" x14ac:dyDescent="0.3">
      <c r="A1612" s="19"/>
      <c r="B1612" s="19"/>
      <c r="C1612" s="39" t="s">
        <v>45</v>
      </c>
      <c r="D1612" s="37"/>
      <c r="E1612" s="19"/>
      <c r="F1612" s="22"/>
      <c r="G1612" s="23"/>
      <c r="H1612" s="24">
        <v>200000</v>
      </c>
      <c r="I1612" s="23">
        <f>H1612*0.1</f>
        <v>20000</v>
      </c>
      <c r="J1612" s="23">
        <f>SUM(H1612:I1612)</f>
        <v>220000</v>
      </c>
      <c r="K1612" s="32"/>
      <c r="L1612" s="33"/>
      <c r="M1612" s="34"/>
      <c r="N1612" s="35">
        <f t="shared" si="928"/>
        <v>202381599</v>
      </c>
    </row>
    <row r="1613" spans="1:14" s="18" customFormat="1" ht="24" customHeight="1" x14ac:dyDescent="0.3">
      <c r="A1613" s="19"/>
      <c r="B1613" s="19">
        <v>20</v>
      </c>
      <c r="C1613" s="69" t="s">
        <v>539</v>
      </c>
      <c r="D1613" s="21"/>
      <c r="E1613" s="19"/>
      <c r="F1613" s="22"/>
      <c r="G1613" s="23"/>
      <c r="H1613" s="24"/>
      <c r="I1613" s="23"/>
      <c r="J1613" s="23"/>
      <c r="K1613" s="32"/>
      <c r="L1613" s="33"/>
      <c r="M1613" s="34"/>
      <c r="N1613" s="35">
        <f t="shared" si="928"/>
        <v>202381599</v>
      </c>
    </row>
    <row r="1614" spans="1:14" s="18" customFormat="1" ht="24" customHeight="1" x14ac:dyDescent="0.3">
      <c r="A1614" s="19"/>
      <c r="B1614" s="19"/>
      <c r="C1614" s="39" t="s">
        <v>540</v>
      </c>
      <c r="D1614" s="37"/>
      <c r="E1614" s="19"/>
      <c r="F1614" s="22"/>
      <c r="G1614" s="23"/>
      <c r="H1614" s="24">
        <v>400000</v>
      </c>
      <c r="I1614" s="23">
        <f>H1614*0.1</f>
        <v>40000</v>
      </c>
      <c r="J1614" s="23">
        <f>SUM(H1614:I1614)</f>
        <v>440000</v>
      </c>
      <c r="K1614" s="32"/>
      <c r="L1614" s="33"/>
      <c r="M1614" s="34"/>
      <c r="N1614" s="35">
        <f t="shared" si="928"/>
        <v>202821599</v>
      </c>
    </row>
    <row r="1615" spans="1:14" s="18" customFormat="1" ht="24" customHeight="1" x14ac:dyDescent="0.3">
      <c r="A1615" s="19"/>
      <c r="B1615" s="19">
        <v>20</v>
      </c>
      <c r="C1615" s="29" t="s">
        <v>418</v>
      </c>
      <c r="D1615" s="21"/>
      <c r="E1615" s="19"/>
      <c r="F1615" s="22"/>
      <c r="G1615" s="23"/>
      <c r="H1615" s="24"/>
      <c r="I1615" s="23"/>
      <c r="J1615" s="23"/>
      <c r="K1615" s="32"/>
      <c r="L1615" s="33"/>
      <c r="M1615" s="34"/>
      <c r="N1615" s="35">
        <f t="shared" si="928"/>
        <v>202821599</v>
      </c>
    </row>
    <row r="1616" spans="1:14" s="18" customFormat="1" ht="24" customHeight="1" x14ac:dyDescent="0.3">
      <c r="A1616" s="19"/>
      <c r="B1616" s="19"/>
      <c r="C1616" s="39" t="s">
        <v>541</v>
      </c>
      <c r="D1616" s="37"/>
      <c r="E1616" s="19">
        <v>36</v>
      </c>
      <c r="F1616" s="22">
        <v>537.29999999999995</v>
      </c>
      <c r="G1616" s="23">
        <f>500+500+750</f>
        <v>1750</v>
      </c>
      <c r="H1616" s="24">
        <f t="shared" ref="H1616" si="929">F1616*G1616</f>
        <v>940274.99999999988</v>
      </c>
      <c r="I1616" s="23">
        <v>0</v>
      </c>
      <c r="J1616" s="23">
        <f t="shared" ref="J1616" si="930">SUM(H1616:I1616)</f>
        <v>940274.99999999988</v>
      </c>
      <c r="K1616" s="32"/>
      <c r="L1616" s="33"/>
      <c r="M1616" s="34"/>
      <c r="N1616" s="35">
        <f t="shared" si="928"/>
        <v>203761874</v>
      </c>
    </row>
    <row r="1617" spans="1:14" s="18" customFormat="1" ht="24" customHeight="1" x14ac:dyDescent="0.3">
      <c r="A1617" s="19"/>
      <c r="B1617" s="19">
        <v>20</v>
      </c>
      <c r="C1617" s="29" t="s">
        <v>383</v>
      </c>
      <c r="D1617" s="37"/>
      <c r="E1617" s="19"/>
      <c r="F1617" s="22"/>
      <c r="G1617" s="23"/>
      <c r="H1617" s="24"/>
      <c r="I1617" s="23"/>
      <c r="J1617" s="23"/>
      <c r="K1617" s="32"/>
      <c r="L1617" s="33"/>
      <c r="M1617" s="34"/>
      <c r="N1617" s="35">
        <f t="shared" si="928"/>
        <v>203761874</v>
      </c>
    </row>
    <row r="1618" spans="1:14" s="18" customFormat="1" ht="24" customHeight="1" x14ac:dyDescent="0.3">
      <c r="A1618" s="19"/>
      <c r="B1618" s="19"/>
      <c r="C1618" s="36" t="s">
        <v>21</v>
      </c>
      <c r="D1618" s="82"/>
      <c r="E1618" s="19">
        <v>2</v>
      </c>
      <c r="F1618" s="22">
        <v>41.5</v>
      </c>
      <c r="G1618" s="23">
        <f>2000+500+950+200+300</f>
        <v>3950</v>
      </c>
      <c r="H1618" s="24">
        <f t="shared" ref="H1618" si="931">F1618*G1618</f>
        <v>163925</v>
      </c>
      <c r="I1618" s="23">
        <v>0</v>
      </c>
      <c r="J1618" s="23">
        <f t="shared" ref="J1618" si="932">SUM(H1618:I1618)</f>
        <v>163925</v>
      </c>
      <c r="K1618" s="32"/>
      <c r="L1618" s="33"/>
      <c r="M1618" s="34"/>
      <c r="N1618" s="35">
        <f t="shared" si="928"/>
        <v>203925799</v>
      </c>
    </row>
    <row r="1619" spans="1:14" s="18" customFormat="1" ht="24" customHeight="1" x14ac:dyDescent="0.3">
      <c r="A1619" s="19"/>
      <c r="B1619" s="19">
        <v>20</v>
      </c>
      <c r="C1619" s="29" t="s">
        <v>542</v>
      </c>
      <c r="D1619" s="82"/>
      <c r="E1619" s="19"/>
      <c r="F1619" s="22"/>
      <c r="G1619" s="23"/>
      <c r="H1619" s="24"/>
      <c r="I1619" s="23"/>
      <c r="J1619" s="23"/>
      <c r="K1619" s="32"/>
      <c r="L1619" s="33"/>
      <c r="M1619" s="34"/>
      <c r="N1619" s="35">
        <f t="shared" si="928"/>
        <v>203925799</v>
      </c>
    </row>
    <row r="1620" spans="1:14" s="18" customFormat="1" ht="24" customHeight="1" x14ac:dyDescent="0.3">
      <c r="A1620" s="19"/>
      <c r="B1620" s="19"/>
      <c r="C1620" s="36" t="s">
        <v>353</v>
      </c>
      <c r="D1620" s="21"/>
      <c r="E1620" s="19">
        <v>55</v>
      </c>
      <c r="F1620" s="22">
        <v>754</v>
      </c>
      <c r="G1620" s="23">
        <f>2000+2000+500+950+950+200+200+300+300</f>
        <v>7400</v>
      </c>
      <c r="H1620" s="24">
        <f t="shared" ref="H1620:H1621" si="933">F1620*G1620</f>
        <v>5579600</v>
      </c>
      <c r="I1620" s="23">
        <v>0</v>
      </c>
      <c r="J1620" s="23">
        <f t="shared" ref="J1620:J1621" si="934">SUM(H1620:I1620)</f>
        <v>5579600</v>
      </c>
      <c r="K1620" s="32"/>
      <c r="L1620" s="33"/>
      <c r="M1620" s="34"/>
      <c r="N1620" s="35">
        <f t="shared" si="928"/>
        <v>209505399</v>
      </c>
    </row>
    <row r="1621" spans="1:14" s="18" customFormat="1" ht="24" customHeight="1" x14ac:dyDescent="0.3">
      <c r="A1621" s="19"/>
      <c r="B1621" s="19"/>
      <c r="C1621" s="36" t="s">
        <v>23</v>
      </c>
      <c r="D1621" s="37"/>
      <c r="E1621" s="19">
        <v>24</v>
      </c>
      <c r="F1621" s="22">
        <v>136.80000000000001</v>
      </c>
      <c r="G1621" s="23">
        <f>2000+500+950+200+300</f>
        <v>3950</v>
      </c>
      <c r="H1621" s="24">
        <f t="shared" si="933"/>
        <v>540360</v>
      </c>
      <c r="I1621" s="23">
        <v>0</v>
      </c>
      <c r="J1621" s="23">
        <f t="shared" si="934"/>
        <v>540360</v>
      </c>
      <c r="K1621" s="32"/>
      <c r="L1621" s="33"/>
      <c r="M1621" s="34"/>
      <c r="N1621" s="35">
        <f t="shared" si="928"/>
        <v>210045759</v>
      </c>
    </row>
    <row r="1622" spans="1:14" s="18" customFormat="1" ht="24" customHeight="1" x14ac:dyDescent="0.3">
      <c r="A1622" s="19"/>
      <c r="B1622" s="19">
        <v>20</v>
      </c>
      <c r="C1622" s="29" t="s">
        <v>543</v>
      </c>
      <c r="D1622" s="21"/>
      <c r="E1622" s="19"/>
      <c r="F1622" s="22"/>
      <c r="G1622" s="23"/>
      <c r="H1622" s="24"/>
      <c r="I1622" s="23"/>
      <c r="J1622" s="23"/>
      <c r="K1622" s="32"/>
      <c r="L1622" s="33"/>
      <c r="M1622" s="34"/>
      <c r="N1622" s="35">
        <f t="shared" si="928"/>
        <v>210045759</v>
      </c>
    </row>
    <row r="1623" spans="1:14" s="18" customFormat="1" ht="24" customHeight="1" x14ac:dyDescent="0.3">
      <c r="A1623" s="19"/>
      <c r="B1623" s="19"/>
      <c r="C1623" s="39" t="s">
        <v>45</v>
      </c>
      <c r="D1623" s="21"/>
      <c r="E1623" s="19"/>
      <c r="F1623" s="22"/>
      <c r="G1623" s="23"/>
      <c r="H1623" s="24">
        <v>140000</v>
      </c>
      <c r="I1623" s="23">
        <f>H1623*0.1</f>
        <v>14000</v>
      </c>
      <c r="J1623" s="23">
        <f>SUM(H1623:I1623)</f>
        <v>154000</v>
      </c>
      <c r="K1623" s="32"/>
      <c r="L1623" s="33"/>
      <c r="M1623" s="34"/>
      <c r="N1623" s="35">
        <f t="shared" si="928"/>
        <v>210199759</v>
      </c>
    </row>
    <row r="1624" spans="1:14" s="18" customFormat="1" ht="24" customHeight="1" x14ac:dyDescent="0.3">
      <c r="A1624" s="19"/>
      <c r="B1624" s="19">
        <v>21</v>
      </c>
      <c r="C1624" s="39" t="s">
        <v>270</v>
      </c>
      <c r="D1624" s="21"/>
      <c r="E1624" s="19"/>
      <c r="F1624" s="22"/>
      <c r="G1624" s="23"/>
      <c r="H1624" s="24"/>
      <c r="I1624" s="23"/>
      <c r="J1624" s="23"/>
      <c r="K1624" s="32"/>
      <c r="L1624" s="33"/>
      <c r="M1624" s="34"/>
      <c r="N1624" s="35">
        <f t="shared" si="928"/>
        <v>210199759</v>
      </c>
    </row>
    <row r="1625" spans="1:14" s="18" customFormat="1" ht="24" customHeight="1" x14ac:dyDescent="0.3">
      <c r="A1625" s="19"/>
      <c r="B1625" s="19"/>
      <c r="C1625" s="36" t="s">
        <v>86</v>
      </c>
      <c r="D1625" s="21"/>
      <c r="E1625" s="19">
        <v>54</v>
      </c>
      <c r="F1625" s="22">
        <v>230.4</v>
      </c>
      <c r="G1625" s="23">
        <f>500+1000+950+200</f>
        <v>2650</v>
      </c>
      <c r="H1625" s="24">
        <f t="shared" ref="H1625" si="935">F1625*G1625</f>
        <v>610560</v>
      </c>
      <c r="I1625" s="23">
        <v>0</v>
      </c>
      <c r="J1625" s="23">
        <f t="shared" ref="J1625" si="936">SUM(H1625:I1625)</f>
        <v>610560</v>
      </c>
      <c r="K1625" s="32"/>
      <c r="L1625" s="33"/>
      <c r="M1625" s="34"/>
      <c r="N1625" s="35">
        <f t="shared" si="928"/>
        <v>210810319</v>
      </c>
    </row>
    <row r="1626" spans="1:14" s="18" customFormat="1" ht="24" customHeight="1" x14ac:dyDescent="0.3">
      <c r="A1626" s="19"/>
      <c r="B1626" s="19">
        <v>22</v>
      </c>
      <c r="C1626" s="29" t="s">
        <v>508</v>
      </c>
      <c r="D1626" s="21"/>
      <c r="E1626" s="19"/>
      <c r="F1626" s="22"/>
      <c r="G1626" s="23"/>
      <c r="H1626" s="24"/>
      <c r="I1626" s="23"/>
      <c r="J1626" s="23"/>
      <c r="K1626" s="32"/>
      <c r="L1626" s="33"/>
      <c r="M1626" s="34"/>
      <c r="N1626" s="35">
        <f t="shared" si="928"/>
        <v>210810319</v>
      </c>
    </row>
    <row r="1627" spans="1:14" s="18" customFormat="1" ht="24" customHeight="1" x14ac:dyDescent="0.3">
      <c r="A1627" s="19"/>
      <c r="B1627" s="19"/>
      <c r="C1627" s="36" t="s">
        <v>23</v>
      </c>
      <c r="D1627" s="21"/>
      <c r="E1627" s="19">
        <v>13</v>
      </c>
      <c r="F1627" s="22">
        <v>106.5</v>
      </c>
      <c r="G1627" s="23">
        <f>2000+500+950+200+300</f>
        <v>3950</v>
      </c>
      <c r="H1627" s="24">
        <f t="shared" ref="H1627" si="937">F1627*G1627</f>
        <v>420675</v>
      </c>
      <c r="I1627" s="23">
        <v>0</v>
      </c>
      <c r="J1627" s="23">
        <f t="shared" ref="J1627" si="938">SUM(H1627:I1627)</f>
        <v>420675</v>
      </c>
      <c r="K1627" s="32"/>
      <c r="L1627" s="33"/>
      <c r="M1627" s="34"/>
      <c r="N1627" s="35">
        <f t="shared" si="928"/>
        <v>211230994</v>
      </c>
    </row>
    <row r="1628" spans="1:14" s="18" customFormat="1" ht="24" customHeight="1" x14ac:dyDescent="0.3">
      <c r="A1628" s="19"/>
      <c r="B1628" s="19">
        <v>22</v>
      </c>
      <c r="C1628" s="39" t="s">
        <v>544</v>
      </c>
      <c r="D1628" s="21"/>
      <c r="E1628" s="19"/>
      <c r="F1628" s="22"/>
      <c r="G1628" s="23"/>
      <c r="H1628" s="24"/>
      <c r="I1628" s="23"/>
      <c r="J1628" s="23"/>
      <c r="K1628" s="32"/>
      <c r="L1628" s="33"/>
      <c r="M1628" s="34"/>
      <c r="N1628" s="35">
        <f t="shared" si="928"/>
        <v>211230994</v>
      </c>
    </row>
    <row r="1629" spans="1:14" s="18" customFormat="1" ht="24" customHeight="1" x14ac:dyDescent="0.3">
      <c r="A1629" s="19"/>
      <c r="B1629" s="19"/>
      <c r="C1629" s="29" t="s">
        <v>107</v>
      </c>
      <c r="D1629" s="37"/>
      <c r="E1629" s="19">
        <v>5</v>
      </c>
      <c r="F1629" s="22">
        <v>16.600000000000001</v>
      </c>
      <c r="G1629" s="23">
        <f>500+500+750</f>
        <v>1750</v>
      </c>
      <c r="H1629" s="24">
        <f t="shared" ref="H1629:H1630" si="939">F1629*G1629</f>
        <v>29050.000000000004</v>
      </c>
      <c r="I1629" s="23">
        <v>0</v>
      </c>
      <c r="J1629" s="23">
        <f t="shared" ref="J1629:J1630" si="940">SUM(H1629:I1629)</f>
        <v>29050.000000000004</v>
      </c>
      <c r="K1629" s="32"/>
      <c r="L1629" s="33"/>
      <c r="M1629" s="34"/>
      <c r="N1629" s="35">
        <f t="shared" si="928"/>
        <v>211260044</v>
      </c>
    </row>
    <row r="1630" spans="1:14" s="18" customFormat="1" ht="24" customHeight="1" x14ac:dyDescent="0.3">
      <c r="A1630" s="19"/>
      <c r="B1630" s="19"/>
      <c r="C1630" s="39" t="s">
        <v>504</v>
      </c>
      <c r="D1630" s="21"/>
      <c r="E1630" s="19">
        <v>4</v>
      </c>
      <c r="F1630" s="22">
        <v>13.3</v>
      </c>
      <c r="G1630" s="23">
        <f>500+1100+750</f>
        <v>2350</v>
      </c>
      <c r="H1630" s="24">
        <f t="shared" si="939"/>
        <v>31255</v>
      </c>
      <c r="I1630" s="23">
        <v>0</v>
      </c>
      <c r="J1630" s="23">
        <f t="shared" si="940"/>
        <v>31255</v>
      </c>
      <c r="K1630" s="32"/>
      <c r="L1630" s="33"/>
      <c r="M1630" s="34"/>
      <c r="N1630" s="35">
        <f t="shared" si="928"/>
        <v>211291299</v>
      </c>
    </row>
    <row r="1631" spans="1:14" s="18" customFormat="1" ht="24" customHeight="1" x14ac:dyDescent="0.3">
      <c r="A1631" s="19"/>
      <c r="B1631" s="19">
        <v>22</v>
      </c>
      <c r="C1631" s="39" t="s">
        <v>530</v>
      </c>
      <c r="D1631" s="37"/>
      <c r="E1631" s="19"/>
      <c r="F1631" s="22"/>
      <c r="G1631" s="23"/>
      <c r="H1631" s="24"/>
      <c r="I1631" s="23"/>
      <c r="J1631" s="23"/>
      <c r="K1631" s="32"/>
      <c r="L1631" s="33"/>
      <c r="M1631" s="34"/>
      <c r="N1631" s="35">
        <f t="shared" si="928"/>
        <v>211291299</v>
      </c>
    </row>
    <row r="1632" spans="1:14" s="18" customFormat="1" ht="24" customHeight="1" x14ac:dyDescent="0.3">
      <c r="A1632" s="19"/>
      <c r="B1632" s="19"/>
      <c r="C1632" s="29" t="s">
        <v>545</v>
      </c>
      <c r="D1632" s="21"/>
      <c r="E1632" s="19">
        <v>12</v>
      </c>
      <c r="F1632" s="22">
        <v>245.6</v>
      </c>
      <c r="G1632" s="23">
        <f>1950+500</f>
        <v>2450</v>
      </c>
      <c r="H1632" s="24">
        <f t="shared" ref="H1632" si="941">F1632*G1632</f>
        <v>601720</v>
      </c>
      <c r="I1632" s="23">
        <v>0</v>
      </c>
      <c r="J1632" s="23">
        <f t="shared" ref="J1632" si="942">SUM(H1632:I1632)</f>
        <v>601720</v>
      </c>
      <c r="K1632" s="32"/>
      <c r="L1632" s="33"/>
      <c r="M1632" s="34"/>
      <c r="N1632" s="35">
        <f t="shared" si="928"/>
        <v>211893019</v>
      </c>
    </row>
    <row r="1633" spans="1:14" s="18" customFormat="1" ht="24" customHeight="1" x14ac:dyDescent="0.3">
      <c r="A1633" s="19"/>
      <c r="B1633" s="19">
        <v>22</v>
      </c>
      <c r="C1633" s="39" t="s">
        <v>546</v>
      </c>
      <c r="D1633" s="21"/>
      <c r="E1633" s="19"/>
      <c r="F1633" s="22"/>
      <c r="G1633" s="23"/>
      <c r="H1633" s="24"/>
      <c r="I1633" s="23"/>
      <c r="J1633" s="23"/>
      <c r="K1633" s="32"/>
      <c r="L1633" s="33"/>
      <c r="M1633" s="34"/>
      <c r="N1633" s="35">
        <f t="shared" si="928"/>
        <v>211893019</v>
      </c>
    </row>
    <row r="1634" spans="1:14" s="18" customFormat="1" ht="24" customHeight="1" x14ac:dyDescent="0.3">
      <c r="A1634" s="19"/>
      <c r="B1634" s="19"/>
      <c r="C1634" s="29" t="s">
        <v>547</v>
      </c>
      <c r="D1634" s="21"/>
      <c r="E1634" s="19"/>
      <c r="F1634" s="22"/>
      <c r="G1634" s="23"/>
      <c r="H1634" s="24">
        <v>200000</v>
      </c>
      <c r="I1634" s="23">
        <f>H1634*0.1</f>
        <v>20000</v>
      </c>
      <c r="J1634" s="23">
        <f>SUM(H1634:I1634)</f>
        <v>220000</v>
      </c>
      <c r="K1634" s="32"/>
      <c r="L1634" s="33"/>
      <c r="M1634" s="34"/>
      <c r="N1634" s="35">
        <f t="shared" si="928"/>
        <v>212113019</v>
      </c>
    </row>
    <row r="1635" spans="1:14" s="18" customFormat="1" ht="24" customHeight="1" x14ac:dyDescent="0.3">
      <c r="A1635" s="19"/>
      <c r="B1635" s="19">
        <v>23</v>
      </c>
      <c r="C1635" s="39" t="s">
        <v>548</v>
      </c>
      <c r="D1635" s="21"/>
      <c r="E1635" s="19"/>
      <c r="F1635" s="22"/>
      <c r="G1635" s="23"/>
      <c r="H1635" s="24"/>
      <c r="I1635" s="23"/>
      <c r="J1635" s="23"/>
      <c r="K1635" s="32"/>
      <c r="L1635" s="33"/>
      <c r="M1635" s="34"/>
      <c r="N1635" s="35">
        <f t="shared" si="928"/>
        <v>212113019</v>
      </c>
    </row>
    <row r="1636" spans="1:14" s="18" customFormat="1" ht="24" customHeight="1" x14ac:dyDescent="0.3">
      <c r="A1636" s="19"/>
      <c r="B1636" s="19"/>
      <c r="C1636" s="29" t="s">
        <v>45</v>
      </c>
      <c r="D1636" s="37"/>
      <c r="E1636" s="19"/>
      <c r="F1636" s="22"/>
      <c r="G1636" s="23"/>
      <c r="H1636" s="24">
        <v>130000</v>
      </c>
      <c r="I1636" s="23">
        <f>H1636*0.1</f>
        <v>13000</v>
      </c>
      <c r="J1636" s="23">
        <f>SUM(H1636:I1636)</f>
        <v>143000</v>
      </c>
      <c r="K1636" s="32"/>
      <c r="L1636" s="33"/>
      <c r="M1636" s="34"/>
      <c r="N1636" s="38">
        <f t="shared" si="928"/>
        <v>212256019</v>
      </c>
    </row>
    <row r="1637" spans="1:14" s="18" customFormat="1" ht="24" customHeight="1" x14ac:dyDescent="0.3">
      <c r="A1637" s="19"/>
      <c r="B1637" s="19">
        <v>25</v>
      </c>
      <c r="C1637" s="29" t="s">
        <v>418</v>
      </c>
      <c r="D1637" s="37"/>
      <c r="E1637" s="19"/>
      <c r="F1637" s="22"/>
      <c r="G1637" s="23"/>
      <c r="H1637" s="24"/>
      <c r="I1637" s="23"/>
      <c r="J1637" s="23"/>
      <c r="K1637" s="32"/>
      <c r="L1637" s="33"/>
      <c r="M1637" s="34"/>
      <c r="N1637" s="38">
        <f t="shared" si="928"/>
        <v>212256019</v>
      </c>
    </row>
    <row r="1638" spans="1:14" s="18" customFormat="1" ht="24" customHeight="1" x14ac:dyDescent="0.3">
      <c r="A1638" s="19"/>
      <c r="B1638" s="19"/>
      <c r="C1638" s="39" t="s">
        <v>541</v>
      </c>
      <c r="D1638" s="21"/>
      <c r="E1638" s="19">
        <v>7</v>
      </c>
      <c r="F1638" s="22">
        <v>159.1</v>
      </c>
      <c r="G1638" s="23">
        <f>500+500+750</f>
        <v>1750</v>
      </c>
      <c r="H1638" s="24">
        <f t="shared" ref="H1638" si="943">F1638*G1638</f>
        <v>278425</v>
      </c>
      <c r="I1638" s="23">
        <v>0</v>
      </c>
      <c r="J1638" s="23">
        <f t="shared" ref="J1638" si="944">SUM(H1638:I1638)</f>
        <v>278425</v>
      </c>
      <c r="K1638" s="32"/>
      <c r="L1638" s="33"/>
      <c r="M1638" s="34"/>
      <c r="N1638" s="38">
        <f t="shared" si="928"/>
        <v>212534444</v>
      </c>
    </row>
    <row r="1639" spans="1:14" s="2" customFormat="1" ht="27" customHeight="1" thickBot="1" x14ac:dyDescent="0.35">
      <c r="A1639" s="1"/>
      <c r="B1639" s="1"/>
      <c r="C1639" s="1"/>
      <c r="E1639" s="86" t="s">
        <v>0</v>
      </c>
      <c r="F1639" s="86"/>
      <c r="G1639" s="86"/>
      <c r="H1639" s="86"/>
      <c r="I1639" s="86"/>
      <c r="J1639" s="86"/>
      <c r="K1639" s="1"/>
      <c r="L1639" s="3"/>
      <c r="M1639" s="3"/>
      <c r="N1639" s="1"/>
    </row>
    <row r="1640" spans="1:14" s="2" customFormat="1" ht="24" customHeight="1" thickTop="1" x14ac:dyDescent="0.3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3"/>
      <c r="M1640" s="3"/>
      <c r="N1640" s="1"/>
    </row>
    <row r="1641" spans="1:14" s="2" customFormat="1" ht="24" customHeight="1" thickBot="1" x14ac:dyDescent="0.35">
      <c r="A1641" s="2" t="s">
        <v>1</v>
      </c>
      <c r="C1641" s="4"/>
      <c r="D1641" s="4"/>
      <c r="E1641" s="5"/>
      <c r="F1641" s="6"/>
      <c r="G1641" s="7"/>
      <c r="H1641" s="7"/>
      <c r="I1641" s="7"/>
      <c r="J1641" s="8"/>
      <c r="K1641" s="9"/>
      <c r="L1641" s="10"/>
      <c r="M1641" s="11"/>
      <c r="N1641" s="12" t="s">
        <v>2</v>
      </c>
    </row>
    <row r="1642" spans="1:14" s="18" customFormat="1" ht="24" customHeight="1" thickTop="1" thickBot="1" x14ac:dyDescent="0.35">
      <c r="A1642" s="13" t="s">
        <v>3</v>
      </c>
      <c r="B1642" s="13" t="s">
        <v>4</v>
      </c>
      <c r="C1642" s="87" t="s">
        <v>5</v>
      </c>
      <c r="D1642" s="88"/>
      <c r="E1642" s="13" t="s">
        <v>6</v>
      </c>
      <c r="F1642" s="14" t="s">
        <v>7</v>
      </c>
      <c r="G1642" s="15" t="s">
        <v>8</v>
      </c>
      <c r="H1642" s="15" t="s">
        <v>9</v>
      </c>
      <c r="I1642" s="15" t="s">
        <v>10</v>
      </c>
      <c r="J1642" s="15" t="s">
        <v>11</v>
      </c>
      <c r="K1642" s="16" t="s">
        <v>12</v>
      </c>
      <c r="L1642" s="89" t="s">
        <v>13</v>
      </c>
      <c r="M1642" s="90"/>
      <c r="N1642" s="17" t="s">
        <v>14</v>
      </c>
    </row>
    <row r="1643" spans="1:14" s="18" customFormat="1" ht="24" customHeight="1" thickTop="1" x14ac:dyDescent="0.3">
      <c r="A1643" s="41"/>
      <c r="B1643" s="41"/>
      <c r="C1643" s="73" t="s">
        <v>41</v>
      </c>
      <c r="D1643" s="40"/>
      <c r="E1643" s="41"/>
      <c r="F1643" s="42"/>
      <c r="G1643" s="43"/>
      <c r="H1643" s="44"/>
      <c r="I1643" s="43"/>
      <c r="J1643" s="43"/>
      <c r="K1643" s="25"/>
      <c r="L1643" s="26"/>
      <c r="M1643" s="27"/>
      <c r="N1643" s="28">
        <f>N1638</f>
        <v>212534444</v>
      </c>
    </row>
    <row r="1644" spans="1:14" s="18" customFormat="1" ht="24" customHeight="1" x14ac:dyDescent="0.3">
      <c r="A1644" s="19">
        <v>8</v>
      </c>
      <c r="B1644" s="19">
        <v>25</v>
      </c>
      <c r="C1644" s="29" t="s">
        <v>239</v>
      </c>
      <c r="D1644" s="37"/>
      <c r="E1644" s="19"/>
      <c r="F1644" s="22"/>
      <c r="G1644" s="23"/>
      <c r="H1644" s="24"/>
      <c r="I1644" s="23"/>
      <c r="J1644" s="23"/>
      <c r="K1644" s="32"/>
      <c r="L1644" s="33"/>
      <c r="M1644" s="34"/>
      <c r="N1644" s="35">
        <f>N1643+J1644+K1644</f>
        <v>212534444</v>
      </c>
    </row>
    <row r="1645" spans="1:14" s="18" customFormat="1" ht="24" customHeight="1" x14ac:dyDescent="0.3">
      <c r="A1645" s="19"/>
      <c r="B1645" s="19"/>
      <c r="C1645" s="36" t="s">
        <v>21</v>
      </c>
      <c r="D1645" s="21"/>
      <c r="E1645" s="19">
        <v>1</v>
      </c>
      <c r="F1645" s="22">
        <v>31.6</v>
      </c>
      <c r="G1645" s="23">
        <f>2000+500+950+200+300</f>
        <v>3950</v>
      </c>
      <c r="H1645" s="24">
        <f t="shared" ref="H1645" si="945">F1645*G1645</f>
        <v>124820</v>
      </c>
      <c r="I1645" s="23">
        <v>0</v>
      </c>
      <c r="J1645" s="23">
        <f t="shared" ref="J1645" si="946">SUM(H1645:I1645)</f>
        <v>124820</v>
      </c>
      <c r="K1645" s="32"/>
      <c r="L1645" s="33"/>
      <c r="M1645" s="34"/>
      <c r="N1645" s="35">
        <f>N1644+J1645+K1645</f>
        <v>212659264</v>
      </c>
    </row>
    <row r="1646" spans="1:14" s="18" customFormat="1" ht="24" customHeight="1" x14ac:dyDescent="0.3">
      <c r="A1646" s="19"/>
      <c r="B1646" s="19">
        <v>25</v>
      </c>
      <c r="C1646" s="29" t="s">
        <v>549</v>
      </c>
      <c r="D1646" s="37"/>
      <c r="E1646" s="19"/>
      <c r="F1646" s="22"/>
      <c r="G1646" s="23"/>
      <c r="H1646" s="24"/>
      <c r="I1646" s="23"/>
      <c r="J1646" s="23"/>
      <c r="K1646" s="32"/>
      <c r="L1646" s="33"/>
      <c r="M1646" s="34"/>
      <c r="N1646" s="35">
        <f t="shared" ref="N1646:N1677" si="947">N1645+J1646+K1646</f>
        <v>212659264</v>
      </c>
    </row>
    <row r="1647" spans="1:14" s="18" customFormat="1" ht="24" customHeight="1" x14ac:dyDescent="0.3">
      <c r="A1647" s="19"/>
      <c r="B1647" s="19"/>
      <c r="C1647" s="36" t="s">
        <v>96</v>
      </c>
      <c r="D1647" s="37"/>
      <c r="E1647" s="19">
        <v>73</v>
      </c>
      <c r="F1647" s="22">
        <v>724.7</v>
      </c>
      <c r="G1647" s="23">
        <f>2000+500+950+200+250</f>
        <v>3900</v>
      </c>
      <c r="H1647" s="24">
        <f t="shared" ref="H1647:H1648" si="948">F1647*G1647</f>
        <v>2826330</v>
      </c>
      <c r="I1647" s="23">
        <v>0</v>
      </c>
      <c r="J1647" s="23">
        <f t="shared" ref="J1647:J1648" si="949">SUM(H1647:I1647)</f>
        <v>2826330</v>
      </c>
      <c r="K1647" s="32"/>
      <c r="L1647" s="33"/>
      <c r="M1647" s="34"/>
      <c r="N1647" s="35">
        <f t="shared" si="947"/>
        <v>215485594</v>
      </c>
    </row>
    <row r="1648" spans="1:14" s="18" customFormat="1" ht="24" customHeight="1" x14ac:dyDescent="0.3">
      <c r="A1648" s="19"/>
      <c r="B1648" s="19"/>
      <c r="C1648" s="39" t="s">
        <v>75</v>
      </c>
      <c r="D1648" s="21"/>
      <c r="E1648" s="19">
        <v>14</v>
      </c>
      <c r="F1648" s="22">
        <v>185.2</v>
      </c>
      <c r="G1648" s="23">
        <v>2500</v>
      </c>
      <c r="H1648" s="24">
        <f t="shared" si="948"/>
        <v>463000</v>
      </c>
      <c r="I1648" s="23">
        <v>0</v>
      </c>
      <c r="J1648" s="23">
        <f t="shared" si="949"/>
        <v>463000</v>
      </c>
      <c r="K1648" s="32"/>
      <c r="L1648" s="33"/>
      <c r="M1648" s="34"/>
      <c r="N1648" s="35">
        <f t="shared" si="947"/>
        <v>215948594</v>
      </c>
    </row>
    <row r="1649" spans="1:14" s="18" customFormat="1" ht="24" customHeight="1" x14ac:dyDescent="0.3">
      <c r="A1649" s="19"/>
      <c r="B1649" s="19">
        <v>25</v>
      </c>
      <c r="C1649" s="29" t="s">
        <v>456</v>
      </c>
      <c r="D1649" s="37"/>
      <c r="E1649" s="19"/>
      <c r="F1649" s="22"/>
      <c r="G1649" s="23"/>
      <c r="H1649" s="24"/>
      <c r="I1649" s="23"/>
      <c r="J1649" s="23"/>
      <c r="K1649" s="32"/>
      <c r="L1649" s="33"/>
      <c r="M1649" s="34"/>
      <c r="N1649" s="35">
        <f t="shared" si="947"/>
        <v>215948594</v>
      </c>
    </row>
    <row r="1650" spans="1:14" s="18" customFormat="1" ht="24" customHeight="1" x14ac:dyDescent="0.3">
      <c r="A1650" s="19"/>
      <c r="B1650" s="19"/>
      <c r="C1650" s="36" t="s">
        <v>21</v>
      </c>
      <c r="D1650" s="21"/>
      <c r="E1650" s="19">
        <v>12</v>
      </c>
      <c r="F1650" s="22">
        <v>236.1</v>
      </c>
      <c r="G1650" s="23">
        <f>2000+500+950+200+300</f>
        <v>3950</v>
      </c>
      <c r="H1650" s="24">
        <f t="shared" ref="H1650:H1651" si="950">F1650*G1650</f>
        <v>932595</v>
      </c>
      <c r="I1650" s="23">
        <v>0</v>
      </c>
      <c r="J1650" s="23">
        <f t="shared" ref="J1650:J1651" si="951">SUM(H1650:I1650)</f>
        <v>932595</v>
      </c>
      <c r="K1650" s="32"/>
      <c r="L1650" s="33"/>
      <c r="M1650" s="34"/>
      <c r="N1650" s="35">
        <f t="shared" si="947"/>
        <v>216881189</v>
      </c>
    </row>
    <row r="1651" spans="1:14" s="18" customFormat="1" ht="24" customHeight="1" x14ac:dyDescent="0.3">
      <c r="A1651" s="19"/>
      <c r="B1651" s="19"/>
      <c r="C1651" s="39" t="s">
        <v>100</v>
      </c>
      <c r="D1651" s="37"/>
      <c r="E1651" s="19">
        <v>48</v>
      </c>
      <c r="F1651" s="22">
        <v>762.7</v>
      </c>
      <c r="G1651" s="23">
        <v>1100</v>
      </c>
      <c r="H1651" s="24">
        <f t="shared" si="950"/>
        <v>838970</v>
      </c>
      <c r="I1651" s="23">
        <v>0</v>
      </c>
      <c r="J1651" s="23">
        <f t="shared" si="951"/>
        <v>838970</v>
      </c>
      <c r="K1651" s="32"/>
      <c r="L1651" s="33"/>
      <c r="M1651" s="34"/>
      <c r="N1651" s="35">
        <f t="shared" si="947"/>
        <v>217720159</v>
      </c>
    </row>
    <row r="1652" spans="1:14" s="18" customFormat="1" ht="24" customHeight="1" x14ac:dyDescent="0.3">
      <c r="A1652" s="19"/>
      <c r="B1652" s="19">
        <v>25</v>
      </c>
      <c r="C1652" s="69" t="s">
        <v>550</v>
      </c>
      <c r="D1652" s="21"/>
      <c r="E1652" s="19"/>
      <c r="F1652" s="22"/>
      <c r="G1652" s="23"/>
      <c r="H1652" s="24"/>
      <c r="I1652" s="23"/>
      <c r="J1652" s="23"/>
      <c r="K1652" s="32"/>
      <c r="L1652" s="33"/>
      <c r="M1652" s="34"/>
      <c r="N1652" s="35">
        <f t="shared" si="947"/>
        <v>217720159</v>
      </c>
    </row>
    <row r="1653" spans="1:14" s="18" customFormat="1" ht="24" customHeight="1" x14ac:dyDescent="0.3">
      <c r="A1653" s="19"/>
      <c r="B1653" s="19"/>
      <c r="C1653" s="29" t="s">
        <v>551</v>
      </c>
      <c r="D1653" s="37"/>
      <c r="E1653" s="19">
        <v>31</v>
      </c>
      <c r="F1653" s="22">
        <v>322.89999999999998</v>
      </c>
      <c r="G1653" s="23">
        <f>900+500+950</f>
        <v>2350</v>
      </c>
      <c r="H1653" s="24">
        <f t="shared" ref="H1653:H1654" si="952">F1653*G1653</f>
        <v>758815</v>
      </c>
      <c r="I1653" s="23">
        <v>0</v>
      </c>
      <c r="J1653" s="23">
        <f t="shared" ref="J1653:J1654" si="953">SUM(H1653:I1653)</f>
        <v>758815</v>
      </c>
      <c r="K1653" s="32"/>
      <c r="L1653" s="33"/>
      <c r="M1653" s="34"/>
      <c r="N1653" s="35">
        <f t="shared" si="947"/>
        <v>218478974</v>
      </c>
    </row>
    <row r="1654" spans="1:14" s="18" customFormat="1" ht="24" customHeight="1" x14ac:dyDescent="0.3">
      <c r="A1654" s="19"/>
      <c r="B1654" s="19"/>
      <c r="C1654" s="29" t="s">
        <v>552</v>
      </c>
      <c r="D1654" s="21"/>
      <c r="E1654" s="19">
        <v>13</v>
      </c>
      <c r="F1654" s="22">
        <v>157.6</v>
      </c>
      <c r="G1654" s="23">
        <v>2700</v>
      </c>
      <c r="H1654" s="24">
        <f t="shared" si="952"/>
        <v>425520</v>
      </c>
      <c r="I1654" s="23">
        <v>0</v>
      </c>
      <c r="J1654" s="23">
        <f t="shared" si="953"/>
        <v>425520</v>
      </c>
      <c r="K1654" s="32"/>
      <c r="L1654" s="33"/>
      <c r="M1654" s="34"/>
      <c r="N1654" s="35">
        <f t="shared" si="947"/>
        <v>218904494</v>
      </c>
    </row>
    <row r="1655" spans="1:14" s="18" customFormat="1" ht="24" customHeight="1" x14ac:dyDescent="0.3">
      <c r="A1655" s="19"/>
      <c r="B1655" s="19">
        <v>26</v>
      </c>
      <c r="C1655" s="29" t="s">
        <v>553</v>
      </c>
      <c r="D1655" s="37"/>
      <c r="E1655" s="19"/>
      <c r="F1655" s="22"/>
      <c r="G1655" s="23"/>
      <c r="H1655" s="24"/>
      <c r="I1655" s="23"/>
      <c r="J1655" s="23"/>
      <c r="K1655" s="32"/>
      <c r="L1655" s="33"/>
      <c r="M1655" s="34"/>
      <c r="N1655" s="35">
        <f t="shared" si="947"/>
        <v>218904494</v>
      </c>
    </row>
    <row r="1656" spans="1:14" s="18" customFormat="1" ht="24" customHeight="1" x14ac:dyDescent="0.3">
      <c r="A1656" s="19"/>
      <c r="B1656" s="19"/>
      <c r="C1656" s="29" t="s">
        <v>554</v>
      </c>
      <c r="D1656" s="37"/>
      <c r="E1656" s="19">
        <v>1108</v>
      </c>
      <c r="F1656" s="22">
        <v>4948.3999999999996</v>
      </c>
      <c r="G1656" s="23">
        <f>500+1000+900+150</f>
        <v>2550</v>
      </c>
      <c r="H1656" s="24">
        <f t="shared" ref="H1656" si="954">F1656*G1656</f>
        <v>12618420</v>
      </c>
      <c r="I1656" s="23">
        <v>0</v>
      </c>
      <c r="J1656" s="23">
        <f t="shared" ref="J1656" si="955">SUM(H1656:I1656)</f>
        <v>12618420</v>
      </c>
      <c r="K1656" s="32"/>
      <c r="L1656" s="33"/>
      <c r="M1656" s="34"/>
      <c r="N1656" s="35">
        <f t="shared" si="947"/>
        <v>231522914</v>
      </c>
    </row>
    <row r="1657" spans="1:14" s="18" customFormat="1" ht="24" customHeight="1" x14ac:dyDescent="0.3">
      <c r="A1657" s="19"/>
      <c r="B1657" s="19">
        <v>26</v>
      </c>
      <c r="C1657" s="29" t="s">
        <v>555</v>
      </c>
      <c r="D1657" s="82"/>
      <c r="E1657" s="19"/>
      <c r="F1657" s="22"/>
      <c r="G1657" s="23"/>
      <c r="H1657" s="24"/>
      <c r="I1657" s="23"/>
      <c r="J1657" s="23"/>
      <c r="K1657" s="32"/>
      <c r="L1657" s="33"/>
      <c r="M1657" s="34"/>
      <c r="N1657" s="35">
        <f t="shared" si="947"/>
        <v>231522914</v>
      </c>
    </row>
    <row r="1658" spans="1:14" s="18" customFormat="1" ht="24" customHeight="1" x14ac:dyDescent="0.3">
      <c r="A1658" s="19"/>
      <c r="B1658" s="19"/>
      <c r="C1658" s="36" t="s">
        <v>21</v>
      </c>
      <c r="D1658" s="82"/>
      <c r="E1658" s="19">
        <v>484</v>
      </c>
      <c r="F1658" s="22">
        <v>3991.6</v>
      </c>
      <c r="G1658" s="23">
        <f>2000+500+950+200+300</f>
        <v>3950</v>
      </c>
      <c r="H1658" s="24">
        <f t="shared" ref="H1658" si="956">F1658*G1658</f>
        <v>15766820</v>
      </c>
      <c r="I1658" s="23">
        <v>0</v>
      </c>
      <c r="J1658" s="23">
        <f t="shared" ref="J1658" si="957">SUM(H1658:I1658)</f>
        <v>15766820</v>
      </c>
      <c r="K1658" s="32"/>
      <c r="L1658" s="33"/>
      <c r="M1658" s="34"/>
      <c r="N1658" s="35">
        <f t="shared" si="947"/>
        <v>247289734</v>
      </c>
    </row>
    <row r="1659" spans="1:14" s="18" customFormat="1" ht="24" customHeight="1" x14ac:dyDescent="0.3">
      <c r="A1659" s="19"/>
      <c r="B1659" s="19">
        <v>26</v>
      </c>
      <c r="C1659" s="39" t="s">
        <v>288</v>
      </c>
      <c r="D1659" s="21"/>
      <c r="E1659" s="19"/>
      <c r="F1659" s="22"/>
      <c r="G1659" s="23"/>
      <c r="H1659" s="24"/>
      <c r="I1659" s="23"/>
      <c r="J1659" s="23"/>
      <c r="K1659" s="32"/>
      <c r="L1659" s="33"/>
      <c r="M1659" s="34"/>
      <c r="N1659" s="35">
        <f t="shared" si="947"/>
        <v>247289734</v>
      </c>
    </row>
    <row r="1660" spans="1:14" s="18" customFormat="1" ht="24" customHeight="1" x14ac:dyDescent="0.3">
      <c r="A1660" s="19"/>
      <c r="B1660" s="19"/>
      <c r="C1660" s="36" t="s">
        <v>21</v>
      </c>
      <c r="D1660" s="37"/>
      <c r="E1660" s="19">
        <v>5</v>
      </c>
      <c r="F1660" s="22">
        <v>36</v>
      </c>
      <c r="G1660" s="23">
        <f>2000+500+950+200+300</f>
        <v>3950</v>
      </c>
      <c r="H1660" s="24">
        <f t="shared" ref="H1660:H1662" si="958">F1660*G1660</f>
        <v>142200</v>
      </c>
      <c r="I1660" s="23">
        <v>0</v>
      </c>
      <c r="J1660" s="23">
        <f t="shared" ref="J1660:J1662" si="959">SUM(H1660:I1660)</f>
        <v>142200</v>
      </c>
      <c r="K1660" s="32"/>
      <c r="L1660" s="33"/>
      <c r="M1660" s="34"/>
      <c r="N1660" s="35">
        <f t="shared" si="947"/>
        <v>247431934</v>
      </c>
    </row>
    <row r="1661" spans="1:14" s="18" customFormat="1" ht="24" customHeight="1" x14ac:dyDescent="0.3">
      <c r="A1661" s="19"/>
      <c r="B1661" s="19"/>
      <c r="C1661" s="29" t="s">
        <v>89</v>
      </c>
      <c r="D1661" s="21"/>
      <c r="E1661" s="19">
        <v>24</v>
      </c>
      <c r="F1661" s="22">
        <v>162.9</v>
      </c>
      <c r="G1661" s="23">
        <v>550</v>
      </c>
      <c r="H1661" s="24">
        <f t="shared" si="958"/>
        <v>89595</v>
      </c>
      <c r="I1661" s="23">
        <v>0</v>
      </c>
      <c r="J1661" s="23">
        <f t="shared" si="959"/>
        <v>89595</v>
      </c>
      <c r="K1661" s="32"/>
      <c r="L1661" s="33"/>
      <c r="M1661" s="34"/>
      <c r="N1661" s="35">
        <f t="shared" si="947"/>
        <v>247521529</v>
      </c>
    </row>
    <row r="1662" spans="1:14" s="18" customFormat="1" ht="24" customHeight="1" x14ac:dyDescent="0.3">
      <c r="A1662" s="19"/>
      <c r="B1662" s="19"/>
      <c r="C1662" s="39" t="s">
        <v>46</v>
      </c>
      <c r="D1662" s="21"/>
      <c r="E1662" s="19">
        <v>5</v>
      </c>
      <c r="F1662" s="22">
        <v>58.5</v>
      </c>
      <c r="G1662" s="23">
        <v>1950</v>
      </c>
      <c r="H1662" s="24">
        <f t="shared" si="958"/>
        <v>114075</v>
      </c>
      <c r="I1662" s="23">
        <v>0</v>
      </c>
      <c r="J1662" s="23">
        <f t="shared" si="959"/>
        <v>114075</v>
      </c>
      <c r="K1662" s="32"/>
      <c r="L1662" s="33"/>
      <c r="M1662" s="34"/>
      <c r="N1662" s="35">
        <f t="shared" si="947"/>
        <v>247635604</v>
      </c>
    </row>
    <row r="1663" spans="1:14" s="18" customFormat="1" ht="24" customHeight="1" x14ac:dyDescent="0.3">
      <c r="A1663" s="19"/>
      <c r="B1663" s="19">
        <v>26</v>
      </c>
      <c r="C1663" s="39" t="s">
        <v>556</v>
      </c>
      <c r="D1663" s="21"/>
      <c r="E1663" s="19"/>
      <c r="F1663" s="22"/>
      <c r="G1663" s="23"/>
      <c r="H1663" s="24"/>
      <c r="I1663" s="23"/>
      <c r="J1663" s="23"/>
      <c r="K1663" s="32"/>
      <c r="L1663" s="33"/>
      <c r="M1663" s="34"/>
      <c r="N1663" s="35">
        <f t="shared" si="947"/>
        <v>247635604</v>
      </c>
    </row>
    <row r="1664" spans="1:14" s="18" customFormat="1" ht="24" customHeight="1" x14ac:dyDescent="0.3">
      <c r="A1664" s="19"/>
      <c r="B1664" s="19"/>
      <c r="C1664" s="29" t="s">
        <v>179</v>
      </c>
      <c r="D1664" s="21"/>
      <c r="E1664" s="19"/>
      <c r="F1664" s="22"/>
      <c r="G1664" s="23"/>
      <c r="H1664" s="24">
        <v>230000</v>
      </c>
      <c r="I1664" s="23">
        <f>H1664*0.1</f>
        <v>23000</v>
      </c>
      <c r="J1664" s="23">
        <f>SUM(H1664:I1664)</f>
        <v>253000</v>
      </c>
      <c r="K1664" s="32"/>
      <c r="L1664" s="33"/>
      <c r="M1664" s="34"/>
      <c r="N1664" s="35">
        <f t="shared" si="947"/>
        <v>247888604</v>
      </c>
    </row>
    <row r="1665" spans="1:14" s="18" customFormat="1" ht="24" customHeight="1" x14ac:dyDescent="0.3">
      <c r="A1665" s="19"/>
      <c r="B1665" s="19">
        <v>26</v>
      </c>
      <c r="C1665" s="29" t="s">
        <v>557</v>
      </c>
      <c r="D1665" s="21"/>
      <c r="E1665" s="19"/>
      <c r="F1665" s="22"/>
      <c r="G1665" s="23"/>
      <c r="H1665" s="24"/>
      <c r="I1665" s="23"/>
      <c r="J1665" s="23"/>
      <c r="K1665" s="32"/>
      <c r="L1665" s="33"/>
      <c r="M1665" s="34"/>
      <c r="N1665" s="35">
        <f t="shared" si="947"/>
        <v>247888604</v>
      </c>
    </row>
    <row r="1666" spans="1:14" s="18" customFormat="1" ht="24" customHeight="1" x14ac:dyDescent="0.3">
      <c r="A1666" s="19"/>
      <c r="B1666" s="19"/>
      <c r="C1666" s="39" t="s">
        <v>179</v>
      </c>
      <c r="D1666" s="21"/>
      <c r="E1666" s="19"/>
      <c r="F1666" s="22"/>
      <c r="G1666" s="23"/>
      <c r="H1666" s="24">
        <v>230000</v>
      </c>
      <c r="I1666" s="23">
        <f>H1666*0.1</f>
        <v>23000</v>
      </c>
      <c r="J1666" s="23">
        <f>SUM(H1666:I1666)</f>
        <v>253000</v>
      </c>
      <c r="K1666" s="32"/>
      <c r="L1666" s="33"/>
      <c r="M1666" s="34"/>
      <c r="N1666" s="48">
        <f t="shared" si="947"/>
        <v>248141604</v>
      </c>
    </row>
    <row r="1667" spans="1:14" s="18" customFormat="1" ht="24" customHeight="1" x14ac:dyDescent="0.3">
      <c r="A1667" s="19"/>
      <c r="B1667" s="19"/>
      <c r="C1667" s="39"/>
      <c r="D1667" s="21"/>
      <c r="E1667" s="19"/>
      <c r="F1667" s="22"/>
      <c r="G1667" s="23"/>
      <c r="H1667" s="24"/>
      <c r="I1667" s="23"/>
      <c r="J1667" s="23"/>
      <c r="K1667" s="32"/>
      <c r="L1667" s="33"/>
      <c r="M1667" s="34"/>
      <c r="N1667" s="35">
        <f t="shared" si="947"/>
        <v>248141604</v>
      </c>
    </row>
    <row r="1668" spans="1:14" s="18" customFormat="1" ht="24" customHeight="1" x14ac:dyDescent="0.3">
      <c r="A1668" s="19"/>
      <c r="B1668" s="19"/>
      <c r="C1668" s="29"/>
      <c r="D1668" s="37"/>
      <c r="E1668" s="19"/>
      <c r="F1668" s="22"/>
      <c r="G1668" s="23"/>
      <c r="H1668" s="24"/>
      <c r="I1668" s="23"/>
      <c r="J1668" s="23"/>
      <c r="K1668" s="32"/>
      <c r="L1668" s="33"/>
      <c r="M1668" s="34"/>
      <c r="N1668" s="35">
        <f t="shared" si="947"/>
        <v>248141604</v>
      </c>
    </row>
    <row r="1669" spans="1:14" s="18" customFormat="1" ht="24" customHeight="1" x14ac:dyDescent="0.3">
      <c r="A1669" s="19"/>
      <c r="B1669" s="19"/>
      <c r="C1669" s="29"/>
      <c r="D1669" s="21"/>
      <c r="E1669" s="19"/>
      <c r="F1669" s="22"/>
      <c r="G1669" s="23"/>
      <c r="H1669" s="24"/>
      <c r="I1669" s="23"/>
      <c r="J1669" s="23"/>
      <c r="K1669" s="32"/>
      <c r="L1669" s="33"/>
      <c r="M1669" s="34"/>
      <c r="N1669" s="35">
        <f t="shared" si="947"/>
        <v>248141604</v>
      </c>
    </row>
    <row r="1670" spans="1:14" s="18" customFormat="1" ht="24" customHeight="1" x14ac:dyDescent="0.3">
      <c r="A1670" s="19"/>
      <c r="B1670" s="19"/>
      <c r="C1670" s="39"/>
      <c r="D1670" s="37"/>
      <c r="E1670" s="19"/>
      <c r="F1670" s="22"/>
      <c r="G1670" s="23"/>
      <c r="H1670" s="24"/>
      <c r="I1670" s="23"/>
      <c r="J1670" s="23"/>
      <c r="K1670" s="32"/>
      <c r="L1670" s="33"/>
      <c r="M1670" s="34"/>
      <c r="N1670" s="35">
        <f t="shared" si="947"/>
        <v>248141604</v>
      </c>
    </row>
    <row r="1671" spans="1:14" s="18" customFormat="1" ht="24" customHeight="1" x14ac:dyDescent="0.3">
      <c r="A1671" s="19"/>
      <c r="B1671" s="19"/>
      <c r="C1671" s="29"/>
      <c r="D1671" s="21"/>
      <c r="E1671" s="19"/>
      <c r="F1671" s="22"/>
      <c r="G1671" s="23"/>
      <c r="H1671" s="24"/>
      <c r="I1671" s="23"/>
      <c r="J1671" s="23"/>
      <c r="K1671" s="32"/>
      <c r="L1671" s="33"/>
      <c r="M1671" s="34"/>
      <c r="N1671" s="35">
        <f t="shared" si="947"/>
        <v>248141604</v>
      </c>
    </row>
    <row r="1672" spans="1:14" s="18" customFormat="1" ht="24" customHeight="1" x14ac:dyDescent="0.3">
      <c r="A1672" s="19"/>
      <c r="B1672" s="19"/>
      <c r="C1672" s="29"/>
      <c r="D1672" s="21"/>
      <c r="E1672" s="19"/>
      <c r="F1672" s="22"/>
      <c r="G1672" s="23"/>
      <c r="H1672" s="24"/>
      <c r="I1672" s="23"/>
      <c r="J1672" s="23"/>
      <c r="K1672" s="32"/>
      <c r="L1672" s="33"/>
      <c r="M1672" s="34"/>
      <c r="N1672" s="35">
        <f t="shared" si="947"/>
        <v>248141604</v>
      </c>
    </row>
    <row r="1673" spans="1:14" s="18" customFormat="1" ht="24" customHeight="1" x14ac:dyDescent="0.3">
      <c r="A1673" s="19"/>
      <c r="B1673" s="19"/>
      <c r="C1673" s="29"/>
      <c r="D1673" s="21"/>
      <c r="E1673" s="19"/>
      <c r="F1673" s="22"/>
      <c r="G1673" s="23"/>
      <c r="H1673" s="24"/>
      <c r="I1673" s="23"/>
      <c r="J1673" s="23"/>
      <c r="K1673" s="32"/>
      <c r="L1673" s="33"/>
      <c r="M1673" s="34"/>
      <c r="N1673" s="35">
        <f t="shared" si="947"/>
        <v>248141604</v>
      </c>
    </row>
    <row r="1674" spans="1:14" s="18" customFormat="1" ht="24" customHeight="1" x14ac:dyDescent="0.3">
      <c r="A1674" s="19"/>
      <c r="B1674" s="19"/>
      <c r="C1674" s="39"/>
      <c r="D1674" s="21"/>
      <c r="E1674" s="19"/>
      <c r="F1674" s="22"/>
      <c r="G1674" s="23"/>
      <c r="H1674" s="24"/>
      <c r="I1674" s="23"/>
      <c r="J1674" s="23"/>
      <c r="K1674" s="32"/>
      <c r="L1674" s="33"/>
      <c r="M1674" s="34"/>
      <c r="N1674" s="35">
        <f t="shared" si="947"/>
        <v>248141604</v>
      </c>
    </row>
    <row r="1675" spans="1:14" s="18" customFormat="1" ht="24" customHeight="1" x14ac:dyDescent="0.3">
      <c r="A1675" s="19"/>
      <c r="B1675" s="19"/>
      <c r="C1675" s="29"/>
      <c r="D1675" s="37"/>
      <c r="E1675" s="19"/>
      <c r="F1675" s="22"/>
      <c r="G1675" s="23"/>
      <c r="H1675" s="24"/>
      <c r="I1675" s="23"/>
      <c r="J1675" s="23"/>
      <c r="K1675" s="32"/>
      <c r="L1675" s="33"/>
      <c r="M1675" s="34"/>
      <c r="N1675" s="38">
        <f t="shared" si="947"/>
        <v>248141604</v>
      </c>
    </row>
    <row r="1676" spans="1:14" s="18" customFormat="1" ht="24" customHeight="1" x14ac:dyDescent="0.3">
      <c r="A1676" s="19"/>
      <c r="B1676" s="19"/>
      <c r="C1676" s="29"/>
      <c r="D1676" s="37"/>
      <c r="E1676" s="19"/>
      <c r="F1676" s="22"/>
      <c r="G1676" s="23"/>
      <c r="H1676" s="24"/>
      <c r="I1676" s="23"/>
      <c r="J1676" s="23"/>
      <c r="K1676" s="32"/>
      <c r="L1676" s="33"/>
      <c r="M1676" s="34"/>
      <c r="N1676" s="38">
        <f t="shared" si="947"/>
        <v>248141604</v>
      </c>
    </row>
    <row r="1677" spans="1:14" s="18" customFormat="1" ht="24" customHeight="1" x14ac:dyDescent="0.3">
      <c r="A1677" s="19"/>
      <c r="B1677" s="19"/>
      <c r="C1677" s="36"/>
      <c r="D1677" s="21"/>
      <c r="E1677" s="19"/>
      <c r="F1677" s="22"/>
      <c r="G1677" s="23"/>
      <c r="H1677" s="24"/>
      <c r="I1677" s="23"/>
      <c r="J1677" s="23"/>
      <c r="K1677" s="32"/>
      <c r="L1677" s="33"/>
      <c r="M1677" s="34"/>
      <c r="N1677" s="38">
        <f t="shared" si="947"/>
        <v>248141604</v>
      </c>
    </row>
    <row r="2094" spans="8:9" x14ac:dyDescent="0.3">
      <c r="H2094" s="83"/>
      <c r="I2094" s="83"/>
    </row>
    <row r="2125" spans="1:10" x14ac:dyDescent="0.3">
      <c r="A2125" s="84" t="s">
        <v>558</v>
      </c>
    </row>
    <row r="2128" spans="1:10" x14ac:dyDescent="0.3">
      <c r="J2128" s="84">
        <f>2200+2200+1200+1070+1070+250+250+330+330</f>
        <v>8900</v>
      </c>
    </row>
    <row r="2129" spans="9:11" x14ac:dyDescent="0.3">
      <c r="J2129" s="84">
        <v>8900</v>
      </c>
      <c r="K2129" s="84">
        <f>I2129*J2129</f>
        <v>0</v>
      </c>
    </row>
    <row r="2130" spans="9:11" x14ac:dyDescent="0.3">
      <c r="J2130" s="84">
        <v>8900</v>
      </c>
      <c r="K2130" s="84">
        <f t="shared" ref="K2130:K2142" si="960">I2130*J2130</f>
        <v>0</v>
      </c>
    </row>
    <row r="2131" spans="9:11" x14ac:dyDescent="0.3">
      <c r="J2131" s="84">
        <v>8900</v>
      </c>
      <c r="K2131" s="84">
        <f t="shared" si="960"/>
        <v>0</v>
      </c>
    </row>
    <row r="2132" spans="9:11" x14ac:dyDescent="0.3">
      <c r="J2132" s="84">
        <v>8900</v>
      </c>
      <c r="K2132" s="84">
        <f t="shared" si="960"/>
        <v>0</v>
      </c>
    </row>
    <row r="2133" spans="9:11" x14ac:dyDescent="0.3">
      <c r="J2133" s="84">
        <v>8900</v>
      </c>
      <c r="K2133" s="84">
        <f t="shared" si="960"/>
        <v>0</v>
      </c>
    </row>
    <row r="2134" spans="9:11" x14ac:dyDescent="0.3">
      <c r="J2134" s="84">
        <v>8900</v>
      </c>
      <c r="K2134" s="84">
        <f t="shared" si="960"/>
        <v>0</v>
      </c>
    </row>
    <row r="2135" spans="9:11" x14ac:dyDescent="0.3">
      <c r="J2135" s="84">
        <v>8900</v>
      </c>
      <c r="K2135" s="84">
        <f t="shared" si="960"/>
        <v>0</v>
      </c>
    </row>
    <row r="2136" spans="9:11" x14ac:dyDescent="0.3">
      <c r="J2136" s="84">
        <v>8900</v>
      </c>
      <c r="K2136" s="84">
        <f t="shared" si="960"/>
        <v>0</v>
      </c>
    </row>
    <row r="2137" spans="9:11" x14ac:dyDescent="0.3">
      <c r="J2137" s="84">
        <v>8900</v>
      </c>
      <c r="K2137" s="84">
        <f t="shared" si="960"/>
        <v>0</v>
      </c>
    </row>
    <row r="2138" spans="9:11" x14ac:dyDescent="0.3">
      <c r="J2138" s="84">
        <v>8900</v>
      </c>
      <c r="K2138" s="84">
        <f t="shared" si="960"/>
        <v>0</v>
      </c>
    </row>
    <row r="2139" spans="9:11" x14ac:dyDescent="0.3">
      <c r="J2139" s="84">
        <v>8900</v>
      </c>
      <c r="K2139" s="84">
        <f t="shared" si="960"/>
        <v>0</v>
      </c>
    </row>
    <row r="2140" spans="9:11" x14ac:dyDescent="0.3">
      <c r="J2140" s="84">
        <v>8900</v>
      </c>
      <c r="K2140" s="84">
        <f t="shared" si="960"/>
        <v>0</v>
      </c>
    </row>
    <row r="2141" spans="9:11" x14ac:dyDescent="0.3">
      <c r="I2141" s="85">
        <v>15</v>
      </c>
      <c r="J2141" s="84">
        <v>8900</v>
      </c>
      <c r="K2141" s="84">
        <f t="shared" si="960"/>
        <v>133500</v>
      </c>
    </row>
    <row r="2142" spans="9:11" x14ac:dyDescent="0.3">
      <c r="J2142" s="84">
        <v>8900</v>
      </c>
      <c r="K2142" s="84">
        <f t="shared" si="960"/>
        <v>0</v>
      </c>
    </row>
  </sheetData>
  <mergeCells count="129">
    <mergeCell ref="E79:J79"/>
    <mergeCell ref="C82:D82"/>
    <mergeCell ref="L82:M82"/>
    <mergeCell ref="E118:J118"/>
    <mergeCell ref="C121:D121"/>
    <mergeCell ref="L121:M121"/>
    <mergeCell ref="E1:J1"/>
    <mergeCell ref="C4:D4"/>
    <mergeCell ref="L4:M4"/>
    <mergeCell ref="E40:J40"/>
    <mergeCell ref="C43:D43"/>
    <mergeCell ref="L43:M43"/>
    <mergeCell ref="E235:J235"/>
    <mergeCell ref="C238:D238"/>
    <mergeCell ref="L238:M238"/>
    <mergeCell ref="E274:J274"/>
    <mergeCell ref="C277:D277"/>
    <mergeCell ref="L277:M277"/>
    <mergeCell ref="E157:J157"/>
    <mergeCell ref="C160:D160"/>
    <mergeCell ref="L160:M160"/>
    <mergeCell ref="E196:J196"/>
    <mergeCell ref="C199:D199"/>
    <mergeCell ref="L199:M199"/>
    <mergeCell ref="E391:J391"/>
    <mergeCell ref="C394:D394"/>
    <mergeCell ref="L394:M394"/>
    <mergeCell ref="E430:J430"/>
    <mergeCell ref="C433:D433"/>
    <mergeCell ref="L433:M433"/>
    <mergeCell ref="E313:J313"/>
    <mergeCell ref="C316:D316"/>
    <mergeCell ref="L316:M316"/>
    <mergeCell ref="E352:J352"/>
    <mergeCell ref="C355:D355"/>
    <mergeCell ref="L355:M355"/>
    <mergeCell ref="E547:J547"/>
    <mergeCell ref="C550:D550"/>
    <mergeCell ref="L550:M550"/>
    <mergeCell ref="E586:J586"/>
    <mergeCell ref="C589:D589"/>
    <mergeCell ref="L589:M589"/>
    <mergeCell ref="E469:J469"/>
    <mergeCell ref="C472:D472"/>
    <mergeCell ref="L472:M472"/>
    <mergeCell ref="E508:J508"/>
    <mergeCell ref="C511:D511"/>
    <mergeCell ref="L511:M511"/>
    <mergeCell ref="E703:J703"/>
    <mergeCell ref="C706:D706"/>
    <mergeCell ref="L706:M706"/>
    <mergeCell ref="E742:J742"/>
    <mergeCell ref="C745:D745"/>
    <mergeCell ref="L745:M745"/>
    <mergeCell ref="E625:J625"/>
    <mergeCell ref="C628:D628"/>
    <mergeCell ref="L628:M628"/>
    <mergeCell ref="E664:J664"/>
    <mergeCell ref="C667:D667"/>
    <mergeCell ref="L667:M667"/>
    <mergeCell ref="E859:J859"/>
    <mergeCell ref="C862:D862"/>
    <mergeCell ref="L862:M862"/>
    <mergeCell ref="E898:J898"/>
    <mergeCell ref="C901:D901"/>
    <mergeCell ref="L901:M901"/>
    <mergeCell ref="E781:J781"/>
    <mergeCell ref="C784:D784"/>
    <mergeCell ref="L784:M784"/>
    <mergeCell ref="E820:J820"/>
    <mergeCell ref="C823:D823"/>
    <mergeCell ref="L823:M823"/>
    <mergeCell ref="E1015:J1015"/>
    <mergeCell ref="C1018:D1018"/>
    <mergeCell ref="L1018:M1018"/>
    <mergeCell ref="E1054:J1054"/>
    <mergeCell ref="C1057:D1057"/>
    <mergeCell ref="L1057:M1057"/>
    <mergeCell ref="E937:J937"/>
    <mergeCell ref="C940:D940"/>
    <mergeCell ref="L940:M940"/>
    <mergeCell ref="E976:J976"/>
    <mergeCell ref="C979:D979"/>
    <mergeCell ref="L979:M979"/>
    <mergeCell ref="E1171:J1171"/>
    <mergeCell ref="C1174:D1174"/>
    <mergeCell ref="L1174:M1174"/>
    <mergeCell ref="E1210:J1210"/>
    <mergeCell ref="C1213:D1213"/>
    <mergeCell ref="L1213:M1213"/>
    <mergeCell ref="E1093:J1093"/>
    <mergeCell ref="C1096:D1096"/>
    <mergeCell ref="L1096:M1096"/>
    <mergeCell ref="E1132:J1132"/>
    <mergeCell ref="C1135:D1135"/>
    <mergeCell ref="L1135:M1135"/>
    <mergeCell ref="E1327:J1327"/>
    <mergeCell ref="C1330:D1330"/>
    <mergeCell ref="L1330:M1330"/>
    <mergeCell ref="E1366:J1366"/>
    <mergeCell ref="C1369:D1369"/>
    <mergeCell ref="L1369:M1369"/>
    <mergeCell ref="E1249:J1249"/>
    <mergeCell ref="C1252:D1252"/>
    <mergeCell ref="L1252:M1252"/>
    <mergeCell ref="E1288:J1288"/>
    <mergeCell ref="C1291:D1291"/>
    <mergeCell ref="L1291:M1291"/>
    <mergeCell ref="E1483:J1483"/>
    <mergeCell ref="C1486:D1486"/>
    <mergeCell ref="L1486:M1486"/>
    <mergeCell ref="E1522:J1522"/>
    <mergeCell ref="C1525:D1525"/>
    <mergeCell ref="L1525:M1525"/>
    <mergeCell ref="E1405:J1405"/>
    <mergeCell ref="C1408:D1408"/>
    <mergeCell ref="L1408:M1408"/>
    <mergeCell ref="E1444:J1444"/>
    <mergeCell ref="C1447:D1447"/>
    <mergeCell ref="L1447:M1447"/>
    <mergeCell ref="E1639:J1639"/>
    <mergeCell ref="C1642:D1642"/>
    <mergeCell ref="L1642:M1642"/>
    <mergeCell ref="E1561:J1561"/>
    <mergeCell ref="C1564:D1564"/>
    <mergeCell ref="L1564:M1564"/>
    <mergeCell ref="E1600:J1600"/>
    <mergeCell ref="C1603:D1603"/>
    <mergeCell ref="L1603:M1603"/>
  </mergeCells>
  <phoneticPr fontId="3" type="noConversion"/>
  <pageMargins left="0.24" right="0.28000000000000003" top="0.74803149606299213" bottom="0.74803149606299213" header="0.31496062992125984" footer="0.31496062992125984"/>
  <pageSetup paperSize="9" scale="8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원장</vt:lpstr>
      <vt:lpstr>원장!Print_Area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현준 성</dc:creator>
  <cp:lastModifiedBy>현준 성</cp:lastModifiedBy>
  <dcterms:created xsi:type="dcterms:W3CDTF">2025-08-29T21:42:46Z</dcterms:created>
  <dcterms:modified xsi:type="dcterms:W3CDTF">2025-08-30T00:32:21Z</dcterms:modified>
</cp:coreProperties>
</file>