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C16234AF-F9AE-4A49-B9FC-316CAD205393}" xr6:coauthVersionLast="47" xr6:coauthVersionMax="47" xr10:uidLastSave="{00000000-0000-0000-0000-000000000000}"/>
  <bookViews>
    <workbookView xWindow="-120" yWindow="-120" windowWidth="29040" windowHeight="15720" tabRatio="893" activeTab="1" xr2:uid="{00000000-000D-0000-FFFF-FFFF00000000}"/>
  </bookViews>
  <sheets>
    <sheet name="갑지" sheetId="67" r:id="rId1"/>
    <sheet name="기성금 내역서" sheetId="65" r:id="rId2"/>
  </sheets>
  <externalReferences>
    <externalReference r:id="rId3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0">갑지!$A$1:$J$44</definedName>
    <definedName name="_xlnm.Print_Area" localSheetId="1">'기성금 내역서'!$A$1:$M$30</definedName>
    <definedName name="_xlnm.Print_Titles" localSheetId="1">'기성금 내역서'!$1:$4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서">[1]세부내역서!$C$3:$J$102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65" l="1"/>
  <c r="F26" i="65"/>
  <c r="J29" i="65"/>
  <c r="F11" i="65"/>
  <c r="A2" i="65"/>
  <c r="F17" i="65"/>
  <c r="F14" i="65"/>
  <c r="H14" i="65"/>
  <c r="L14" i="65" s="1"/>
  <c r="M14" i="65" s="1"/>
  <c r="J14" i="65"/>
  <c r="K14" i="65"/>
  <c r="F15" i="65"/>
  <c r="M15" i="65" s="1"/>
  <c r="H15" i="65"/>
  <c r="J15" i="65"/>
  <c r="K15" i="65"/>
  <c r="L15" i="65"/>
  <c r="F16" i="65"/>
  <c r="H16" i="65"/>
  <c r="L16" i="65" s="1"/>
  <c r="M16" i="65" s="1"/>
  <c r="J16" i="65"/>
  <c r="K16" i="65"/>
  <c r="H17" i="65"/>
  <c r="J17" i="65"/>
  <c r="K17" i="65"/>
  <c r="L17" i="65"/>
  <c r="M17" i="65"/>
  <c r="F18" i="65"/>
  <c r="H18" i="65"/>
  <c r="J18" i="65"/>
  <c r="K18" i="65"/>
  <c r="L18" i="65"/>
  <c r="M18" i="65" s="1"/>
  <c r="F19" i="65"/>
  <c r="H19" i="65"/>
  <c r="L19" i="65" s="1"/>
  <c r="M19" i="65" s="1"/>
  <c r="J19" i="65"/>
  <c r="K19" i="65"/>
  <c r="F20" i="65"/>
  <c r="H20" i="65"/>
  <c r="J20" i="65"/>
  <c r="K20" i="65"/>
  <c r="L20" i="65"/>
  <c r="M20" i="65"/>
  <c r="F21" i="65"/>
  <c r="H21" i="65"/>
  <c r="J21" i="65"/>
  <c r="K21" i="65"/>
  <c r="L21" i="65"/>
  <c r="M21" i="65"/>
  <c r="F22" i="65"/>
  <c r="H22" i="65"/>
  <c r="L22" i="65" s="1"/>
  <c r="M22" i="65" s="1"/>
  <c r="J22" i="65"/>
  <c r="K22" i="65"/>
  <c r="F23" i="65"/>
  <c r="H23" i="65"/>
  <c r="L23" i="65" s="1"/>
  <c r="M23" i="65" s="1"/>
  <c r="J23" i="65"/>
  <c r="K23" i="65"/>
  <c r="F24" i="65"/>
  <c r="H24" i="65"/>
  <c r="J24" i="65"/>
  <c r="K24" i="65"/>
  <c r="F25" i="65"/>
  <c r="H25" i="65"/>
  <c r="J25" i="65"/>
  <c r="K25" i="65"/>
  <c r="L25" i="65"/>
  <c r="M25" i="65" s="1"/>
  <c r="J7" i="65"/>
  <c r="J8" i="65"/>
  <c r="J9" i="65"/>
  <c r="J10" i="65"/>
  <c r="J11" i="65"/>
  <c r="J12" i="65"/>
  <c r="J13" i="65"/>
  <c r="J6" i="65"/>
  <c r="H7" i="65"/>
  <c r="H8" i="65"/>
  <c r="H9" i="65"/>
  <c r="H10" i="65"/>
  <c r="H11" i="65"/>
  <c r="H12" i="65"/>
  <c r="H13" i="65"/>
  <c r="H6" i="65"/>
  <c r="K7" i="65"/>
  <c r="K8" i="65"/>
  <c r="K9" i="65"/>
  <c r="K10" i="65"/>
  <c r="K11" i="65"/>
  <c r="K12" i="65"/>
  <c r="K13" i="65"/>
  <c r="K6" i="65"/>
  <c r="L24" i="65" l="1"/>
  <c r="M24" i="65" s="1"/>
  <c r="J27" i="65"/>
  <c r="L6" i="65"/>
  <c r="D16" i="67"/>
  <c r="F13" i="65"/>
  <c r="F12" i="65"/>
  <c r="F10" i="65"/>
  <c r="F9" i="65"/>
  <c r="F8" i="65"/>
  <c r="F7" i="65"/>
  <c r="F6" i="65"/>
  <c r="L13" i="65"/>
  <c r="L12" i="65"/>
  <c r="L11" i="65"/>
  <c r="L10" i="65"/>
  <c r="L8" i="65"/>
  <c r="L7" i="65"/>
  <c r="M7" i="65" l="1"/>
  <c r="M12" i="65"/>
  <c r="M10" i="65"/>
  <c r="M8" i="65"/>
  <c r="M11" i="65"/>
  <c r="M13" i="65"/>
  <c r="M6" i="65"/>
  <c r="L9" i="65"/>
  <c r="M9" i="65" s="1"/>
  <c r="J28" i="65" l="1"/>
  <c r="H20" i="67" l="1"/>
  <c r="D20" i="67" s="1"/>
  <c r="F28" i="65" l="1"/>
  <c r="F29" i="65" l="1"/>
  <c r="H14" i="67" s="1"/>
  <c r="D14" i="67" s="1"/>
  <c r="H27" i="65"/>
  <c r="H28" i="65" l="1"/>
  <c r="L27" i="65"/>
  <c r="H29" i="65"/>
  <c r="L28" i="65"/>
  <c r="L29" i="65" l="1"/>
  <c r="H18" i="67"/>
  <c r="D18" i="67" s="1"/>
  <c r="H27" i="67" l="1"/>
  <c r="D27" i="67" s="1"/>
  <c r="H23" i="67"/>
  <c r="D23" i="67" s="1"/>
  <c r="M29" i="65"/>
</calcChain>
</file>

<file path=xl/sharedStrings.xml><?xml version="1.0" encoding="utf-8"?>
<sst xmlns="http://schemas.openxmlformats.org/spreadsheetml/2006/main" count="97" uniqueCount="54">
  <si>
    <t/>
  </si>
  <si>
    <t>합      계</t>
  </si>
  <si>
    <t>단  가</t>
  </si>
  <si>
    <t>금  액</t>
  </si>
  <si>
    <t>전 회 기 성</t>
    <phoneticPr fontId="4" type="noConversion"/>
  </si>
  <si>
    <t>금 회 기 성</t>
    <phoneticPr fontId="4" type="noConversion"/>
  </si>
  <si>
    <t>계 약 금 액</t>
    <phoneticPr fontId="4" type="noConversion"/>
  </si>
  <si>
    <t>품   명</t>
    <phoneticPr fontId="4" type="noConversion"/>
  </si>
  <si>
    <t>규   격</t>
    <phoneticPr fontId="4" type="noConversion"/>
  </si>
  <si>
    <t>단  위</t>
    <phoneticPr fontId="4" type="noConversion"/>
  </si>
  <si>
    <t>수  량</t>
    <phoneticPr fontId="4" type="noConversion"/>
  </si>
  <si>
    <t>비  고</t>
    <phoneticPr fontId="4" type="noConversion"/>
  </si>
  <si>
    <t>유리공사</t>
    <phoneticPr fontId="4" type="noConversion"/>
  </si>
  <si>
    <t>총원가</t>
    <phoneticPr fontId="4" type="noConversion"/>
  </si>
  <si>
    <t>부가가치세</t>
    <phoneticPr fontId="4" type="noConversion"/>
  </si>
  <si>
    <t>총   계</t>
    <phoneticPr fontId="4" type="noConversion"/>
  </si>
  <si>
    <t>상 호 : 천 우 건 업(주)</t>
  </si>
  <si>
    <t>기성금내역서</t>
    <phoneticPr fontId="4" type="noConversion"/>
  </si>
  <si>
    <t>:</t>
    <phoneticPr fontId="4" type="noConversion"/>
  </si>
  <si>
    <t>)</t>
    <phoneticPr fontId="4" type="noConversion"/>
  </si>
  <si>
    <t>(\</t>
    <phoneticPr fontId="4" type="noConversion"/>
  </si>
  <si>
    <t>V.A.T포함</t>
    <phoneticPr fontId="4" type="noConversion"/>
  </si>
  <si>
    <t>대 표 이 사 : 박 찬 도  (인)</t>
    <phoneticPr fontId="4" type="noConversion"/>
  </si>
  <si>
    <t>1.</t>
    <phoneticPr fontId="4" type="noConversion"/>
  </si>
  <si>
    <t>하도급 공사명</t>
    <phoneticPr fontId="4" type="noConversion"/>
  </si>
  <si>
    <t>계약(착공)일자</t>
    <phoneticPr fontId="4" type="noConversion"/>
  </si>
  <si>
    <t>선 급 금</t>
    <phoneticPr fontId="4" type="noConversion"/>
  </si>
  <si>
    <t>기 성 누 계</t>
    <phoneticPr fontId="4" type="noConversion"/>
  </si>
  <si>
    <t>선 급 금 공 제</t>
    <phoneticPr fontId="4" type="noConversion"/>
  </si>
  <si>
    <t>잔 액</t>
    <phoneticPr fontId="4" type="noConversion"/>
  </si>
  <si>
    <t>첨 부 서 류</t>
    <phoneticPr fontId="4" type="noConversion"/>
  </si>
  <si>
    <t>2.</t>
    <phoneticPr fontId="4" type="noConversion"/>
  </si>
  <si>
    <t>3.</t>
    <phoneticPr fontId="4" type="noConversion"/>
  </si>
  <si>
    <t>4.</t>
    <phoneticPr fontId="4" type="noConversion"/>
  </si>
  <si>
    <t>5.</t>
    <phoneticPr fontId="4" type="noConversion"/>
  </si>
  <si>
    <t>6.</t>
    <phoneticPr fontId="4" type="noConversion"/>
  </si>
  <si>
    <t>7.</t>
    <phoneticPr fontId="4" type="noConversion"/>
  </si>
  <si>
    <t>8.</t>
    <phoneticPr fontId="4" type="noConversion"/>
  </si>
  <si>
    <t>9.</t>
    <phoneticPr fontId="4" type="noConversion"/>
  </si>
  <si>
    <t>10.</t>
    <phoneticPr fontId="4" type="noConversion"/>
  </si>
  <si>
    <t>11.</t>
    <phoneticPr fontId="4" type="noConversion"/>
  </si>
  <si>
    <t>12.</t>
    <phoneticPr fontId="4" type="noConversion"/>
  </si>
  <si>
    <t>13.</t>
    <phoneticPr fontId="4" type="noConversion"/>
  </si>
  <si>
    <t>공     사     명</t>
    <phoneticPr fontId="4" type="noConversion"/>
  </si>
  <si>
    <t>준  공  일  자</t>
    <phoneticPr fontId="4" type="noConversion"/>
  </si>
  <si>
    <t>위 공사의 도급 시행에 있어서 공사 전반에 걸쳐 공사 설계도서 제시방서 및 계약조건대로 어김없이 
기성 되었음을 통지 하오며, 만약 공사의 시공 감독 및 검사에 관하여 하자가 발견되는 즉시 변상 
또는 재시공할 것을 서약하고 이에 기성 검사 신청서를 제출하오니, 검사하여 주시기 바랍니다.</t>
    <phoneticPr fontId="4" type="noConversion"/>
  </si>
  <si>
    <t>기성금 내역서</t>
    <phoneticPr fontId="4" type="noConversion"/>
  </si>
  <si>
    <t>시     공     사</t>
    <phoneticPr fontId="4" type="noConversion"/>
  </si>
  <si>
    <t>주 소 : 대구광역시 달서구 상화로 15길 24-13</t>
    <phoneticPr fontId="4" type="noConversion"/>
  </si>
  <si>
    <t>0000년 00월</t>
    <phoneticPr fontId="4" type="noConversion"/>
  </si>
  <si>
    <t>0000. 00.</t>
    <phoneticPr fontId="4" type="noConversion"/>
  </si>
  <si>
    <t>0000 귀중</t>
    <phoneticPr fontId="4" type="noConversion"/>
  </si>
  <si>
    <t>0차 기성금 청구서</t>
    <phoneticPr fontId="4" type="noConversion"/>
  </si>
  <si>
    <t>선급금(부가세 별도)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</si>
</sst>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b/>
      <sz val="18"/>
      <name val="Arial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b/>
      <sz val="18"/>
      <name val="맑은 고딕"/>
      <family val="3"/>
      <charset val="129"/>
    </font>
    <font>
      <sz val="9"/>
      <name val="돋움"/>
      <family val="2"/>
      <charset val="129"/>
    </font>
    <font>
      <sz val="9"/>
      <name val="맑은 고딕"/>
      <family val="3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u/>
      <sz val="2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돋움"/>
      <family val="3"/>
      <charset val="129"/>
    </font>
    <font>
      <b/>
      <sz val="16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9"/>
      <name val="돋움"/>
      <family val="2"/>
      <charset val="129"/>
    </font>
    <font>
      <b/>
      <sz val="9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>
      <alignment vertical="center"/>
    </xf>
    <xf numFmtId="9" fontId="5" fillId="2" borderId="0" applyFont="0" applyFill="0" applyBorder="0" applyAlignment="0" applyProtection="0">
      <alignment vertical="center"/>
    </xf>
    <xf numFmtId="9" fontId="6" fillId="2" borderId="0" applyFont="0" applyFill="0" applyBorder="0" applyAlignment="0" applyProtection="0">
      <alignment vertical="center"/>
    </xf>
    <xf numFmtId="0" fontId="5" fillId="2" borderId="0">
      <alignment vertical="center"/>
    </xf>
    <xf numFmtId="0" fontId="1" fillId="2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3" fontId="5" fillId="2" borderId="0" xfId="3" applyNumberFormat="1">
      <alignment vertical="center"/>
    </xf>
    <xf numFmtId="0" fontId="5" fillId="2" borderId="0" xfId="3">
      <alignment vertical="center"/>
    </xf>
    <xf numFmtId="0" fontId="2" fillId="2" borderId="0" xfId="3" applyFont="1">
      <alignment vertical="center"/>
    </xf>
    <xf numFmtId="0" fontId="2" fillId="2" borderId="0" xfId="3" applyFont="1" applyAlignment="1">
      <alignment horizontal="center" vertical="center"/>
    </xf>
    <xf numFmtId="3" fontId="2" fillId="2" borderId="0" xfId="3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1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31" fontId="0" fillId="0" borderId="0" xfId="0" applyNumberFormat="1">
      <alignment vertical="center"/>
    </xf>
    <xf numFmtId="0" fontId="23" fillId="0" borderId="0" xfId="0" applyFont="1">
      <alignment vertical="center"/>
    </xf>
    <xf numFmtId="0" fontId="2" fillId="2" borderId="1" xfId="3" applyFont="1" applyBorder="1" applyProtection="1">
      <alignment vertical="center"/>
      <protection locked="0"/>
    </xf>
    <xf numFmtId="0" fontId="2" fillId="2" borderId="1" xfId="3" applyFont="1" applyBorder="1" applyAlignment="1" applyProtection="1">
      <alignment horizontal="center" vertical="center"/>
      <protection locked="0"/>
    </xf>
    <xf numFmtId="3" fontId="2" fillId="2" borderId="1" xfId="3" applyNumberFormat="1" applyFont="1" applyBorder="1" applyProtection="1">
      <alignment vertical="center"/>
      <protection locked="0"/>
    </xf>
    <xf numFmtId="3" fontId="2" fillId="2" borderId="1" xfId="3" applyNumberFormat="1" applyFont="1" applyBorder="1" applyAlignment="1" applyProtection="1">
      <alignment horizontal="right" vertical="center"/>
      <protection locked="0"/>
    </xf>
    <xf numFmtId="176" fontId="2" fillId="2" borderId="1" xfId="3" applyNumberFormat="1" applyFont="1" applyBorder="1" applyAlignment="1" applyProtection="1">
      <alignment horizontal="right" vertical="center"/>
      <protection locked="0"/>
    </xf>
    <xf numFmtId="0" fontId="20" fillId="0" borderId="0" xfId="0" applyFont="1" applyAlignment="1">
      <alignment horizontal="left" vertical="center" indent="11"/>
    </xf>
    <xf numFmtId="0" fontId="21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20" fillId="0" borderId="0" xfId="0" applyFont="1" applyAlignment="1">
      <alignment horizontal="distributed" vertical="center"/>
    </xf>
    <xf numFmtId="0" fontId="19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justify" vertical="center"/>
    </xf>
    <xf numFmtId="0" fontId="2" fillId="2" borderId="2" xfId="3" applyFont="1" applyBorder="1" applyProtection="1">
      <alignment vertical="center"/>
      <protection locked="0"/>
    </xf>
    <xf numFmtId="3" fontId="2" fillId="2" borderId="2" xfId="3" applyNumberFormat="1" applyFont="1" applyBorder="1" applyProtection="1">
      <alignment vertical="center"/>
      <protection locked="0"/>
    </xf>
    <xf numFmtId="3" fontId="2" fillId="2" borderId="2" xfId="3" applyNumberFormat="1" applyFont="1" applyBorder="1" applyAlignment="1" applyProtection="1">
      <alignment horizontal="right" vertical="center"/>
      <protection locked="0"/>
    </xf>
    <xf numFmtId="0" fontId="2" fillId="2" borderId="10" xfId="3" applyFont="1" applyBorder="1" applyProtection="1">
      <alignment vertical="center"/>
      <protection locked="0"/>
    </xf>
    <xf numFmtId="9" fontId="2" fillId="2" borderId="11" xfId="5" applyFont="1" applyFill="1" applyBorder="1" applyProtection="1">
      <alignment vertical="center"/>
    </xf>
    <xf numFmtId="0" fontId="12" fillId="2" borderId="10" xfId="3" applyFont="1" applyBorder="1" applyProtection="1">
      <alignment vertical="center"/>
      <protection locked="0"/>
    </xf>
    <xf numFmtId="9" fontId="2" fillId="2" borderId="17" xfId="5" applyFont="1" applyFill="1" applyBorder="1" applyProtection="1">
      <alignment vertical="center"/>
    </xf>
    <xf numFmtId="9" fontId="2" fillId="4" borderId="19" xfId="5" applyFont="1" applyFill="1" applyBorder="1" applyProtection="1">
      <alignment vertical="center"/>
    </xf>
    <xf numFmtId="0" fontId="16" fillId="2" borderId="23" xfId="3" applyFont="1" applyBorder="1" applyProtection="1">
      <alignment vertical="center"/>
      <protection locked="0"/>
    </xf>
    <xf numFmtId="0" fontId="2" fillId="2" borderId="3" xfId="3" applyFont="1" applyBorder="1" applyProtection="1">
      <alignment vertical="center"/>
      <protection locked="0"/>
    </xf>
    <xf numFmtId="0" fontId="2" fillId="2" borderId="3" xfId="3" applyFont="1" applyBorder="1" applyAlignment="1" applyProtection="1">
      <alignment horizontal="center" vertical="center"/>
      <protection locked="0"/>
    </xf>
    <xf numFmtId="3" fontId="2" fillId="2" borderId="3" xfId="3" applyNumberFormat="1" applyFont="1" applyBorder="1" applyProtection="1">
      <alignment vertical="center"/>
      <protection locked="0"/>
    </xf>
    <xf numFmtId="3" fontId="2" fillId="2" borderId="3" xfId="3" applyNumberFormat="1" applyFont="1" applyBorder="1" applyAlignment="1" applyProtection="1">
      <alignment horizontal="right" vertical="center"/>
      <protection locked="0"/>
    </xf>
    <xf numFmtId="0" fontId="2" fillId="2" borderId="24" xfId="3" applyFont="1" applyBorder="1" applyProtection="1">
      <alignment vertical="center"/>
      <protection locked="0"/>
    </xf>
    <xf numFmtId="9" fontId="2" fillId="2" borderId="11" xfId="5" applyFont="1" applyFill="1" applyBorder="1" applyProtection="1">
      <alignment vertical="center"/>
      <protection locked="0"/>
    </xf>
    <xf numFmtId="0" fontId="13" fillId="2" borderId="10" xfId="3" applyFont="1" applyBorder="1" applyAlignment="1" applyProtection="1">
      <alignment vertical="center" wrapText="1"/>
      <protection locked="0"/>
    </xf>
    <xf numFmtId="0" fontId="12" fillId="2" borderId="12" xfId="3" applyFont="1" applyBorder="1" applyProtection="1">
      <alignment vertical="center"/>
      <protection locked="0"/>
    </xf>
    <xf numFmtId="0" fontId="2" fillId="2" borderId="2" xfId="3" applyFont="1" applyBorder="1" applyAlignment="1" applyProtection="1">
      <alignment horizontal="center" vertical="center"/>
      <protection locked="0"/>
    </xf>
    <xf numFmtId="9" fontId="2" fillId="2" borderId="13" xfId="5" applyFont="1" applyFill="1" applyBorder="1" applyProtection="1">
      <alignment vertical="center"/>
      <protection locked="0"/>
    </xf>
    <xf numFmtId="0" fontId="8" fillId="3" borderId="26" xfId="3" quotePrefix="1" applyFont="1" applyFill="1" applyBorder="1" applyAlignment="1">
      <alignment horizontal="center" vertical="center" wrapText="1"/>
    </xf>
    <xf numFmtId="49" fontId="0" fillId="0" borderId="28" xfId="0" applyNumberFormat="1" applyBorder="1" applyAlignment="1">
      <alignment horizontal="right" vertical="center"/>
    </xf>
    <xf numFmtId="0" fontId="24" fillId="0" borderId="28" xfId="0" applyFont="1" applyBorder="1">
      <alignment vertical="center"/>
    </xf>
    <xf numFmtId="0" fontId="0" fillId="0" borderId="28" xfId="0" applyBorder="1">
      <alignment vertical="center"/>
    </xf>
    <xf numFmtId="49" fontId="0" fillId="0" borderId="29" xfId="0" applyNumberFormat="1" applyBorder="1" applyAlignment="1">
      <alignment horizontal="right" vertical="center"/>
    </xf>
    <xf numFmtId="0" fontId="21" fillId="0" borderId="29" xfId="0" applyFont="1" applyBorder="1" applyAlignment="1">
      <alignment horizontal="justify" vertical="center"/>
    </xf>
    <xf numFmtId="0" fontId="17" fillId="0" borderId="29" xfId="0" applyFont="1" applyBorder="1" applyAlignment="1">
      <alignment horizontal="justify" vertical="center"/>
    </xf>
    <xf numFmtId="0" fontId="0" fillId="0" borderId="29" xfId="0" applyBorder="1">
      <alignment vertical="center"/>
    </xf>
    <xf numFmtId="0" fontId="2" fillId="2" borderId="3" xfId="3" applyFont="1" applyBorder="1" applyAlignment="1" applyProtection="1">
      <alignment vertical="center" wrapText="1"/>
      <protection locked="0"/>
    </xf>
    <xf numFmtId="0" fontId="2" fillId="2" borderId="1" xfId="3" applyFont="1" applyBorder="1" applyAlignment="1" applyProtection="1">
      <alignment vertical="center" wrapText="1"/>
      <protection locked="0"/>
    </xf>
    <xf numFmtId="0" fontId="2" fillId="2" borderId="2" xfId="3" applyFont="1" applyBorder="1" applyAlignment="1" applyProtection="1">
      <alignment vertical="center" wrapText="1"/>
      <protection locked="0"/>
    </xf>
    <xf numFmtId="0" fontId="25" fillId="2" borderId="14" xfId="3" applyFont="1" applyBorder="1">
      <alignment vertical="center"/>
    </xf>
    <xf numFmtId="0" fontId="14" fillId="2" borderId="6" xfId="3" applyFont="1" applyBorder="1">
      <alignment vertical="center"/>
    </xf>
    <xf numFmtId="0" fontId="14" fillId="2" borderId="6" xfId="3" applyFont="1" applyBorder="1" applyAlignment="1">
      <alignment horizontal="center" vertical="center"/>
    </xf>
    <xf numFmtId="0" fontId="2" fillId="2" borderId="6" xfId="3" applyFont="1" applyBorder="1">
      <alignment vertical="center"/>
    </xf>
    <xf numFmtId="3" fontId="2" fillId="2" borderId="6" xfId="3" applyNumberFormat="1" applyFont="1" applyBorder="1">
      <alignment vertical="center"/>
    </xf>
    <xf numFmtId="3" fontId="2" fillId="2" borderId="6" xfId="3" applyNumberFormat="1" applyFont="1" applyBorder="1" applyAlignment="1">
      <alignment horizontal="right" vertical="center"/>
    </xf>
    <xf numFmtId="9" fontId="2" fillId="2" borderId="15" xfId="5" applyFont="1" applyFill="1" applyBorder="1" applyProtection="1">
      <alignment vertical="center"/>
    </xf>
    <xf numFmtId="0" fontId="26" fillId="2" borderId="16" xfId="3" applyFont="1" applyBorder="1">
      <alignment vertical="center"/>
    </xf>
    <xf numFmtId="0" fontId="2" fillId="2" borderId="4" xfId="3" applyFont="1" applyBorder="1">
      <alignment vertical="center"/>
    </xf>
    <xf numFmtId="0" fontId="2" fillId="2" borderId="4" xfId="3" applyFont="1" applyBorder="1" applyAlignment="1">
      <alignment horizontal="center" vertical="center"/>
    </xf>
    <xf numFmtId="3" fontId="2" fillId="2" borderId="4" xfId="3" applyNumberFormat="1" applyFont="1" applyBorder="1">
      <alignment vertical="center"/>
    </xf>
    <xf numFmtId="3" fontId="14" fillId="2" borderId="4" xfId="3" applyNumberFormat="1" applyFont="1" applyBorder="1">
      <alignment vertical="center"/>
    </xf>
    <xf numFmtId="0" fontId="10" fillId="2" borderId="10" xfId="3" applyFont="1" applyBorder="1">
      <alignment vertical="center"/>
    </xf>
    <xf numFmtId="0" fontId="2" fillId="2" borderId="1" xfId="3" applyFont="1" applyBorder="1">
      <alignment vertical="center"/>
    </xf>
    <xf numFmtId="0" fontId="2" fillId="2" borderId="1" xfId="3" applyFont="1" applyBorder="1" applyAlignment="1">
      <alignment horizontal="center" vertical="center"/>
    </xf>
    <xf numFmtId="3" fontId="2" fillId="2" borderId="1" xfId="3" applyNumberFormat="1" applyFont="1" applyBorder="1">
      <alignment vertical="center"/>
    </xf>
    <xf numFmtId="3" fontId="2" fillId="2" borderId="1" xfId="3" applyNumberFormat="1" applyFont="1" applyBorder="1" applyAlignment="1">
      <alignment horizontal="right" vertical="center"/>
    </xf>
    <xf numFmtId="0" fontId="15" fillId="4" borderId="18" xfId="3" applyFont="1" applyFill="1" applyBorder="1" applyAlignment="1">
      <alignment horizontal="center" vertical="center"/>
    </xf>
    <xf numFmtId="0" fontId="14" fillId="4" borderId="5" xfId="3" applyFont="1" applyFill="1" applyBorder="1">
      <alignment vertical="center"/>
    </xf>
    <xf numFmtId="0" fontId="14" fillId="4" borderId="5" xfId="3" applyFont="1" applyFill="1" applyBorder="1" applyAlignment="1">
      <alignment horizontal="center" vertical="center"/>
    </xf>
    <xf numFmtId="3" fontId="14" fillId="4" borderId="5" xfId="3" applyNumberFormat="1" applyFont="1" applyFill="1" applyBorder="1">
      <alignment vertical="center"/>
    </xf>
    <xf numFmtId="3" fontId="14" fillId="4" borderId="5" xfId="0" applyNumberFormat="1" applyFont="1" applyFill="1" applyBorder="1">
      <alignment vertical="center"/>
    </xf>
    <xf numFmtId="0" fontId="2" fillId="2" borderId="20" xfId="3" applyFont="1" applyBorder="1">
      <alignment vertical="center"/>
    </xf>
    <xf numFmtId="0" fontId="2" fillId="2" borderId="21" xfId="3" applyFont="1" applyBorder="1">
      <alignment vertical="center"/>
    </xf>
    <xf numFmtId="0" fontId="2" fillId="2" borderId="21" xfId="3" applyFont="1" applyBorder="1" applyAlignment="1">
      <alignment horizontal="center" vertical="center"/>
    </xf>
    <xf numFmtId="3" fontId="2" fillId="2" borderId="21" xfId="3" applyNumberFormat="1" applyFont="1" applyBorder="1">
      <alignment vertical="center"/>
    </xf>
    <xf numFmtId="3" fontId="14" fillId="2" borderId="21" xfId="3" applyNumberFormat="1" applyFont="1" applyBorder="1">
      <alignment vertical="center"/>
    </xf>
    <xf numFmtId="0" fontId="2" fillId="2" borderId="22" xfId="3" applyFont="1" applyBorder="1">
      <alignment vertical="center"/>
    </xf>
    <xf numFmtId="3" fontId="0" fillId="0" borderId="0" xfId="0" applyNumberForma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indent="13"/>
    </xf>
    <xf numFmtId="0" fontId="23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1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7" fillId="3" borderId="8" xfId="3" quotePrefix="1" applyFont="1" applyFill="1" applyBorder="1" applyAlignment="1">
      <alignment horizontal="center" vertical="center"/>
    </xf>
    <xf numFmtId="0" fontId="9" fillId="2" borderId="0" xfId="3" applyFont="1" applyAlignment="1">
      <alignment horizontal="center" vertical="center"/>
    </xf>
    <xf numFmtId="0" fontId="3" fillId="2" borderId="0" xfId="3" applyFont="1" applyAlignment="1">
      <alignment horizontal="center" vertical="center"/>
    </xf>
    <xf numFmtId="0" fontId="7" fillId="3" borderId="7" xfId="3" quotePrefix="1" applyFont="1" applyFill="1" applyBorder="1" applyAlignment="1">
      <alignment horizontal="center" vertical="center"/>
    </xf>
    <xf numFmtId="0" fontId="8" fillId="3" borderId="25" xfId="3" quotePrefix="1" applyFont="1" applyFill="1" applyBorder="1" applyAlignment="1">
      <alignment horizontal="center" vertical="center" wrapText="1"/>
    </xf>
    <xf numFmtId="0" fontId="8" fillId="3" borderId="26" xfId="3" quotePrefix="1" applyFont="1" applyFill="1" applyBorder="1" applyAlignment="1">
      <alignment horizontal="center" vertical="center" wrapText="1"/>
    </xf>
    <xf numFmtId="0" fontId="7" fillId="3" borderId="9" xfId="3" quotePrefix="1" applyFont="1" applyFill="1" applyBorder="1" applyAlignment="1">
      <alignment horizontal="center" vertical="center"/>
    </xf>
    <xf numFmtId="0" fontId="8" fillId="3" borderId="27" xfId="3" quotePrefix="1" applyFont="1" applyFill="1" applyBorder="1" applyAlignment="1">
      <alignment horizontal="center" vertical="center" wrapText="1"/>
    </xf>
    <xf numFmtId="0" fontId="0" fillId="2" borderId="0" xfId="3" applyFont="1" applyAlignment="1" applyProtection="1">
      <alignment horizontal="left" vertical="center"/>
      <protection locked="0"/>
    </xf>
    <xf numFmtId="4" fontId="2" fillId="2" borderId="1" xfId="3" applyNumberFormat="1" applyFont="1" applyBorder="1" applyAlignment="1" applyProtection="1">
      <alignment horizontal="right" vertical="center"/>
      <protection locked="0"/>
    </xf>
    <xf numFmtId="4" fontId="11" fillId="2" borderId="1" xfId="3" applyNumberFormat="1" applyFont="1" applyBorder="1" applyAlignment="1" applyProtection="1">
      <alignment horizontal="right" vertical="center"/>
      <protection locked="0"/>
    </xf>
    <xf numFmtId="4" fontId="2" fillId="2" borderId="2" xfId="3" applyNumberFormat="1" applyFont="1" applyBorder="1" applyAlignment="1" applyProtection="1">
      <alignment horizontal="right" vertical="center"/>
      <protection locked="0"/>
    </xf>
  </cellXfs>
  <cellStyles count="6">
    <cellStyle name="백분율" xfId="5" builtinId="5"/>
    <cellStyle name="백분율 2" xfId="1" xr:uid="{A10B7DA6-4463-4993-BEEB-48D59BF4201B}"/>
    <cellStyle name="백분율 2 2" xfId="2" xr:uid="{BB7F6D9B-5E44-4B46-B982-4CF008500E01}"/>
    <cellStyle name="표준" xfId="0" builtinId="0"/>
    <cellStyle name="표준 2" xfId="3" xr:uid="{816BD860-7B26-4DEC-AE22-2FB847F6EC60}"/>
    <cellStyle name="표준 3" xfId="4" xr:uid="{0473485B-B5C5-4A23-8A81-D007AD084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보기1" id="{3E7C335F-96B0-4B96-B016-FB3442E8F61F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657-664A-4640-B1B0-1C352D9C854D}">
  <sheetPr>
    <pageSetUpPr fitToPage="1"/>
  </sheetPr>
  <dimension ref="A2:L44"/>
  <sheetViews>
    <sheetView view="pageBreakPreview" topLeftCell="A5" zoomScale="85" zoomScaleNormal="115" zoomScaleSheetLayoutView="85" workbookViewId="0">
      <selection activeCell="H16" sqref="H16"/>
    </sheetView>
  </sheetViews>
  <sheetFormatPr defaultRowHeight="16.5" x14ac:dyDescent="0.3"/>
  <cols>
    <col min="1" max="1" width="3.5" style="13" customWidth="1"/>
    <col min="2" max="2" width="15" customWidth="1"/>
    <col min="3" max="3" width="1.625" customWidth="1"/>
    <col min="4" max="4" width="17.125" bestFit="1" customWidth="1"/>
    <col min="6" max="6" width="5.375" customWidth="1"/>
    <col min="7" max="7" width="3.5" customWidth="1"/>
    <col min="8" max="8" width="11.75" customWidth="1"/>
    <col min="9" max="9" width="2" customWidth="1"/>
    <col min="10" max="10" width="20.5" customWidth="1"/>
    <col min="11" max="11" width="12.375" customWidth="1"/>
  </cols>
  <sheetData>
    <row r="2" spans="1:11" ht="25.5" x14ac:dyDescent="0.3">
      <c r="A2" s="94" t="s">
        <v>52</v>
      </c>
      <c r="B2" s="94"/>
      <c r="C2" s="94"/>
      <c r="D2" s="94"/>
      <c r="E2" s="94"/>
      <c r="F2" s="94"/>
      <c r="G2" s="94"/>
      <c r="H2" s="94"/>
      <c r="I2" s="94"/>
      <c r="J2" s="94"/>
      <c r="K2" s="12"/>
    </row>
    <row r="3" spans="1:11" ht="39" customHeight="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3" t="s">
        <v>23</v>
      </c>
      <c r="B4" s="27" t="s">
        <v>43</v>
      </c>
      <c r="C4" s="28" t="s">
        <v>18</v>
      </c>
      <c r="D4" s="97"/>
      <c r="E4" s="97"/>
      <c r="F4" s="97"/>
      <c r="G4" s="97"/>
      <c r="H4" s="97"/>
      <c r="I4" s="97"/>
      <c r="J4" s="97"/>
    </row>
    <row r="5" spans="1:11" x14ac:dyDescent="0.3">
      <c r="B5" s="25"/>
      <c r="C5" s="26"/>
      <c r="D5" s="29"/>
      <c r="E5" s="29"/>
      <c r="F5" s="29"/>
      <c r="G5" s="29"/>
      <c r="H5" s="29"/>
      <c r="I5" s="29"/>
      <c r="J5" s="29"/>
    </row>
    <row r="6" spans="1:11" x14ac:dyDescent="0.3">
      <c r="A6" s="13" t="s">
        <v>31</v>
      </c>
      <c r="B6" s="27" t="s">
        <v>47</v>
      </c>
      <c r="C6" s="28" t="s">
        <v>18</v>
      </c>
      <c r="D6" s="96"/>
      <c r="E6" s="96"/>
      <c r="F6" s="96"/>
      <c r="G6" s="96"/>
      <c r="H6" s="96"/>
      <c r="I6" s="96"/>
      <c r="J6" s="96"/>
      <c r="K6" s="14"/>
    </row>
    <row r="7" spans="1:11" x14ac:dyDescent="0.3">
      <c r="B7" s="25"/>
      <c r="C7" s="26"/>
      <c r="D7" s="29"/>
      <c r="E7" s="29"/>
      <c r="F7" s="29"/>
      <c r="G7" s="29"/>
      <c r="H7" s="29"/>
      <c r="I7" s="29"/>
      <c r="J7" s="29"/>
    </row>
    <row r="8" spans="1:11" x14ac:dyDescent="0.3">
      <c r="A8" s="13" t="s">
        <v>32</v>
      </c>
      <c r="B8" s="27" t="s">
        <v>24</v>
      </c>
      <c r="C8" s="28" t="s">
        <v>18</v>
      </c>
      <c r="D8" s="97"/>
      <c r="E8" s="97"/>
      <c r="F8" s="97"/>
      <c r="G8" s="97"/>
      <c r="H8" s="97"/>
      <c r="I8" s="97"/>
      <c r="J8" s="97"/>
    </row>
    <row r="9" spans="1:11" x14ac:dyDescent="0.3">
      <c r="B9" s="25"/>
      <c r="C9" s="26"/>
      <c r="D9" s="29"/>
      <c r="E9" s="29"/>
      <c r="F9" s="29"/>
      <c r="G9" s="29"/>
      <c r="H9" s="29"/>
      <c r="I9" s="29"/>
      <c r="J9" s="29"/>
    </row>
    <row r="10" spans="1:11" x14ac:dyDescent="0.3">
      <c r="A10" s="13" t="s">
        <v>33</v>
      </c>
      <c r="B10" s="27" t="s">
        <v>25</v>
      </c>
      <c r="C10" s="28" t="s">
        <v>18</v>
      </c>
      <c r="D10" s="98" t="s">
        <v>49</v>
      </c>
      <c r="E10" s="98"/>
      <c r="F10" s="98"/>
      <c r="G10" s="98"/>
      <c r="H10" s="98"/>
      <c r="I10" s="98"/>
      <c r="J10" s="98"/>
      <c r="K10" s="17"/>
    </row>
    <row r="11" spans="1:11" x14ac:dyDescent="0.3">
      <c r="B11" s="25"/>
      <c r="C11" s="26"/>
      <c r="D11" s="29"/>
      <c r="E11" s="29"/>
      <c r="F11" s="29"/>
      <c r="G11" s="29"/>
      <c r="H11" s="29"/>
      <c r="I11" s="29"/>
      <c r="J11" s="29"/>
    </row>
    <row r="12" spans="1:11" x14ac:dyDescent="0.3">
      <c r="A12" s="13" t="s">
        <v>34</v>
      </c>
      <c r="B12" s="27" t="s">
        <v>44</v>
      </c>
      <c r="C12" s="28" t="s">
        <v>18</v>
      </c>
      <c r="D12" s="98" t="s">
        <v>49</v>
      </c>
      <c r="E12" s="98"/>
      <c r="F12" s="98"/>
      <c r="G12" s="98"/>
      <c r="H12" s="98"/>
      <c r="I12" s="98"/>
      <c r="J12" s="98"/>
      <c r="K12" s="17"/>
    </row>
    <row r="13" spans="1:11" x14ac:dyDescent="0.3">
      <c r="B13" s="25"/>
      <c r="C13" s="26"/>
    </row>
    <row r="14" spans="1:11" x14ac:dyDescent="0.3">
      <c r="A14" s="13" t="s">
        <v>35</v>
      </c>
      <c r="B14" s="27" t="s">
        <v>6</v>
      </c>
      <c r="C14" s="28" t="s">
        <v>18</v>
      </c>
      <c r="D14" s="99" t="str">
        <f>"일금 "&amp;(NUMBERSTRING(H14,1)&amp;"원정")</f>
        <v>일금 영원정</v>
      </c>
      <c r="E14" s="99"/>
      <c r="F14" s="99"/>
      <c r="G14" t="s">
        <v>20</v>
      </c>
      <c r="H14" s="30">
        <f>'기성금 내역서'!F29</f>
        <v>0</v>
      </c>
      <c r="I14" t="s">
        <v>19</v>
      </c>
      <c r="J14" t="s">
        <v>21</v>
      </c>
    </row>
    <row r="15" spans="1:11" x14ac:dyDescent="0.3">
      <c r="B15" s="25"/>
      <c r="C15" s="26"/>
    </row>
    <row r="16" spans="1:11" x14ac:dyDescent="0.3">
      <c r="A16" s="13" t="s">
        <v>36</v>
      </c>
      <c r="B16" s="27" t="s">
        <v>26</v>
      </c>
      <c r="C16" s="28" t="s">
        <v>18</v>
      </c>
      <c r="D16" s="99" t="str">
        <f>"일금 "&amp;(NUMBERSTRING(H16,1)&amp;"원정")</f>
        <v>일금 영원정</v>
      </c>
      <c r="E16" s="99"/>
      <c r="F16" s="99"/>
      <c r="G16" t="s">
        <v>20</v>
      </c>
      <c r="H16" s="90"/>
      <c r="I16" t="s">
        <v>19</v>
      </c>
      <c r="J16" t="s">
        <v>21</v>
      </c>
    </row>
    <row r="17" spans="1:11" x14ac:dyDescent="0.3">
      <c r="B17" s="31"/>
      <c r="C17" s="28"/>
    </row>
    <row r="18" spans="1:11" x14ac:dyDescent="0.3">
      <c r="A18" s="13" t="s">
        <v>37</v>
      </c>
      <c r="B18" s="27" t="s">
        <v>4</v>
      </c>
      <c r="C18" s="28" t="s">
        <v>18</v>
      </c>
      <c r="D18" s="99" t="str">
        <f>"일금 "&amp;(NUMBERSTRING(H18,1)&amp;"원정")</f>
        <v>일금 영원정</v>
      </c>
      <c r="E18" s="99"/>
      <c r="F18" s="99"/>
      <c r="G18" t="s">
        <v>20</v>
      </c>
      <c r="H18" s="30">
        <f>'기성금 내역서'!H29</f>
        <v>0</v>
      </c>
      <c r="I18" t="s">
        <v>19</v>
      </c>
      <c r="J18" t="s">
        <v>21</v>
      </c>
    </row>
    <row r="19" spans="1:11" x14ac:dyDescent="0.3">
      <c r="B19" s="25"/>
      <c r="C19" s="26"/>
    </row>
    <row r="20" spans="1:11" x14ac:dyDescent="0.3">
      <c r="A20" s="13" t="s">
        <v>38</v>
      </c>
      <c r="B20" s="27" t="s">
        <v>5</v>
      </c>
      <c r="C20" s="28" t="s">
        <v>18</v>
      </c>
      <c r="D20" s="99" t="str">
        <f>"일금 "&amp;(NUMBERSTRING(H20,1)&amp;"원정")</f>
        <v>일금 영원정</v>
      </c>
      <c r="E20" s="99"/>
      <c r="F20" s="99"/>
      <c r="G20" t="s">
        <v>20</v>
      </c>
      <c r="H20" s="30">
        <f>'기성금 내역서'!J29</f>
        <v>0</v>
      </c>
      <c r="I20" t="s">
        <v>19</v>
      </c>
      <c r="J20" t="s">
        <v>21</v>
      </c>
    </row>
    <row r="21" spans="1:11" ht="17.25" thickBot="1" x14ac:dyDescent="0.35">
      <c r="A21" s="52"/>
      <c r="B21" s="53"/>
      <c r="C21" s="54"/>
      <c r="D21" s="54"/>
      <c r="E21" s="54"/>
      <c r="F21" s="54"/>
      <c r="G21" s="54"/>
      <c r="H21" s="54"/>
      <c r="I21" s="54"/>
    </row>
    <row r="22" spans="1:11" x14ac:dyDescent="0.3">
      <c r="A22" s="55"/>
      <c r="B22" s="56"/>
      <c r="C22" s="57"/>
      <c r="D22" s="58"/>
      <c r="E22" s="58"/>
      <c r="F22" s="58"/>
      <c r="G22" s="58"/>
      <c r="H22" s="58"/>
      <c r="I22" s="58"/>
    </row>
    <row r="23" spans="1:11" x14ac:dyDescent="0.3">
      <c r="A23" s="13" t="s">
        <v>39</v>
      </c>
      <c r="B23" s="27" t="s">
        <v>27</v>
      </c>
      <c r="C23" s="28" t="s">
        <v>18</v>
      </c>
      <c r="D23" s="99" t="str">
        <f>"일금 "&amp;(NUMBERSTRING(H23,1)&amp;"원정")</f>
        <v>일금 영원정</v>
      </c>
      <c r="E23" s="99"/>
      <c r="F23" s="99"/>
      <c r="G23" t="s">
        <v>20</v>
      </c>
      <c r="H23" s="30">
        <f>'기성금 내역서'!L29</f>
        <v>0</v>
      </c>
      <c r="I23" t="s">
        <v>19</v>
      </c>
      <c r="J23" t="s">
        <v>21</v>
      </c>
    </row>
    <row r="24" spans="1:11" x14ac:dyDescent="0.3">
      <c r="B24" s="25"/>
      <c r="C24" s="26"/>
    </row>
    <row r="25" spans="1:11" x14ac:dyDescent="0.3">
      <c r="A25" s="13" t="s">
        <v>40</v>
      </c>
      <c r="B25" s="27" t="s">
        <v>28</v>
      </c>
      <c r="C25" s="28" t="s">
        <v>18</v>
      </c>
    </row>
    <row r="26" spans="1:11" x14ac:dyDescent="0.3">
      <c r="B26" s="25"/>
      <c r="C26" s="26"/>
    </row>
    <row r="27" spans="1:11" x14ac:dyDescent="0.3">
      <c r="A27" s="13" t="s">
        <v>41</v>
      </c>
      <c r="B27" s="27" t="s">
        <v>29</v>
      </c>
      <c r="C27" s="28" t="s">
        <v>18</v>
      </c>
      <c r="D27" s="99" t="str">
        <f>"일금 "&amp;(NUMBERSTRING(H27,1)&amp;"원정")</f>
        <v>일금 영원정</v>
      </c>
      <c r="E27" s="99"/>
      <c r="F27" s="99"/>
      <c r="G27" t="s">
        <v>20</v>
      </c>
      <c r="H27" s="30">
        <f>'기성금 내역서'!F29-'기성금 내역서'!L29</f>
        <v>0</v>
      </c>
      <c r="I27" t="s">
        <v>19</v>
      </c>
      <c r="J27" t="s">
        <v>21</v>
      </c>
    </row>
    <row r="28" spans="1:11" x14ac:dyDescent="0.3">
      <c r="B28" s="25"/>
      <c r="C28" s="26"/>
    </row>
    <row r="29" spans="1:11" x14ac:dyDescent="0.3">
      <c r="A29" s="13" t="s">
        <v>42</v>
      </c>
      <c r="B29" s="27" t="s">
        <v>30</v>
      </c>
      <c r="C29" s="28" t="s">
        <v>18</v>
      </c>
      <c r="D29" t="s">
        <v>17</v>
      </c>
    </row>
    <row r="30" spans="1:11" x14ac:dyDescent="0.3">
      <c r="B30" s="25"/>
      <c r="C30" s="26"/>
    </row>
    <row r="31" spans="1:11" ht="17.45" customHeight="1" x14ac:dyDescent="0.3">
      <c r="A31" s="95" t="s">
        <v>45</v>
      </c>
      <c r="B31" s="95"/>
      <c r="C31" s="95"/>
      <c r="D31" s="95"/>
      <c r="E31" s="95"/>
      <c r="F31" s="95"/>
      <c r="G31" s="95"/>
      <c r="H31" s="95"/>
      <c r="I31" s="95"/>
      <c r="J31" s="95"/>
      <c r="K31" s="16"/>
    </row>
    <row r="32" spans="1:11" x14ac:dyDescent="0.3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16"/>
    </row>
    <row r="33" spans="1:12" x14ac:dyDescent="0.3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16"/>
    </row>
    <row r="34" spans="1:12" x14ac:dyDescent="0.3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16"/>
      <c r="L34" s="6"/>
    </row>
    <row r="35" spans="1:12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6"/>
    </row>
    <row r="36" spans="1:12" x14ac:dyDescent="0.3">
      <c r="A36" s="91" t="s">
        <v>50</v>
      </c>
      <c r="B36" s="91"/>
      <c r="C36" s="91"/>
      <c r="D36" s="91"/>
      <c r="E36" s="91"/>
      <c r="F36" s="91"/>
      <c r="G36" s="91"/>
      <c r="H36" s="91"/>
      <c r="I36" s="91"/>
      <c r="J36" s="91"/>
      <c r="K36" s="14"/>
      <c r="L36" s="7"/>
    </row>
    <row r="37" spans="1:12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7"/>
    </row>
    <row r="38" spans="1:12" x14ac:dyDescent="0.3">
      <c r="C38" s="24"/>
    </row>
    <row r="39" spans="1:12" x14ac:dyDescent="0.3">
      <c r="A39" s="92" t="s">
        <v>48</v>
      </c>
      <c r="B39" s="92"/>
      <c r="C39" s="92"/>
      <c r="D39" s="92"/>
      <c r="E39" s="92"/>
      <c r="F39" s="92"/>
      <c r="G39" s="92"/>
      <c r="H39" s="92"/>
      <c r="I39" s="92"/>
      <c r="J39" s="92"/>
      <c r="K39" s="14"/>
    </row>
    <row r="40" spans="1:12" x14ac:dyDescent="0.3">
      <c r="A40" s="92" t="s">
        <v>16</v>
      </c>
      <c r="B40" s="92"/>
      <c r="C40" s="92"/>
      <c r="D40" s="92"/>
      <c r="E40" s="92"/>
      <c r="F40" s="92"/>
      <c r="G40" s="92"/>
      <c r="H40" s="92"/>
      <c r="I40" s="92"/>
      <c r="J40" s="92"/>
      <c r="K40" s="14"/>
    </row>
    <row r="41" spans="1:12" x14ac:dyDescent="0.3">
      <c r="A41" s="92" t="s">
        <v>22</v>
      </c>
      <c r="B41" s="92"/>
      <c r="C41" s="92"/>
      <c r="D41" s="92"/>
      <c r="E41" s="92"/>
      <c r="F41" s="92"/>
      <c r="G41" s="92"/>
      <c r="H41" s="92"/>
      <c r="I41" s="92"/>
      <c r="J41" s="92"/>
      <c r="K41" s="14"/>
      <c r="L41" s="8"/>
    </row>
    <row r="42" spans="1:12" x14ac:dyDescent="0.3">
      <c r="L42" s="9"/>
    </row>
    <row r="43" spans="1:12" x14ac:dyDescent="0.3">
      <c r="L43" s="9"/>
    </row>
    <row r="44" spans="1:12" ht="26.25" x14ac:dyDescent="0.3">
      <c r="A44" s="93" t="s">
        <v>51</v>
      </c>
      <c r="B44" s="93"/>
      <c r="C44" s="93"/>
      <c r="D44" s="93"/>
      <c r="E44" s="93"/>
      <c r="F44" s="93"/>
      <c r="G44" s="93"/>
      <c r="H44" s="93"/>
      <c r="I44" s="93"/>
      <c r="J44" s="93"/>
      <c r="K44" s="18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D4 D6 D8 A2 A36 A44 D10 D12" name="범위1"/>
  </protectedRanges>
  <mergeCells count="18">
    <mergeCell ref="A2:J2"/>
    <mergeCell ref="A31:J34"/>
    <mergeCell ref="D6:J6"/>
    <mergeCell ref="D8:J8"/>
    <mergeCell ref="D10:J10"/>
    <mergeCell ref="D12:J12"/>
    <mergeCell ref="D4:J4"/>
    <mergeCell ref="D18:F18"/>
    <mergeCell ref="D14:F14"/>
    <mergeCell ref="D23:F23"/>
    <mergeCell ref="D27:F27"/>
    <mergeCell ref="D16:F16"/>
    <mergeCell ref="D20:F20"/>
    <mergeCell ref="A36:J36"/>
    <mergeCell ref="A39:J39"/>
    <mergeCell ref="A40:J40"/>
    <mergeCell ref="A41:J41"/>
    <mergeCell ref="A44:J44"/>
  </mergeCells>
  <phoneticPr fontId="4" type="noConversion"/>
  <pageMargins left="0.7" right="0.7" top="0.75" bottom="0.75" header="0.3" footer="0.3"/>
  <pageSetup paperSize="9" scale="90" fitToHeight="0" orientation="portrait" r:id="rId1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F9BC-48B2-42BC-9BAD-C03357562BB1}">
  <sheetPr>
    <pageSetUpPr fitToPage="1"/>
  </sheetPr>
  <dimension ref="A1:P35"/>
  <sheetViews>
    <sheetView tabSelected="1" view="pageBreakPreview" zoomScaleNormal="100" zoomScaleSheetLayoutView="100" workbookViewId="0">
      <selection activeCell="M5" sqref="M5"/>
    </sheetView>
  </sheetViews>
  <sheetFormatPr defaultColWidth="9" defaultRowHeight="16.5" x14ac:dyDescent="0.3"/>
  <cols>
    <col min="1" max="1" width="21.5" style="2" customWidth="1"/>
    <col min="2" max="2" width="31.375" style="2" customWidth="1"/>
    <col min="3" max="4" width="8.625" style="2" customWidth="1"/>
    <col min="5" max="12" width="11" style="2" customWidth="1"/>
    <col min="13" max="15" width="9" style="2"/>
    <col min="16" max="16" width="11.375" style="2" bestFit="1" customWidth="1"/>
    <col min="17" max="16384" width="9" style="2"/>
  </cols>
  <sheetData>
    <row r="1" spans="1:16" ht="24.75" customHeight="1" x14ac:dyDescent="0.3">
      <c r="A1" s="101" t="s">
        <v>46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6" ht="18" customHeight="1" thickBot="1" x14ac:dyDescent="0.35">
      <c r="A2" s="108" t="str">
        <f>"공사명 : "&amp;갑지!D4&amp;" 중 유리공사"</f>
        <v>공사명 :  중 유리공사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1:16" ht="20.45" customHeight="1" x14ac:dyDescent="0.3">
      <c r="A3" s="103" t="s">
        <v>7</v>
      </c>
      <c r="B3" s="100" t="s">
        <v>8</v>
      </c>
      <c r="C3" s="100" t="s">
        <v>9</v>
      </c>
      <c r="D3" s="100" t="s">
        <v>10</v>
      </c>
      <c r="E3" s="100" t="s">
        <v>6</v>
      </c>
      <c r="F3" s="100"/>
      <c r="G3" s="100" t="s">
        <v>4</v>
      </c>
      <c r="H3" s="100"/>
      <c r="I3" s="100" t="s">
        <v>5</v>
      </c>
      <c r="J3" s="100"/>
      <c r="K3" s="100" t="s">
        <v>1</v>
      </c>
      <c r="L3" s="100"/>
      <c r="M3" s="106" t="s">
        <v>11</v>
      </c>
    </row>
    <row r="4" spans="1:16" ht="20.45" customHeight="1" thickBot="1" x14ac:dyDescent="0.35">
      <c r="A4" s="104"/>
      <c r="B4" s="105"/>
      <c r="C4" s="105"/>
      <c r="D4" s="105"/>
      <c r="E4" s="51" t="s">
        <v>2</v>
      </c>
      <c r="F4" s="51" t="s">
        <v>3</v>
      </c>
      <c r="G4" s="51" t="s">
        <v>10</v>
      </c>
      <c r="H4" s="51" t="s">
        <v>3</v>
      </c>
      <c r="I4" s="51" t="s">
        <v>10</v>
      </c>
      <c r="J4" s="51" t="s">
        <v>3</v>
      </c>
      <c r="K4" s="51" t="s">
        <v>10</v>
      </c>
      <c r="L4" s="51" t="s">
        <v>3</v>
      </c>
      <c r="M4" s="107"/>
    </row>
    <row r="5" spans="1:16" ht="22.15" customHeight="1" x14ac:dyDescent="0.3">
      <c r="A5" s="40" t="s">
        <v>12</v>
      </c>
      <c r="B5" s="59" t="s">
        <v>0</v>
      </c>
      <c r="C5" s="42" t="s">
        <v>0</v>
      </c>
      <c r="D5" s="41" t="s">
        <v>0</v>
      </c>
      <c r="E5" s="43"/>
      <c r="F5" s="43"/>
      <c r="G5" s="43"/>
      <c r="H5" s="43"/>
      <c r="I5" s="43"/>
      <c r="J5" s="43"/>
      <c r="K5" s="43" t="s">
        <v>0</v>
      </c>
      <c r="L5" s="44"/>
      <c r="M5" s="45" t="s">
        <v>0</v>
      </c>
    </row>
    <row r="6" spans="1:16" ht="22.15" customHeight="1" x14ac:dyDescent="0.3">
      <c r="A6" s="35"/>
      <c r="B6" s="60"/>
      <c r="C6" s="20"/>
      <c r="D6" s="23"/>
      <c r="E6" s="22"/>
      <c r="F6" s="21">
        <f t="shared" ref="F6:F13" si="0">D6*E6</f>
        <v>0</v>
      </c>
      <c r="G6" s="109"/>
      <c r="H6" s="21">
        <f>G6*E6</f>
        <v>0</v>
      </c>
      <c r="I6" s="109"/>
      <c r="J6" s="21">
        <f>E6*I6</f>
        <v>0</v>
      </c>
      <c r="K6" s="109">
        <f>G6+I6</f>
        <v>0</v>
      </c>
      <c r="L6" s="22">
        <f>H6+J6</f>
        <v>0</v>
      </c>
      <c r="M6" s="46" t="e">
        <f>L6/F6</f>
        <v>#DIV/0!</v>
      </c>
    </row>
    <row r="7" spans="1:16" ht="22.15" customHeight="1" x14ac:dyDescent="0.3">
      <c r="A7" s="35"/>
      <c r="B7" s="60"/>
      <c r="C7" s="20"/>
      <c r="D7" s="23"/>
      <c r="E7" s="22"/>
      <c r="F7" s="21">
        <f t="shared" si="0"/>
        <v>0</v>
      </c>
      <c r="G7" s="109"/>
      <c r="H7" s="21">
        <f t="shared" ref="H7:H13" si="1">G7*E7</f>
        <v>0</v>
      </c>
      <c r="I7" s="109"/>
      <c r="J7" s="21">
        <f t="shared" ref="J7:J13" si="2">E7*I7</f>
        <v>0</v>
      </c>
      <c r="K7" s="109">
        <f t="shared" ref="K7:K13" si="3">G7+I7</f>
        <v>0</v>
      </c>
      <c r="L7" s="22">
        <f t="shared" ref="L7:L28" si="4">H7+J7</f>
        <v>0</v>
      </c>
      <c r="M7" s="46" t="e">
        <f t="shared" ref="M7:M13" si="5">L7/F7</f>
        <v>#DIV/0!</v>
      </c>
    </row>
    <row r="8" spans="1:16" ht="22.15" customHeight="1" x14ac:dyDescent="0.3">
      <c r="A8" s="35"/>
      <c r="B8" s="60"/>
      <c r="C8" s="20"/>
      <c r="D8" s="23"/>
      <c r="E8" s="22"/>
      <c r="F8" s="21">
        <f t="shared" si="0"/>
        <v>0</v>
      </c>
      <c r="G8" s="109"/>
      <c r="H8" s="21">
        <f t="shared" si="1"/>
        <v>0</v>
      </c>
      <c r="I8" s="109"/>
      <c r="J8" s="21">
        <f t="shared" si="2"/>
        <v>0</v>
      </c>
      <c r="K8" s="109">
        <f t="shared" si="3"/>
        <v>0</v>
      </c>
      <c r="L8" s="22">
        <f t="shared" si="4"/>
        <v>0</v>
      </c>
      <c r="M8" s="46" t="e">
        <f t="shared" si="5"/>
        <v>#DIV/0!</v>
      </c>
    </row>
    <row r="9" spans="1:16" ht="22.15" customHeight="1" x14ac:dyDescent="0.3">
      <c r="A9" s="35"/>
      <c r="B9" s="60"/>
      <c r="C9" s="20"/>
      <c r="D9" s="23"/>
      <c r="E9" s="22"/>
      <c r="F9" s="21">
        <f t="shared" si="0"/>
        <v>0</v>
      </c>
      <c r="G9" s="110"/>
      <c r="H9" s="21">
        <f t="shared" si="1"/>
        <v>0</v>
      </c>
      <c r="I9" s="109"/>
      <c r="J9" s="21">
        <f t="shared" si="2"/>
        <v>0</v>
      </c>
      <c r="K9" s="109">
        <f t="shared" si="3"/>
        <v>0</v>
      </c>
      <c r="L9" s="22">
        <f t="shared" si="4"/>
        <v>0</v>
      </c>
      <c r="M9" s="46" t="e">
        <f t="shared" si="5"/>
        <v>#DIV/0!</v>
      </c>
    </row>
    <row r="10" spans="1:16" ht="22.15" customHeight="1" x14ac:dyDescent="0.3">
      <c r="A10" s="35"/>
      <c r="B10" s="60"/>
      <c r="C10" s="20"/>
      <c r="D10" s="23"/>
      <c r="E10" s="22"/>
      <c r="F10" s="21">
        <f t="shared" si="0"/>
        <v>0</v>
      </c>
      <c r="G10" s="109"/>
      <c r="H10" s="21">
        <f t="shared" si="1"/>
        <v>0</v>
      </c>
      <c r="I10" s="109"/>
      <c r="J10" s="21">
        <f t="shared" si="2"/>
        <v>0</v>
      </c>
      <c r="K10" s="109">
        <f t="shared" si="3"/>
        <v>0</v>
      </c>
      <c r="L10" s="22">
        <f t="shared" si="4"/>
        <v>0</v>
      </c>
      <c r="M10" s="46" t="e">
        <f t="shared" si="5"/>
        <v>#DIV/0!</v>
      </c>
      <c r="P10" s="1"/>
    </row>
    <row r="11" spans="1:16" ht="22.15" customHeight="1" x14ac:dyDescent="0.3">
      <c r="A11" s="35"/>
      <c r="B11" s="60"/>
      <c r="C11" s="20"/>
      <c r="D11" s="23"/>
      <c r="E11" s="22"/>
      <c r="F11" s="21">
        <f>D11*E11</f>
        <v>0</v>
      </c>
      <c r="G11" s="109"/>
      <c r="H11" s="21">
        <f t="shared" si="1"/>
        <v>0</v>
      </c>
      <c r="I11" s="109"/>
      <c r="J11" s="21">
        <f t="shared" si="2"/>
        <v>0</v>
      </c>
      <c r="K11" s="109">
        <f t="shared" si="3"/>
        <v>0</v>
      </c>
      <c r="L11" s="22">
        <f t="shared" si="4"/>
        <v>0</v>
      </c>
      <c r="M11" s="46" t="e">
        <f t="shared" si="5"/>
        <v>#DIV/0!</v>
      </c>
    </row>
    <row r="12" spans="1:16" ht="22.15" customHeight="1" x14ac:dyDescent="0.3">
      <c r="A12" s="35"/>
      <c r="B12" s="60"/>
      <c r="C12" s="20"/>
      <c r="D12" s="23"/>
      <c r="E12" s="22"/>
      <c r="F12" s="21">
        <f t="shared" si="0"/>
        <v>0</v>
      </c>
      <c r="G12" s="109"/>
      <c r="H12" s="21">
        <f t="shared" si="1"/>
        <v>0</v>
      </c>
      <c r="I12" s="109"/>
      <c r="J12" s="21">
        <f t="shared" si="2"/>
        <v>0</v>
      </c>
      <c r="K12" s="109">
        <f t="shared" si="3"/>
        <v>0</v>
      </c>
      <c r="L12" s="22">
        <f t="shared" si="4"/>
        <v>0</v>
      </c>
      <c r="M12" s="46" t="e">
        <f t="shared" si="5"/>
        <v>#DIV/0!</v>
      </c>
    </row>
    <row r="13" spans="1:16" ht="22.15" customHeight="1" x14ac:dyDescent="0.3">
      <c r="A13" s="35"/>
      <c r="B13" s="60"/>
      <c r="C13" s="20"/>
      <c r="D13" s="23"/>
      <c r="E13" s="22"/>
      <c r="F13" s="21">
        <f t="shared" si="0"/>
        <v>0</v>
      </c>
      <c r="G13" s="109"/>
      <c r="H13" s="21">
        <f t="shared" si="1"/>
        <v>0</v>
      </c>
      <c r="I13" s="109"/>
      <c r="J13" s="21">
        <f t="shared" si="2"/>
        <v>0</v>
      </c>
      <c r="K13" s="109">
        <f t="shared" si="3"/>
        <v>0</v>
      </c>
      <c r="L13" s="22">
        <f t="shared" si="4"/>
        <v>0</v>
      </c>
      <c r="M13" s="46" t="e">
        <f t="shared" si="5"/>
        <v>#DIV/0!</v>
      </c>
      <c r="P13" s="1"/>
    </row>
    <row r="14" spans="1:16" ht="22.15" customHeight="1" x14ac:dyDescent="0.3">
      <c r="A14" s="35"/>
      <c r="B14" s="60"/>
      <c r="C14" s="20"/>
      <c r="D14" s="23"/>
      <c r="E14" s="22"/>
      <c r="F14" s="21">
        <f t="shared" ref="F14:F25" si="6">D14*E14</f>
        <v>0</v>
      </c>
      <c r="G14" s="109"/>
      <c r="H14" s="21">
        <f t="shared" ref="H14:H25" si="7">G14*E14</f>
        <v>0</v>
      </c>
      <c r="I14" s="109"/>
      <c r="J14" s="21">
        <f t="shared" ref="J14:J25" si="8">E14*I14</f>
        <v>0</v>
      </c>
      <c r="K14" s="109">
        <f t="shared" ref="K14:K25" si="9">G14+I14</f>
        <v>0</v>
      </c>
      <c r="L14" s="22">
        <f t="shared" ref="L14:L25" si="10">H14+J14</f>
        <v>0</v>
      </c>
      <c r="M14" s="46" t="e">
        <f t="shared" ref="M14:M25" si="11">L14/F14</f>
        <v>#DIV/0!</v>
      </c>
      <c r="P14" s="1"/>
    </row>
    <row r="15" spans="1:16" ht="22.15" customHeight="1" x14ac:dyDescent="0.3">
      <c r="A15" s="35"/>
      <c r="B15" s="60"/>
      <c r="C15" s="20"/>
      <c r="D15" s="23"/>
      <c r="E15" s="22"/>
      <c r="F15" s="21">
        <f t="shared" si="6"/>
        <v>0</v>
      </c>
      <c r="G15" s="109"/>
      <c r="H15" s="21">
        <f t="shared" si="7"/>
        <v>0</v>
      </c>
      <c r="I15" s="109"/>
      <c r="J15" s="21">
        <f t="shared" si="8"/>
        <v>0</v>
      </c>
      <c r="K15" s="109">
        <f t="shared" si="9"/>
        <v>0</v>
      </c>
      <c r="L15" s="22">
        <f t="shared" si="10"/>
        <v>0</v>
      </c>
      <c r="M15" s="46" t="e">
        <f t="shared" si="11"/>
        <v>#DIV/0!</v>
      </c>
    </row>
    <row r="16" spans="1:16" ht="22.15" customHeight="1" x14ac:dyDescent="0.3">
      <c r="A16" s="35"/>
      <c r="B16" s="60"/>
      <c r="C16" s="20"/>
      <c r="D16" s="23"/>
      <c r="E16" s="22"/>
      <c r="F16" s="21">
        <f t="shared" si="6"/>
        <v>0</v>
      </c>
      <c r="G16" s="109"/>
      <c r="H16" s="21">
        <f t="shared" si="7"/>
        <v>0</v>
      </c>
      <c r="I16" s="109"/>
      <c r="J16" s="21">
        <f t="shared" si="8"/>
        <v>0</v>
      </c>
      <c r="K16" s="109">
        <f t="shared" si="9"/>
        <v>0</v>
      </c>
      <c r="L16" s="22">
        <f t="shared" si="10"/>
        <v>0</v>
      </c>
      <c r="M16" s="46" t="e">
        <f t="shared" si="11"/>
        <v>#DIV/0!</v>
      </c>
    </row>
    <row r="17" spans="1:13" ht="22.15" customHeight="1" x14ac:dyDescent="0.3">
      <c r="A17" s="35"/>
      <c r="B17" s="60"/>
      <c r="C17" s="20"/>
      <c r="D17" s="23"/>
      <c r="E17" s="22"/>
      <c r="F17" s="21">
        <f>D17*E17</f>
        <v>0</v>
      </c>
      <c r="G17" s="109"/>
      <c r="H17" s="21">
        <f t="shared" si="7"/>
        <v>0</v>
      </c>
      <c r="I17" s="109"/>
      <c r="J17" s="21">
        <f t="shared" si="8"/>
        <v>0</v>
      </c>
      <c r="K17" s="109">
        <f t="shared" si="9"/>
        <v>0</v>
      </c>
      <c r="L17" s="22">
        <f t="shared" si="10"/>
        <v>0</v>
      </c>
      <c r="M17" s="46" t="e">
        <f t="shared" si="11"/>
        <v>#DIV/0!</v>
      </c>
    </row>
    <row r="18" spans="1:13" ht="22.15" customHeight="1" x14ac:dyDescent="0.3">
      <c r="A18" s="37"/>
      <c r="B18" s="60"/>
      <c r="C18" s="20"/>
      <c r="D18" s="19"/>
      <c r="E18" s="21"/>
      <c r="F18" s="21">
        <f t="shared" si="6"/>
        <v>0</v>
      </c>
      <c r="G18" s="109"/>
      <c r="H18" s="21">
        <f t="shared" si="7"/>
        <v>0</v>
      </c>
      <c r="I18" s="109"/>
      <c r="J18" s="21">
        <f t="shared" si="8"/>
        <v>0</v>
      </c>
      <c r="K18" s="109">
        <f t="shared" si="9"/>
        <v>0</v>
      </c>
      <c r="L18" s="22">
        <f t="shared" si="10"/>
        <v>0</v>
      </c>
      <c r="M18" s="46" t="e">
        <f t="shared" si="11"/>
        <v>#DIV/0!</v>
      </c>
    </row>
    <row r="19" spans="1:13" ht="22.15" customHeight="1" x14ac:dyDescent="0.3">
      <c r="A19" s="37"/>
      <c r="B19" s="60"/>
      <c r="C19" s="20"/>
      <c r="D19" s="19"/>
      <c r="E19" s="21"/>
      <c r="F19" s="21">
        <f t="shared" si="6"/>
        <v>0</v>
      </c>
      <c r="G19" s="109"/>
      <c r="H19" s="21">
        <f t="shared" si="7"/>
        <v>0</v>
      </c>
      <c r="I19" s="109"/>
      <c r="J19" s="21">
        <f t="shared" si="8"/>
        <v>0</v>
      </c>
      <c r="K19" s="109">
        <f t="shared" si="9"/>
        <v>0</v>
      </c>
      <c r="L19" s="22">
        <f t="shared" si="10"/>
        <v>0</v>
      </c>
      <c r="M19" s="46" t="e">
        <f t="shared" si="11"/>
        <v>#DIV/0!</v>
      </c>
    </row>
    <row r="20" spans="1:13" ht="22.15" customHeight="1" x14ac:dyDescent="0.3">
      <c r="A20" s="37"/>
      <c r="B20" s="60"/>
      <c r="C20" s="20"/>
      <c r="D20" s="19"/>
      <c r="E20" s="21"/>
      <c r="F20" s="21">
        <f t="shared" si="6"/>
        <v>0</v>
      </c>
      <c r="G20" s="109"/>
      <c r="H20" s="21">
        <f t="shared" si="7"/>
        <v>0</v>
      </c>
      <c r="I20" s="109"/>
      <c r="J20" s="21">
        <f t="shared" si="8"/>
        <v>0</v>
      </c>
      <c r="K20" s="109">
        <f t="shared" si="9"/>
        <v>0</v>
      </c>
      <c r="L20" s="22">
        <f t="shared" si="10"/>
        <v>0</v>
      </c>
      <c r="M20" s="46" t="e">
        <f t="shared" si="11"/>
        <v>#DIV/0!</v>
      </c>
    </row>
    <row r="21" spans="1:13" ht="22.15" customHeight="1" x14ac:dyDescent="0.3">
      <c r="A21" s="37"/>
      <c r="B21" s="60"/>
      <c r="C21" s="20"/>
      <c r="D21" s="19"/>
      <c r="E21" s="21"/>
      <c r="F21" s="21">
        <f t="shared" si="6"/>
        <v>0</v>
      </c>
      <c r="G21" s="109"/>
      <c r="H21" s="21">
        <f t="shared" si="7"/>
        <v>0</v>
      </c>
      <c r="I21" s="109"/>
      <c r="J21" s="21">
        <f t="shared" si="8"/>
        <v>0</v>
      </c>
      <c r="K21" s="109">
        <f t="shared" si="9"/>
        <v>0</v>
      </c>
      <c r="L21" s="22">
        <f t="shared" si="10"/>
        <v>0</v>
      </c>
      <c r="M21" s="46" t="e">
        <f t="shared" si="11"/>
        <v>#DIV/0!</v>
      </c>
    </row>
    <row r="22" spans="1:13" ht="22.15" customHeight="1" x14ac:dyDescent="0.3">
      <c r="A22" s="37"/>
      <c r="B22" s="60"/>
      <c r="C22" s="20"/>
      <c r="D22" s="19"/>
      <c r="E22" s="21"/>
      <c r="F22" s="21">
        <f t="shared" si="6"/>
        <v>0</v>
      </c>
      <c r="G22" s="109"/>
      <c r="H22" s="21">
        <f t="shared" si="7"/>
        <v>0</v>
      </c>
      <c r="I22" s="109"/>
      <c r="J22" s="21">
        <f t="shared" si="8"/>
        <v>0</v>
      </c>
      <c r="K22" s="109">
        <f t="shared" si="9"/>
        <v>0</v>
      </c>
      <c r="L22" s="22">
        <f t="shared" si="10"/>
        <v>0</v>
      </c>
      <c r="M22" s="46" t="e">
        <f t="shared" si="11"/>
        <v>#DIV/0!</v>
      </c>
    </row>
    <row r="23" spans="1:13" ht="22.15" customHeight="1" x14ac:dyDescent="0.3">
      <c r="A23" s="37"/>
      <c r="B23" s="60"/>
      <c r="C23" s="20"/>
      <c r="D23" s="19"/>
      <c r="E23" s="21"/>
      <c r="F23" s="21">
        <f t="shared" si="6"/>
        <v>0</v>
      </c>
      <c r="G23" s="109"/>
      <c r="H23" s="21">
        <f t="shared" si="7"/>
        <v>0</v>
      </c>
      <c r="I23" s="109"/>
      <c r="J23" s="21">
        <f t="shared" si="8"/>
        <v>0</v>
      </c>
      <c r="K23" s="109">
        <f t="shared" si="9"/>
        <v>0</v>
      </c>
      <c r="L23" s="22">
        <f t="shared" si="10"/>
        <v>0</v>
      </c>
      <c r="M23" s="46" t="e">
        <f t="shared" si="11"/>
        <v>#DIV/0!</v>
      </c>
    </row>
    <row r="24" spans="1:13" ht="22.15" customHeight="1" x14ac:dyDescent="0.3">
      <c r="A24" s="47"/>
      <c r="B24" s="60"/>
      <c r="C24" s="20"/>
      <c r="D24" s="19"/>
      <c r="E24" s="21"/>
      <c r="F24" s="21">
        <f t="shared" si="6"/>
        <v>0</v>
      </c>
      <c r="G24" s="109"/>
      <c r="H24" s="21">
        <f t="shared" si="7"/>
        <v>0</v>
      </c>
      <c r="I24" s="109"/>
      <c r="J24" s="21">
        <f t="shared" si="8"/>
        <v>0</v>
      </c>
      <c r="K24" s="109">
        <f t="shared" si="9"/>
        <v>0</v>
      </c>
      <c r="L24" s="22">
        <f t="shared" si="10"/>
        <v>0</v>
      </c>
      <c r="M24" s="46" t="e">
        <f t="shared" si="11"/>
        <v>#DIV/0!</v>
      </c>
    </row>
    <row r="25" spans="1:13" ht="22.15" customHeight="1" thickBot="1" x14ac:dyDescent="0.35">
      <c r="A25" s="48"/>
      <c r="B25" s="61"/>
      <c r="C25" s="49"/>
      <c r="D25" s="32"/>
      <c r="E25" s="33"/>
      <c r="F25" s="33">
        <f t="shared" si="6"/>
        <v>0</v>
      </c>
      <c r="G25" s="111"/>
      <c r="H25" s="33">
        <f t="shared" si="7"/>
        <v>0</v>
      </c>
      <c r="I25" s="111"/>
      <c r="J25" s="33">
        <f t="shared" si="8"/>
        <v>0</v>
      </c>
      <c r="K25" s="111">
        <f t="shared" si="9"/>
        <v>0</v>
      </c>
      <c r="L25" s="34">
        <f t="shared" si="10"/>
        <v>0</v>
      </c>
      <c r="M25" s="50" t="e">
        <f t="shared" si="11"/>
        <v>#DIV/0!</v>
      </c>
    </row>
    <row r="26" spans="1:13" ht="22.15" customHeight="1" thickBot="1" x14ac:dyDescent="0.35">
      <c r="A26" s="62" t="s">
        <v>53</v>
      </c>
      <c r="B26" s="63" t="s">
        <v>0</v>
      </c>
      <c r="C26" s="64" t="s">
        <v>0</v>
      </c>
      <c r="D26" s="65"/>
      <c r="E26" s="66"/>
      <c r="F26" s="66">
        <f>갑지!H16/1.1</f>
        <v>0</v>
      </c>
      <c r="G26" s="67"/>
      <c r="H26" s="66"/>
      <c r="I26" s="67"/>
      <c r="J26" s="66"/>
      <c r="K26" s="67"/>
      <c r="L26" s="67"/>
      <c r="M26" s="68"/>
    </row>
    <row r="27" spans="1:13" ht="22.15" customHeight="1" x14ac:dyDescent="0.3">
      <c r="A27" s="69" t="s">
        <v>13</v>
      </c>
      <c r="B27" s="70"/>
      <c r="C27" s="71"/>
      <c r="D27" s="70"/>
      <c r="E27" s="72"/>
      <c r="F27" s="73">
        <f>SUM(F6:F25)</f>
        <v>0</v>
      </c>
      <c r="G27" s="72"/>
      <c r="H27" s="73">
        <f>SUM(H6:H25)+F26</f>
        <v>0</v>
      </c>
      <c r="I27" s="72"/>
      <c r="J27" s="73">
        <f>SUM(J6:J25)</f>
        <v>0</v>
      </c>
      <c r="K27" s="72"/>
      <c r="L27" s="73">
        <f>H27+J27</f>
        <v>0</v>
      </c>
      <c r="M27" s="38"/>
    </row>
    <row r="28" spans="1:13" ht="22.15" customHeight="1" x14ac:dyDescent="0.3">
      <c r="A28" s="74" t="s">
        <v>14</v>
      </c>
      <c r="B28" s="75"/>
      <c r="C28" s="76"/>
      <c r="D28" s="75"/>
      <c r="E28" s="77"/>
      <c r="F28" s="77">
        <f>F27*0.1</f>
        <v>0</v>
      </c>
      <c r="G28" s="77"/>
      <c r="H28" s="77">
        <f>H27*0.1</f>
        <v>0</v>
      </c>
      <c r="I28" s="77"/>
      <c r="J28" s="77">
        <f>J27*0.1</f>
        <v>0</v>
      </c>
      <c r="K28" s="77"/>
      <c r="L28" s="78">
        <f t="shared" si="4"/>
        <v>0</v>
      </c>
      <c r="M28" s="36"/>
    </row>
    <row r="29" spans="1:13" ht="22.15" customHeight="1" thickBot="1" x14ac:dyDescent="0.35">
      <c r="A29" s="79" t="s">
        <v>15</v>
      </c>
      <c r="B29" s="80"/>
      <c r="C29" s="81"/>
      <c r="D29" s="80"/>
      <c r="E29" s="82"/>
      <c r="F29" s="83">
        <f>ROUND(F27+F28,0)</f>
        <v>0</v>
      </c>
      <c r="G29" s="82"/>
      <c r="H29" s="83">
        <f>ROUND(H27+H28,0)</f>
        <v>0</v>
      </c>
      <c r="I29" s="82"/>
      <c r="J29" s="83">
        <f>ROUND(J27+J28,0)</f>
        <v>0</v>
      </c>
      <c r="K29" s="82"/>
      <c r="L29" s="83">
        <f>ROUND(L27+L28,0)</f>
        <v>0</v>
      </c>
      <c r="M29" s="39" t="e">
        <f t="shared" ref="M29" si="12">L29/F29</f>
        <v>#DIV/0!</v>
      </c>
    </row>
    <row r="30" spans="1:13" ht="20.45" customHeight="1" thickBot="1" x14ac:dyDescent="0.35">
      <c r="A30" s="84"/>
      <c r="B30" s="85"/>
      <c r="C30" s="86"/>
      <c r="D30" s="85"/>
      <c r="E30" s="87"/>
      <c r="F30" s="87"/>
      <c r="G30" s="87"/>
      <c r="H30" s="87"/>
      <c r="I30" s="87"/>
      <c r="J30" s="88"/>
      <c r="K30" s="87"/>
      <c r="L30" s="85"/>
      <c r="M30" s="89"/>
    </row>
    <row r="31" spans="1:13" ht="18" customHeight="1" x14ac:dyDescent="0.3">
      <c r="A31" s="3"/>
      <c r="B31" s="3"/>
      <c r="C31" s="4"/>
      <c r="D31" s="3"/>
      <c r="E31" s="5"/>
      <c r="F31" s="5"/>
      <c r="G31" s="5"/>
      <c r="H31" s="5"/>
      <c r="I31" s="5"/>
      <c r="J31" s="5"/>
      <c r="K31" s="5"/>
      <c r="L31" s="5"/>
      <c r="M31" s="3"/>
    </row>
    <row r="32" spans="1:13" ht="18" customHeight="1" x14ac:dyDescent="0.3">
      <c r="A32" s="3"/>
      <c r="B32" s="3"/>
      <c r="C32" s="4"/>
      <c r="D32" s="3"/>
      <c r="E32" s="5"/>
      <c r="F32" s="5"/>
      <c r="G32" s="5"/>
      <c r="H32" s="5"/>
      <c r="I32" s="5"/>
      <c r="J32" s="5"/>
      <c r="K32" s="5"/>
      <c r="L32" s="3"/>
      <c r="M32" s="3"/>
    </row>
    <row r="33" spans="1:13" ht="18" customHeight="1" x14ac:dyDescent="0.3">
      <c r="A33" s="3"/>
      <c r="B33" s="3"/>
      <c r="C33" s="4"/>
      <c r="D33" s="3"/>
      <c r="E33" s="5"/>
      <c r="F33" s="5"/>
      <c r="G33" s="5"/>
      <c r="H33" s="5"/>
      <c r="I33" s="5"/>
      <c r="J33" s="5"/>
      <c r="K33" s="5"/>
      <c r="L33" s="3"/>
      <c r="M33" s="3"/>
    </row>
    <row r="34" spans="1:13" ht="18" customHeight="1" x14ac:dyDescent="0.3">
      <c r="A34" s="3"/>
      <c r="B34" s="3"/>
      <c r="C34" s="4"/>
      <c r="D34" s="3"/>
      <c r="E34" s="5"/>
      <c r="F34" s="5"/>
      <c r="G34" s="5"/>
      <c r="H34" s="5"/>
      <c r="I34" s="5"/>
      <c r="J34" s="5"/>
      <c r="K34" s="5"/>
      <c r="L34" s="3"/>
      <c r="M34" s="3"/>
    </row>
    <row r="35" spans="1:13" ht="18" customHeight="1" x14ac:dyDescent="0.3">
      <c r="A35" s="3"/>
      <c r="B35" s="3"/>
      <c r="C35" s="4"/>
      <c r="D35" s="3"/>
      <c r="E35" s="5"/>
      <c r="F35" s="5"/>
      <c r="G35" s="5"/>
      <c r="H35" s="5"/>
      <c r="I35" s="5"/>
      <c r="J35" s="5"/>
      <c r="K35" s="5"/>
      <c r="L35" s="3"/>
      <c r="M35" s="3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A2:M2 A6:E22 G6:G26 I6:I26 D23:E26" name="범위1"/>
  </protectedRanges>
  <mergeCells count="11">
    <mergeCell ref="K3:L3"/>
    <mergeCell ref="A1:M1"/>
    <mergeCell ref="A3:A4"/>
    <mergeCell ref="B3:B4"/>
    <mergeCell ref="C3:C4"/>
    <mergeCell ref="D3:D4"/>
    <mergeCell ref="M3:M4"/>
    <mergeCell ref="E3:F3"/>
    <mergeCell ref="G3:H3"/>
    <mergeCell ref="I3:J3"/>
    <mergeCell ref="A2:M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기성금 내역서</vt:lpstr>
      <vt:lpstr>갑지!Print_Area</vt:lpstr>
      <vt:lpstr>'기성금 내역서'!Print_Area</vt:lpstr>
      <vt:lpstr>'기성금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2025-08-14T05:52:56Z</cp:lastPrinted>
  <dcterms:created xsi:type="dcterms:W3CDTF">2020-08-27T07:00:09Z</dcterms:created>
  <dcterms:modified xsi:type="dcterms:W3CDTF">2025-08-18T06:10:48Z</dcterms:modified>
</cp:coreProperties>
</file>