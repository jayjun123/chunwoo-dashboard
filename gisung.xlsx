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"/>
    </mc:Choice>
  </mc:AlternateContent>
  <xr:revisionPtr revIDLastSave="0" documentId="13_ncr:1_{E5671128-D287-4663-9350-7E4EF8A5F284}" xr6:coauthVersionLast="47" xr6:coauthVersionMax="47" xr10:uidLastSave="{00000000-0000-0000-0000-000000000000}"/>
  <bookViews>
    <workbookView xWindow="30825" yWindow="1515" windowWidth="25275" windowHeight="11295" tabRatio="893" activeTab="1" xr2:uid="{00000000-000D-0000-FFFF-FFFF00000000}"/>
  </bookViews>
  <sheets>
    <sheet name="갑지" sheetId="67" r:id="rId1"/>
    <sheet name="기성금 내역서" sheetId="65" r:id="rId2"/>
  </sheets>
  <externalReferences>
    <externalReference r:id="rId3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0">갑지!$A$1:$J$44</definedName>
    <definedName name="_xlnm.Print_Area" localSheetId="1">'기성금 내역서'!$A$1:$M$29</definedName>
    <definedName name="_xlnm.Print_Titles" localSheetId="1">'기성금 내역서'!$1:$4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서">[1]세부내역서!$C$3:$J$102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65" l="1"/>
  <c r="H22" i="65"/>
  <c r="J22" i="65"/>
  <c r="K22" i="65"/>
  <c r="L22" i="65"/>
  <c r="M22" i="65"/>
  <c r="F7" i="65"/>
  <c r="H7" i="65"/>
  <c r="J7" i="65"/>
  <c r="L7" i="65" s="1"/>
  <c r="M7" i="65" s="1"/>
  <c r="K7" i="65"/>
  <c r="F8" i="65"/>
  <c r="H8" i="65"/>
  <c r="L8" i="65" s="1"/>
  <c r="J8" i="65"/>
  <c r="K8" i="65"/>
  <c r="F9" i="65"/>
  <c r="H9" i="65"/>
  <c r="L9" i="65" s="1"/>
  <c r="M9" i="65" s="1"/>
  <c r="J9" i="65"/>
  <c r="K9" i="65"/>
  <c r="F10" i="65"/>
  <c r="H10" i="65"/>
  <c r="J10" i="65"/>
  <c r="K10" i="65"/>
  <c r="L10" i="65"/>
  <c r="M10" i="65"/>
  <c r="F11" i="65"/>
  <c r="H11" i="65"/>
  <c r="J11" i="65"/>
  <c r="L11" i="65" s="1"/>
  <c r="M11" i="65" s="1"/>
  <c r="K11" i="65"/>
  <c r="F12" i="65"/>
  <c r="H12" i="65"/>
  <c r="L12" i="65" s="1"/>
  <c r="M12" i="65" s="1"/>
  <c r="J12" i="65"/>
  <c r="K12" i="65"/>
  <c r="F13" i="65"/>
  <c r="H13" i="65"/>
  <c r="J13" i="65"/>
  <c r="K13" i="65"/>
  <c r="L13" i="65"/>
  <c r="M13" i="65"/>
  <c r="F14" i="65"/>
  <c r="H14" i="65"/>
  <c r="J14" i="65"/>
  <c r="K14" i="65"/>
  <c r="L14" i="65"/>
  <c r="M14" i="65"/>
  <c r="F15" i="65"/>
  <c r="H15" i="65"/>
  <c r="J15" i="65"/>
  <c r="L15" i="65" s="1"/>
  <c r="M15" i="65" s="1"/>
  <c r="K15" i="65"/>
  <c r="F16" i="65"/>
  <c r="H16" i="65"/>
  <c r="J16" i="65"/>
  <c r="K16" i="65"/>
  <c r="L16" i="65"/>
  <c r="M16" i="65"/>
  <c r="F17" i="65"/>
  <c r="H17" i="65"/>
  <c r="L17" i="65" s="1"/>
  <c r="M17" i="65" s="1"/>
  <c r="J17" i="65"/>
  <c r="K17" i="65"/>
  <c r="F18" i="65"/>
  <c r="H18" i="65"/>
  <c r="J18" i="65"/>
  <c r="K18" i="65"/>
  <c r="L18" i="65"/>
  <c r="M18" i="65"/>
  <c r="F19" i="65"/>
  <c r="H19" i="65"/>
  <c r="J19" i="65"/>
  <c r="K19" i="65"/>
  <c r="L19" i="65"/>
  <c r="M19" i="65"/>
  <c r="F20" i="65"/>
  <c r="H20" i="65"/>
  <c r="L20" i="65" s="1"/>
  <c r="M20" i="65" s="1"/>
  <c r="J20" i="65"/>
  <c r="K20" i="65"/>
  <c r="F21" i="65"/>
  <c r="H21" i="65"/>
  <c r="J21" i="65"/>
  <c r="K21" i="65"/>
  <c r="L21" i="65"/>
  <c r="M21" i="65"/>
  <c r="A2" i="65"/>
  <c r="J6" i="65"/>
  <c r="H6" i="65"/>
  <c r="K6" i="65"/>
  <c r="M8" i="65" l="1"/>
  <c r="H26" i="65"/>
  <c r="H27" i="65" s="1"/>
  <c r="H28" i="65" s="1"/>
  <c r="H18" i="67" s="1"/>
  <c r="D18" i="67" s="1"/>
  <c r="J26" i="65"/>
  <c r="L6" i="65"/>
  <c r="H16" i="67"/>
  <c r="D16" i="67" s="1"/>
  <c r="F6" i="65"/>
  <c r="M6" i="65" l="1"/>
  <c r="L26" i="65" l="1"/>
  <c r="F26" i="65" l="1"/>
  <c r="F27" i="65" s="1"/>
  <c r="F28" i="65" s="1"/>
  <c r="H14" i="67" s="1"/>
  <c r="D14" i="67" s="1"/>
  <c r="J27" i="65"/>
  <c r="L27" i="65" l="1"/>
  <c r="J28" i="65"/>
  <c r="H20" i="67" s="1"/>
  <c r="D20" i="67" s="1"/>
  <c r="L28" i="65" l="1"/>
  <c r="H27" i="67" s="1"/>
  <c r="D27" i="67" s="1"/>
  <c r="H23" i="67" l="1"/>
  <c r="D23" i="67" s="1"/>
  <c r="M28" i="65"/>
</calcChain>
</file>

<file path=xl/sharedStrings.xml><?xml version="1.0" encoding="utf-8"?>
<sst xmlns="http://schemas.openxmlformats.org/spreadsheetml/2006/main" count="99" uniqueCount="54">
  <si>
    <t/>
  </si>
  <si>
    <t>합      계</t>
  </si>
  <si>
    <t>단  가</t>
  </si>
  <si>
    <t>금  액</t>
  </si>
  <si>
    <t>전 회 기 성</t>
    <phoneticPr fontId="4" type="noConversion"/>
  </si>
  <si>
    <t>금 회 기 성</t>
    <phoneticPr fontId="4" type="noConversion"/>
  </si>
  <si>
    <t>선급금</t>
    <phoneticPr fontId="4" type="noConversion"/>
  </si>
  <si>
    <t>계 약 금 액</t>
    <phoneticPr fontId="4" type="noConversion"/>
  </si>
  <si>
    <t>품   명</t>
    <phoneticPr fontId="4" type="noConversion"/>
  </si>
  <si>
    <t>규   격</t>
    <phoneticPr fontId="4" type="noConversion"/>
  </si>
  <si>
    <t>단  위</t>
    <phoneticPr fontId="4" type="noConversion"/>
  </si>
  <si>
    <t>수  량</t>
    <phoneticPr fontId="4" type="noConversion"/>
  </si>
  <si>
    <t>비  고</t>
    <phoneticPr fontId="4" type="noConversion"/>
  </si>
  <si>
    <t>유리공사</t>
    <phoneticPr fontId="4" type="noConversion"/>
  </si>
  <si>
    <t>총원가</t>
    <phoneticPr fontId="4" type="noConversion"/>
  </si>
  <si>
    <t>부가가치세</t>
    <phoneticPr fontId="4" type="noConversion"/>
  </si>
  <si>
    <t>총   계</t>
    <phoneticPr fontId="4" type="noConversion"/>
  </si>
  <si>
    <t>상 호 : 천 우 건 업(주)</t>
  </si>
  <si>
    <t>기성금내역서</t>
    <phoneticPr fontId="4" type="noConversion"/>
  </si>
  <si>
    <t>:</t>
    <phoneticPr fontId="4" type="noConversion"/>
  </si>
  <si>
    <t>)</t>
    <phoneticPr fontId="4" type="noConversion"/>
  </si>
  <si>
    <t>(\</t>
    <phoneticPr fontId="4" type="noConversion"/>
  </si>
  <si>
    <t>V.A.T포함</t>
    <phoneticPr fontId="4" type="noConversion"/>
  </si>
  <si>
    <t>대 표 이 사 : 박 찬 도  (인)</t>
    <phoneticPr fontId="4" type="noConversion"/>
  </si>
  <si>
    <t>1.</t>
    <phoneticPr fontId="4" type="noConversion"/>
  </si>
  <si>
    <t>하도급 공사명</t>
    <phoneticPr fontId="4" type="noConversion"/>
  </si>
  <si>
    <t>계약(착공)일자</t>
    <phoneticPr fontId="4" type="noConversion"/>
  </si>
  <si>
    <t>선 급 금</t>
    <phoneticPr fontId="4" type="noConversion"/>
  </si>
  <si>
    <t>기 성 누 계</t>
    <phoneticPr fontId="4" type="noConversion"/>
  </si>
  <si>
    <t>선 급 금 공 제</t>
    <phoneticPr fontId="4" type="noConversion"/>
  </si>
  <si>
    <t>잔 액</t>
    <phoneticPr fontId="4" type="noConversion"/>
  </si>
  <si>
    <t>첨 부 서 류</t>
    <phoneticPr fontId="4" type="noConversion"/>
  </si>
  <si>
    <t>2.</t>
    <phoneticPr fontId="4" type="noConversion"/>
  </si>
  <si>
    <t>3.</t>
    <phoneticPr fontId="4" type="noConversion"/>
  </si>
  <si>
    <t>4.</t>
    <phoneticPr fontId="4" type="noConversion"/>
  </si>
  <si>
    <t>5.</t>
    <phoneticPr fontId="4" type="noConversion"/>
  </si>
  <si>
    <t>6.</t>
    <phoneticPr fontId="4" type="noConversion"/>
  </si>
  <si>
    <t>7.</t>
    <phoneticPr fontId="4" type="noConversion"/>
  </si>
  <si>
    <t>8.</t>
    <phoneticPr fontId="4" type="noConversion"/>
  </si>
  <si>
    <t>9.</t>
    <phoneticPr fontId="4" type="noConversion"/>
  </si>
  <si>
    <t>10.</t>
    <phoneticPr fontId="4" type="noConversion"/>
  </si>
  <si>
    <t>11.</t>
    <phoneticPr fontId="4" type="noConversion"/>
  </si>
  <si>
    <t>12.</t>
    <phoneticPr fontId="4" type="noConversion"/>
  </si>
  <si>
    <t>13.</t>
    <phoneticPr fontId="4" type="noConversion"/>
  </si>
  <si>
    <t>공     사     명</t>
    <phoneticPr fontId="4" type="noConversion"/>
  </si>
  <si>
    <t>준  공  일  자</t>
    <phoneticPr fontId="4" type="noConversion"/>
  </si>
  <si>
    <t>위 공사의 도급 시행에 있어서 공사 전반에 걸쳐 공사 설계도서 제시방서 및 계약조건대로 어김없이 
기성 되었음을 통지 하오며, 만약 공사의 시공 감독 및 검사에 관하여 하자가 발견되는 즉시 변상 
또는 재시공할 것을 서약하고 이에 기성 검사 신청서를 제출하오니, 검사하여 주시기 바랍니다.</t>
    <phoneticPr fontId="4" type="noConversion"/>
  </si>
  <si>
    <t>기성금 내역서</t>
    <phoneticPr fontId="4" type="noConversion"/>
  </si>
  <si>
    <t>시     공     사</t>
    <phoneticPr fontId="4" type="noConversion"/>
  </si>
  <si>
    <t>주 소 : 대구광역시 달서구 상화로 15길 24-13</t>
    <phoneticPr fontId="4" type="noConversion"/>
  </si>
  <si>
    <t>0000년 00월</t>
    <phoneticPr fontId="4" type="noConversion"/>
  </si>
  <si>
    <t>0000. 00.</t>
    <phoneticPr fontId="4" type="noConversion"/>
  </si>
  <si>
    <t>0000 귀중</t>
    <phoneticPr fontId="4" type="noConversion"/>
  </si>
  <si>
    <t>기성금 청구서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</si>
</sst>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b/>
      <sz val="18"/>
      <name val="Arial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b/>
      <sz val="18"/>
      <name val="맑은 고딕"/>
      <family val="3"/>
      <charset val="129"/>
    </font>
    <font>
      <sz val="9"/>
      <name val="돋움"/>
      <family val="2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u/>
      <sz val="2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돋움"/>
      <family val="3"/>
      <charset val="129"/>
    </font>
    <font>
      <b/>
      <sz val="16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9"/>
      <name val="돋움"/>
      <family val="2"/>
      <charset val="129"/>
    </font>
    <font>
      <b/>
      <sz val="9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5" fillId="2" borderId="0" applyFont="0" applyFill="0" applyBorder="0" applyAlignment="0" applyProtection="0">
      <alignment vertical="center"/>
    </xf>
    <xf numFmtId="9" fontId="6" fillId="2" borderId="0" applyFont="0" applyFill="0" applyBorder="0" applyAlignment="0" applyProtection="0">
      <alignment vertical="center"/>
    </xf>
    <xf numFmtId="0" fontId="5" fillId="2" borderId="0">
      <alignment vertical="center"/>
    </xf>
    <xf numFmtId="0" fontId="1" fillId="2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3" fontId="5" fillId="2" borderId="0" xfId="3" applyNumberFormat="1">
      <alignment vertical="center"/>
    </xf>
    <xf numFmtId="0" fontId="5" fillId="2" borderId="0" xfId="3">
      <alignment vertical="center"/>
    </xf>
    <xf numFmtId="0" fontId="2" fillId="2" borderId="4" xfId="3" applyFont="1" applyBorder="1">
      <alignment vertical="center"/>
    </xf>
    <xf numFmtId="0" fontId="2" fillId="2" borderId="4" xfId="3" applyFont="1" applyBorder="1" applyAlignment="1">
      <alignment horizontal="center" vertical="center"/>
    </xf>
    <xf numFmtId="3" fontId="2" fillId="2" borderId="4" xfId="3" applyNumberFormat="1" applyFont="1" applyBorder="1">
      <alignment vertical="center"/>
    </xf>
    <xf numFmtId="0" fontId="2" fillId="2" borderId="0" xfId="3" applyFont="1">
      <alignment vertical="center"/>
    </xf>
    <xf numFmtId="0" fontId="2" fillId="2" borderId="0" xfId="3" applyFont="1" applyAlignment="1">
      <alignment horizontal="center" vertical="center"/>
    </xf>
    <xf numFmtId="3" fontId="2" fillId="2" borderId="0" xfId="3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1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31" fontId="0" fillId="0" borderId="0" xfId="0" applyNumberFormat="1">
      <alignment vertical="center"/>
    </xf>
    <xf numFmtId="0" fontId="22" fillId="0" borderId="0" xfId="0" applyFont="1">
      <alignment vertical="center"/>
    </xf>
    <xf numFmtId="0" fontId="2" fillId="2" borderId="1" xfId="3" applyFont="1" applyBorder="1" applyProtection="1">
      <alignment vertical="center"/>
      <protection locked="0"/>
    </xf>
    <xf numFmtId="0" fontId="2" fillId="2" borderId="1" xfId="3" applyFont="1" applyBorder="1" applyAlignment="1" applyProtection="1">
      <alignment horizontal="center" vertical="center"/>
      <protection locked="0"/>
    </xf>
    <xf numFmtId="3" fontId="2" fillId="2" borderId="1" xfId="3" applyNumberFormat="1" applyFont="1" applyBorder="1" applyProtection="1">
      <alignment vertical="center"/>
      <protection locked="0"/>
    </xf>
    <xf numFmtId="3" fontId="2" fillId="2" borderId="1" xfId="3" applyNumberFormat="1" applyFont="1" applyBorder="1" applyAlignment="1" applyProtection="1">
      <alignment horizontal="right" vertical="center"/>
      <protection locked="0"/>
    </xf>
    <xf numFmtId="176" fontId="2" fillId="2" borderId="1" xfId="3" applyNumberFormat="1" applyFont="1" applyBorder="1" applyAlignment="1" applyProtection="1">
      <alignment horizontal="right" vertical="center"/>
      <protection locked="0"/>
    </xf>
    <xf numFmtId="0" fontId="11" fillId="2" borderId="1" xfId="3" applyFont="1" applyBorder="1" applyProtection="1">
      <alignment vertical="center"/>
      <protection locked="0"/>
    </xf>
    <xf numFmtId="3" fontId="13" fillId="2" borderId="1" xfId="3" applyNumberFormat="1" applyFont="1" applyBorder="1" applyProtection="1">
      <alignment vertical="center"/>
      <protection locked="0"/>
    </xf>
    <xf numFmtId="9" fontId="2" fillId="2" borderId="1" xfId="5" applyFont="1" applyFill="1" applyBorder="1" applyProtection="1">
      <alignment vertical="center"/>
    </xf>
    <xf numFmtId="0" fontId="19" fillId="0" borderId="0" xfId="0" applyFont="1" applyAlignment="1">
      <alignment horizontal="left" vertical="center" indent="11"/>
    </xf>
    <xf numFmtId="0" fontId="20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9" fillId="0" borderId="0" xfId="0" applyFont="1" applyAlignment="1">
      <alignment horizontal="distributed" vertical="center"/>
    </xf>
    <xf numFmtId="0" fontId="18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justify" vertical="center"/>
    </xf>
    <xf numFmtId="0" fontId="23" fillId="0" borderId="0" xfId="0" applyFont="1">
      <alignment vertical="center"/>
    </xf>
    <xf numFmtId="0" fontId="12" fillId="2" borderId="1" xfId="3" applyFont="1" applyBorder="1" applyAlignment="1" applyProtection="1">
      <alignment vertical="center" wrapText="1"/>
      <protection locked="0"/>
    </xf>
    <xf numFmtId="0" fontId="8" fillId="3" borderId="2" xfId="3" quotePrefix="1" applyFont="1" applyFill="1" applyBorder="1" applyAlignment="1">
      <alignment horizontal="center" vertical="center" wrapText="1"/>
    </xf>
    <xf numFmtId="0" fontId="15" fillId="2" borderId="1" xfId="3" applyFont="1" applyBorder="1">
      <alignment vertical="center"/>
    </xf>
    <xf numFmtId="0" fontId="2" fillId="2" borderId="1" xfId="3" applyFont="1" applyBorder="1">
      <alignment vertical="center"/>
    </xf>
    <xf numFmtId="0" fontId="2" fillId="2" borderId="1" xfId="3" applyFont="1" applyBorder="1" applyAlignment="1">
      <alignment horizontal="center" vertical="center"/>
    </xf>
    <xf numFmtId="3" fontId="2" fillId="2" borderId="1" xfId="3" applyNumberFormat="1" applyFont="1" applyBorder="1">
      <alignment vertical="center"/>
    </xf>
    <xf numFmtId="3" fontId="2" fillId="2" borderId="1" xfId="3" applyNumberFormat="1" applyFont="1" applyBorder="1" applyAlignment="1">
      <alignment horizontal="right" vertical="center"/>
    </xf>
    <xf numFmtId="0" fontId="24" fillId="2" borderId="1" xfId="3" applyFont="1" applyBorder="1">
      <alignment vertical="center"/>
    </xf>
    <xf numFmtId="0" fontId="13" fillId="2" borderId="1" xfId="3" applyFont="1" applyBorder="1">
      <alignment vertical="center"/>
    </xf>
    <xf numFmtId="0" fontId="13" fillId="2" borderId="1" xfId="3" applyFont="1" applyBorder="1" applyAlignment="1">
      <alignment horizontal="center" vertical="center"/>
    </xf>
    <xf numFmtId="3" fontId="13" fillId="2" borderId="1" xfId="3" applyNumberFormat="1" applyFont="1" applyBorder="1">
      <alignment vertical="center"/>
    </xf>
    <xf numFmtId="0" fontId="25" fillId="2" borderId="1" xfId="3" applyFont="1" applyBorder="1">
      <alignment vertical="center"/>
    </xf>
    <xf numFmtId="0" fontId="10" fillId="2" borderId="1" xfId="3" applyFont="1" applyBorder="1">
      <alignment vertical="center"/>
    </xf>
    <xf numFmtId="3" fontId="13" fillId="2" borderId="1" xfId="3" applyNumberFormat="1" applyFont="1" applyBorder="1" applyAlignment="1">
      <alignment horizontal="right" vertical="center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indent="13"/>
    </xf>
    <xf numFmtId="0" fontId="2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1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7" fillId="3" borderId="2" xfId="3" quotePrefix="1" applyFont="1" applyFill="1" applyBorder="1" applyAlignment="1">
      <alignment horizontal="center" vertical="center"/>
    </xf>
    <xf numFmtId="0" fontId="9" fillId="2" borderId="0" xfId="3" applyFont="1" applyAlignment="1">
      <alignment horizontal="center" vertical="center"/>
    </xf>
    <xf numFmtId="0" fontId="3" fillId="2" borderId="0" xfId="3" applyFont="1" applyAlignment="1">
      <alignment horizontal="center" vertical="center"/>
    </xf>
    <xf numFmtId="0" fontId="8" fillId="3" borderId="3" xfId="3" quotePrefix="1" applyFont="1" applyFill="1" applyBorder="1" applyAlignment="1">
      <alignment horizontal="center" vertical="center" wrapText="1"/>
    </xf>
    <xf numFmtId="0" fontId="8" fillId="3" borderId="2" xfId="3" quotePrefix="1" applyFont="1" applyFill="1" applyBorder="1" applyAlignment="1">
      <alignment horizontal="center" vertical="center" wrapText="1"/>
    </xf>
    <xf numFmtId="0" fontId="0" fillId="2" borderId="5" xfId="3" applyFont="1" applyBorder="1" applyAlignment="1" applyProtection="1">
      <alignment horizontal="left" vertical="center"/>
      <protection locked="0"/>
    </xf>
    <xf numFmtId="0" fontId="14" fillId="4" borderId="1" xfId="3" applyFont="1" applyFill="1" applyBorder="1" applyAlignment="1">
      <alignment horizontal="center" vertical="center"/>
    </xf>
    <xf numFmtId="0" fontId="13" fillId="4" borderId="1" xfId="3" applyFont="1" applyFill="1" applyBorder="1">
      <alignment vertical="center"/>
    </xf>
    <xf numFmtId="0" fontId="13" fillId="4" borderId="1" xfId="3" applyFont="1" applyFill="1" applyBorder="1" applyAlignment="1">
      <alignment horizontal="center" vertical="center"/>
    </xf>
    <xf numFmtId="3" fontId="13" fillId="4" borderId="1" xfId="3" applyNumberFormat="1" applyFont="1" applyFill="1" applyBorder="1">
      <alignment vertical="center"/>
    </xf>
    <xf numFmtId="3" fontId="13" fillId="4" borderId="1" xfId="3" applyNumberFormat="1" applyFont="1" applyFill="1" applyBorder="1" applyAlignment="1">
      <alignment horizontal="right" vertical="center"/>
    </xf>
    <xf numFmtId="9" fontId="2" fillId="4" borderId="1" xfId="5" applyFont="1" applyFill="1" applyBorder="1" applyProtection="1">
      <alignment vertical="center"/>
    </xf>
  </cellXfs>
  <cellStyles count="6">
    <cellStyle name="백분율" xfId="5" builtinId="5"/>
    <cellStyle name="백분율 2" xfId="1" xr:uid="{A10B7DA6-4463-4993-BEEB-48D59BF4201B}"/>
    <cellStyle name="백분율 2 2" xfId="2" xr:uid="{BB7F6D9B-5E44-4B46-B982-4CF008500E01}"/>
    <cellStyle name="표준" xfId="0" builtinId="0"/>
    <cellStyle name="표준 2" xfId="3" xr:uid="{816BD860-7B26-4DEC-AE22-2FB847F6EC60}"/>
    <cellStyle name="표준 3" xfId="4" xr:uid="{0473485B-B5C5-4A23-8A81-D007AD084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16731</xdr:rowOff>
    </xdr:from>
    <xdr:to>
      <xdr:col>9</xdr:col>
      <xdr:colOff>654326</xdr:colOff>
      <xdr:row>21</xdr:row>
      <xdr:rowOff>16731</xdr:rowOff>
    </xdr:to>
    <xdr:sp macro="" textlink="">
      <xdr:nvSpPr>
        <xdr:cNvPr id="2050" name="_x115646424">
          <a:extLst>
            <a:ext uri="{FF2B5EF4-FFF2-40B4-BE49-F238E27FC236}">
              <a16:creationId xmlns:a16="http://schemas.microsoft.com/office/drawing/2014/main" id="{8742AD41-8003-456F-88FC-8AF93237487C}"/>
            </a:ext>
          </a:extLst>
        </xdr:cNvPr>
        <xdr:cNvSpPr>
          <a:spLocks noChangeShapeType="1"/>
        </xdr:cNvSpPr>
      </xdr:nvSpPr>
      <xdr:spPr bwMode="auto">
        <a:xfrm>
          <a:off x="0" y="4754383"/>
          <a:ext cx="6170543" cy="0"/>
        </a:xfrm>
        <a:prstGeom prst="line">
          <a:avLst/>
        </a:prstGeom>
        <a:noFill/>
        <a:ln w="1778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보기1" id="{3E7C335F-96B0-4B96-B016-FB3442E8F61F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657-664A-4640-B1B0-1C352D9C854D}">
  <sheetPr>
    <pageSetUpPr fitToPage="1"/>
  </sheetPr>
  <dimension ref="A2:L44"/>
  <sheetViews>
    <sheetView view="pageBreakPreview" zoomScale="85" zoomScaleNormal="115" zoomScaleSheetLayoutView="85" workbookViewId="0">
      <selection activeCell="D4" sqref="D4:J4"/>
    </sheetView>
  </sheetViews>
  <sheetFormatPr defaultRowHeight="16.5" x14ac:dyDescent="0.3"/>
  <cols>
    <col min="1" max="1" width="3.5" style="16" customWidth="1"/>
    <col min="2" max="2" width="15" customWidth="1"/>
    <col min="3" max="3" width="1.625" customWidth="1"/>
    <col min="4" max="4" width="17.125" bestFit="1" customWidth="1"/>
    <col min="6" max="6" width="5.375" customWidth="1"/>
    <col min="7" max="7" width="3.5" customWidth="1"/>
    <col min="8" max="8" width="11.75" customWidth="1"/>
    <col min="9" max="9" width="2" customWidth="1"/>
    <col min="10" max="10" width="20.5" customWidth="1"/>
    <col min="11" max="11" width="12.375" customWidth="1"/>
  </cols>
  <sheetData>
    <row r="2" spans="1:11" ht="25.5" x14ac:dyDescent="0.3">
      <c r="A2" s="56" t="s">
        <v>53</v>
      </c>
      <c r="B2" s="56"/>
      <c r="C2" s="56"/>
      <c r="D2" s="56"/>
      <c r="E2" s="56"/>
      <c r="F2" s="56"/>
      <c r="G2" s="56"/>
      <c r="H2" s="56"/>
      <c r="I2" s="56"/>
      <c r="J2" s="56"/>
      <c r="K2" s="15"/>
    </row>
    <row r="3" spans="1:11" ht="39" customHeight="1" x14ac:dyDescent="0.3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">
      <c r="A4" s="16" t="s">
        <v>24</v>
      </c>
      <c r="B4" s="33" t="s">
        <v>44</v>
      </c>
      <c r="C4" s="34" t="s">
        <v>19</v>
      </c>
      <c r="D4" s="59"/>
      <c r="E4" s="59"/>
      <c r="F4" s="59"/>
      <c r="G4" s="59"/>
      <c r="H4" s="59"/>
      <c r="I4" s="59"/>
      <c r="J4" s="59"/>
    </row>
    <row r="5" spans="1:11" x14ac:dyDescent="0.3">
      <c r="B5" s="31"/>
      <c r="C5" s="32"/>
      <c r="D5" s="35"/>
      <c r="E5" s="35"/>
      <c r="F5" s="35"/>
      <c r="G5" s="35"/>
      <c r="H5" s="35"/>
      <c r="I5" s="35"/>
      <c r="J5" s="35"/>
    </row>
    <row r="6" spans="1:11" x14ac:dyDescent="0.3">
      <c r="A6" s="16" t="s">
        <v>32</v>
      </c>
      <c r="B6" s="33" t="s">
        <v>48</v>
      </c>
      <c r="C6" s="34" t="s">
        <v>19</v>
      </c>
      <c r="D6" s="58"/>
      <c r="E6" s="58"/>
      <c r="F6" s="58"/>
      <c r="G6" s="58"/>
      <c r="H6" s="58"/>
      <c r="I6" s="58"/>
      <c r="J6" s="58"/>
      <c r="K6" s="17"/>
    </row>
    <row r="7" spans="1:11" x14ac:dyDescent="0.3">
      <c r="B7" s="31"/>
      <c r="C7" s="32"/>
      <c r="D7" s="35"/>
      <c r="E7" s="35"/>
      <c r="F7" s="35"/>
      <c r="G7" s="35"/>
      <c r="H7" s="35"/>
      <c r="I7" s="35"/>
      <c r="J7" s="35"/>
    </row>
    <row r="8" spans="1:11" x14ac:dyDescent="0.3">
      <c r="A8" s="16" t="s">
        <v>33</v>
      </c>
      <c r="B8" s="33" t="s">
        <v>25</v>
      </c>
      <c r="C8" s="34" t="s">
        <v>19</v>
      </c>
      <c r="D8" s="59"/>
      <c r="E8" s="59"/>
      <c r="F8" s="59"/>
      <c r="G8" s="59"/>
      <c r="H8" s="59"/>
      <c r="I8" s="59"/>
      <c r="J8" s="59"/>
    </row>
    <row r="9" spans="1:11" x14ac:dyDescent="0.3">
      <c r="B9" s="31"/>
      <c r="C9" s="32"/>
      <c r="D9" s="35"/>
      <c r="E9" s="35"/>
      <c r="F9" s="35"/>
      <c r="G9" s="35"/>
      <c r="H9" s="35"/>
      <c r="I9" s="35"/>
      <c r="J9" s="35"/>
    </row>
    <row r="10" spans="1:11" x14ac:dyDescent="0.3">
      <c r="A10" s="16" t="s">
        <v>34</v>
      </c>
      <c r="B10" s="33" t="s">
        <v>26</v>
      </c>
      <c r="C10" s="34" t="s">
        <v>19</v>
      </c>
      <c r="D10" s="60" t="s">
        <v>50</v>
      </c>
      <c r="E10" s="60"/>
      <c r="F10" s="60"/>
      <c r="G10" s="60"/>
      <c r="H10" s="60"/>
      <c r="I10" s="60"/>
      <c r="J10" s="60"/>
      <c r="K10" s="20"/>
    </row>
    <row r="11" spans="1:11" x14ac:dyDescent="0.3">
      <c r="B11" s="31"/>
      <c r="C11" s="32"/>
      <c r="D11" s="35"/>
      <c r="E11" s="35"/>
      <c r="F11" s="35"/>
      <c r="G11" s="35"/>
      <c r="H11" s="35"/>
      <c r="I11" s="35"/>
      <c r="J11" s="35"/>
    </row>
    <row r="12" spans="1:11" x14ac:dyDescent="0.3">
      <c r="A12" s="16" t="s">
        <v>35</v>
      </c>
      <c r="B12" s="33" t="s">
        <v>45</v>
      </c>
      <c r="C12" s="34" t="s">
        <v>19</v>
      </c>
      <c r="D12" s="60" t="s">
        <v>50</v>
      </c>
      <c r="E12" s="60"/>
      <c r="F12" s="60"/>
      <c r="G12" s="60"/>
      <c r="H12" s="60"/>
      <c r="I12" s="60"/>
      <c r="J12" s="60"/>
      <c r="K12" s="20"/>
    </row>
    <row r="13" spans="1:11" x14ac:dyDescent="0.3">
      <c r="B13" s="31"/>
      <c r="C13" s="32"/>
    </row>
    <row r="14" spans="1:11" x14ac:dyDescent="0.3">
      <c r="A14" s="16" t="s">
        <v>36</v>
      </c>
      <c r="B14" s="33" t="s">
        <v>7</v>
      </c>
      <c r="C14" s="34" t="s">
        <v>19</v>
      </c>
      <c r="D14" s="61" t="str">
        <f>"일금 "&amp;(NUMBERSTRING(H14,1)&amp;"원정")</f>
        <v>일금 영원정</v>
      </c>
      <c r="E14" s="61"/>
      <c r="F14" s="61"/>
      <c r="G14" t="s">
        <v>21</v>
      </c>
      <c r="H14" s="36">
        <f>'기성금 내역서'!F28</f>
        <v>0</v>
      </c>
      <c r="I14" t="s">
        <v>20</v>
      </c>
      <c r="J14" t="s">
        <v>22</v>
      </c>
    </row>
    <row r="15" spans="1:11" x14ac:dyDescent="0.3">
      <c r="B15" s="31"/>
      <c r="C15" s="32"/>
    </row>
    <row r="16" spans="1:11" x14ac:dyDescent="0.3">
      <c r="A16" s="16" t="s">
        <v>37</v>
      </c>
      <c r="B16" s="33" t="s">
        <v>27</v>
      </c>
      <c r="C16" s="34" t="s">
        <v>19</v>
      </c>
      <c r="D16" s="61" t="str">
        <f>"일금 "&amp;(NUMBERSTRING(H16,1)&amp;"원정")</f>
        <v>일금 영원정</v>
      </c>
      <c r="E16" s="61"/>
      <c r="F16" s="61"/>
      <c r="G16" t="s">
        <v>21</v>
      </c>
      <c r="H16" s="36">
        <f>'기성금 내역서'!H25</f>
        <v>0</v>
      </c>
      <c r="I16" t="s">
        <v>20</v>
      </c>
      <c r="J16" t="s">
        <v>22</v>
      </c>
    </row>
    <row r="17" spans="1:11" x14ac:dyDescent="0.3">
      <c r="B17" s="37"/>
      <c r="C17" s="34"/>
    </row>
    <row r="18" spans="1:11" x14ac:dyDescent="0.3">
      <c r="A18" s="16" t="s">
        <v>38</v>
      </c>
      <c r="B18" s="33" t="s">
        <v>4</v>
      </c>
      <c r="C18" s="34" t="s">
        <v>19</v>
      </c>
      <c r="D18" s="61" t="str">
        <f>"일금 "&amp;(NUMBERSTRING(H18,1)&amp;"원정")</f>
        <v>일금 영원정</v>
      </c>
      <c r="E18" s="61"/>
      <c r="F18" s="61"/>
      <c r="G18" t="s">
        <v>21</v>
      </c>
      <c r="H18" s="36">
        <f>'기성금 내역서'!H28</f>
        <v>0</v>
      </c>
      <c r="I18" t="s">
        <v>20</v>
      </c>
      <c r="J18" t="s">
        <v>22</v>
      </c>
    </row>
    <row r="19" spans="1:11" x14ac:dyDescent="0.3">
      <c r="B19" s="31"/>
      <c r="C19" s="32"/>
    </row>
    <row r="20" spans="1:11" x14ac:dyDescent="0.3">
      <c r="A20" s="16" t="s">
        <v>39</v>
      </c>
      <c r="B20" s="33" t="s">
        <v>5</v>
      </c>
      <c r="C20" s="34" t="s">
        <v>19</v>
      </c>
      <c r="D20" s="61" t="str">
        <f>"일금 "&amp;(NUMBERSTRING(H20,1)&amp;"원정")</f>
        <v>일금 영원정</v>
      </c>
      <c r="E20" s="61"/>
      <c r="F20" s="61"/>
      <c r="G20" t="s">
        <v>21</v>
      </c>
      <c r="H20" s="36">
        <f>'기성금 내역서'!J28</f>
        <v>0</v>
      </c>
      <c r="I20" t="s">
        <v>20</v>
      </c>
      <c r="J20" t="s">
        <v>22</v>
      </c>
    </row>
    <row r="21" spans="1:11" x14ac:dyDescent="0.3">
      <c r="B21" s="38"/>
    </row>
    <row r="22" spans="1:11" x14ac:dyDescent="0.3">
      <c r="B22" s="31"/>
      <c r="C22" s="32"/>
    </row>
    <row r="23" spans="1:11" x14ac:dyDescent="0.3">
      <c r="A23" s="16" t="s">
        <v>40</v>
      </c>
      <c r="B23" s="33" t="s">
        <v>28</v>
      </c>
      <c r="C23" s="34" t="s">
        <v>19</v>
      </c>
      <c r="D23" s="61" t="str">
        <f>"일금 "&amp;(NUMBERSTRING(H23,1)&amp;"원정")</f>
        <v>일금 영원정</v>
      </c>
      <c r="E23" s="61"/>
      <c r="F23" s="61"/>
      <c r="G23" t="s">
        <v>21</v>
      </c>
      <c r="H23" s="36">
        <f>'기성금 내역서'!L28</f>
        <v>0</v>
      </c>
      <c r="I23" t="s">
        <v>20</v>
      </c>
      <c r="J23" t="s">
        <v>22</v>
      </c>
    </row>
    <row r="24" spans="1:11" x14ac:dyDescent="0.3">
      <c r="B24" s="31"/>
      <c r="C24" s="32"/>
    </row>
    <row r="25" spans="1:11" x14ac:dyDescent="0.3">
      <c r="A25" s="16" t="s">
        <v>41</v>
      </c>
      <c r="B25" s="33" t="s">
        <v>29</v>
      </c>
      <c r="C25" s="34" t="s">
        <v>19</v>
      </c>
    </row>
    <row r="26" spans="1:11" x14ac:dyDescent="0.3">
      <c r="B26" s="31"/>
      <c r="C26" s="32"/>
    </row>
    <row r="27" spans="1:11" x14ac:dyDescent="0.3">
      <c r="A27" s="16" t="s">
        <v>42</v>
      </c>
      <c r="B27" s="33" t="s">
        <v>30</v>
      </c>
      <c r="C27" s="34" t="s">
        <v>19</v>
      </c>
      <c r="D27" s="61" t="str">
        <f>"일금 "&amp;(NUMBERSTRING(H27,1)&amp;"원정")</f>
        <v>일금 영원정</v>
      </c>
      <c r="E27" s="61"/>
      <c r="F27" s="61"/>
      <c r="G27" t="s">
        <v>21</v>
      </c>
      <c r="H27" s="36">
        <f>'기성금 내역서'!F28-'기성금 내역서'!L28</f>
        <v>0</v>
      </c>
      <c r="I27" t="s">
        <v>20</v>
      </c>
      <c r="J27" t="s">
        <v>22</v>
      </c>
    </row>
    <row r="28" spans="1:11" x14ac:dyDescent="0.3">
      <c r="B28" s="31"/>
      <c r="C28" s="32"/>
    </row>
    <row r="29" spans="1:11" x14ac:dyDescent="0.3">
      <c r="A29" s="16" t="s">
        <v>43</v>
      </c>
      <c r="B29" s="33" t="s">
        <v>31</v>
      </c>
      <c r="C29" s="34" t="s">
        <v>19</v>
      </c>
      <c r="D29" t="s">
        <v>18</v>
      </c>
    </row>
    <row r="30" spans="1:11" x14ac:dyDescent="0.3">
      <c r="B30" s="31"/>
      <c r="C30" s="32"/>
    </row>
    <row r="31" spans="1:11" ht="17.45" customHeight="1" x14ac:dyDescent="0.3">
      <c r="A31" s="57" t="s">
        <v>46</v>
      </c>
      <c r="B31" s="57"/>
      <c r="C31" s="57"/>
      <c r="D31" s="57"/>
      <c r="E31" s="57"/>
      <c r="F31" s="57"/>
      <c r="G31" s="57"/>
      <c r="H31" s="57"/>
      <c r="I31" s="57"/>
      <c r="J31" s="57"/>
      <c r="K31" s="19"/>
    </row>
    <row r="32" spans="1:11" x14ac:dyDescent="0.3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19"/>
    </row>
    <row r="33" spans="1:12" x14ac:dyDescent="0.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19"/>
    </row>
    <row r="34" spans="1:12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19"/>
      <c r="L34" s="9"/>
    </row>
    <row r="35" spans="1:12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9"/>
    </row>
    <row r="36" spans="1:12" x14ac:dyDescent="0.3">
      <c r="A36" s="53" t="s">
        <v>51</v>
      </c>
      <c r="B36" s="53"/>
      <c r="C36" s="53"/>
      <c r="D36" s="53"/>
      <c r="E36" s="53"/>
      <c r="F36" s="53"/>
      <c r="G36" s="53"/>
      <c r="H36" s="53"/>
      <c r="I36" s="53"/>
      <c r="J36" s="53"/>
      <c r="K36" s="17"/>
      <c r="L36" s="10"/>
    </row>
    <row r="37" spans="1:12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0"/>
    </row>
    <row r="38" spans="1:12" x14ac:dyDescent="0.3">
      <c r="C38" s="30"/>
    </row>
    <row r="39" spans="1:12" x14ac:dyDescent="0.3">
      <c r="A39" s="54" t="s">
        <v>49</v>
      </c>
      <c r="B39" s="54"/>
      <c r="C39" s="54"/>
      <c r="D39" s="54"/>
      <c r="E39" s="54"/>
      <c r="F39" s="54"/>
      <c r="G39" s="54"/>
      <c r="H39" s="54"/>
      <c r="I39" s="54"/>
      <c r="J39" s="54"/>
      <c r="K39" s="17"/>
    </row>
    <row r="40" spans="1:12" x14ac:dyDescent="0.3">
      <c r="A40" s="54" t="s">
        <v>17</v>
      </c>
      <c r="B40" s="54"/>
      <c r="C40" s="54"/>
      <c r="D40" s="54"/>
      <c r="E40" s="54"/>
      <c r="F40" s="54"/>
      <c r="G40" s="54"/>
      <c r="H40" s="54"/>
      <c r="I40" s="54"/>
      <c r="J40" s="54"/>
      <c r="K40" s="17"/>
    </row>
    <row r="41" spans="1:12" x14ac:dyDescent="0.3">
      <c r="A41" s="54" t="s">
        <v>23</v>
      </c>
      <c r="B41" s="54"/>
      <c r="C41" s="54"/>
      <c r="D41" s="54"/>
      <c r="E41" s="54"/>
      <c r="F41" s="54"/>
      <c r="G41" s="54"/>
      <c r="H41" s="54"/>
      <c r="I41" s="54"/>
      <c r="J41" s="54"/>
      <c r="K41" s="17"/>
      <c r="L41" s="11"/>
    </row>
    <row r="42" spans="1:12" x14ac:dyDescent="0.3">
      <c r="L42" s="12"/>
    </row>
    <row r="43" spans="1:12" x14ac:dyDescent="0.3">
      <c r="L43" s="12"/>
    </row>
    <row r="44" spans="1:12" ht="26.25" x14ac:dyDescent="0.3">
      <c r="A44" s="55" t="s">
        <v>52</v>
      </c>
      <c r="B44" s="55"/>
      <c r="C44" s="55"/>
      <c r="D44" s="55"/>
      <c r="E44" s="55"/>
      <c r="F44" s="55"/>
      <c r="G44" s="55"/>
      <c r="H44" s="55"/>
      <c r="I44" s="55"/>
      <c r="J44" s="55"/>
      <c r="K44" s="21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D4 D6 D8 A2 A36 A44 D10 D12" name="범위1"/>
  </protectedRanges>
  <mergeCells count="18">
    <mergeCell ref="A2:J2"/>
    <mergeCell ref="A31:J34"/>
    <mergeCell ref="D6:J6"/>
    <mergeCell ref="D8:J8"/>
    <mergeCell ref="D10:J10"/>
    <mergeCell ref="D12:J12"/>
    <mergeCell ref="D4:J4"/>
    <mergeCell ref="D18:F18"/>
    <mergeCell ref="D14:F14"/>
    <mergeCell ref="D23:F23"/>
    <mergeCell ref="D27:F27"/>
    <mergeCell ref="D16:F16"/>
    <mergeCell ref="D20:F20"/>
    <mergeCell ref="A36:J36"/>
    <mergeCell ref="A39:J39"/>
    <mergeCell ref="A40:J40"/>
    <mergeCell ref="A41:J41"/>
    <mergeCell ref="A44:J44"/>
  </mergeCells>
  <phoneticPr fontId="4" type="noConversion"/>
  <pageMargins left="0.7" right="0.7" top="0.75" bottom="0.75" header="0.3" footer="0.3"/>
  <pageSetup paperSize="9" scale="90" fitToHeight="0" orientation="portrait" r:id="rId1"/>
  <rowBreaks count="1" manualBreakCount="1"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F9BC-48B2-42BC-9BAD-C03357562BB1}">
  <sheetPr>
    <pageSetUpPr fitToPage="1"/>
  </sheetPr>
  <dimension ref="A1:P34"/>
  <sheetViews>
    <sheetView tabSelected="1" view="pageBreakPreview" zoomScaleNormal="100" zoomScaleSheetLayoutView="100" workbookViewId="0">
      <selection activeCell="F23" sqref="F23"/>
    </sheetView>
  </sheetViews>
  <sheetFormatPr defaultColWidth="9" defaultRowHeight="16.5" x14ac:dyDescent="0.3"/>
  <cols>
    <col min="1" max="1" width="25.75" style="2" customWidth="1"/>
    <col min="2" max="2" width="25.25" style="2" customWidth="1"/>
    <col min="3" max="4" width="8.625" style="2" customWidth="1"/>
    <col min="5" max="12" width="11" style="2" customWidth="1"/>
    <col min="13" max="15" width="9" style="2"/>
    <col min="16" max="16" width="11.375" style="2" bestFit="1" customWidth="1"/>
    <col min="17" max="16384" width="9" style="2"/>
  </cols>
  <sheetData>
    <row r="1" spans="1:16" ht="33.75" customHeight="1" x14ac:dyDescent="0.3">
      <c r="A1" s="63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6" ht="18" customHeight="1" x14ac:dyDescent="0.3">
      <c r="A2" s="67" t="str">
        <f>"공사명 : "&amp;갑지!D4&amp;" 중 유리공사"</f>
        <v>공사명 :  중 유리공사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6" ht="20.45" customHeight="1" x14ac:dyDescent="0.3">
      <c r="A3" s="62" t="s">
        <v>8</v>
      </c>
      <c r="B3" s="62" t="s">
        <v>9</v>
      </c>
      <c r="C3" s="62" t="s">
        <v>10</v>
      </c>
      <c r="D3" s="62" t="s">
        <v>11</v>
      </c>
      <c r="E3" s="62" t="s">
        <v>7</v>
      </c>
      <c r="F3" s="62"/>
      <c r="G3" s="62" t="s">
        <v>4</v>
      </c>
      <c r="H3" s="62"/>
      <c r="I3" s="62" t="s">
        <v>5</v>
      </c>
      <c r="J3" s="62"/>
      <c r="K3" s="62" t="s">
        <v>1</v>
      </c>
      <c r="L3" s="62"/>
      <c r="M3" s="62" t="s">
        <v>12</v>
      </c>
    </row>
    <row r="4" spans="1:16" ht="20.45" customHeight="1" x14ac:dyDescent="0.3">
      <c r="A4" s="65"/>
      <c r="B4" s="65"/>
      <c r="C4" s="66"/>
      <c r="D4" s="66"/>
      <c r="E4" s="40" t="s">
        <v>2</v>
      </c>
      <c r="F4" s="40" t="s">
        <v>3</v>
      </c>
      <c r="G4" s="40" t="s">
        <v>11</v>
      </c>
      <c r="H4" s="40" t="s">
        <v>3</v>
      </c>
      <c r="I4" s="40" t="s">
        <v>11</v>
      </c>
      <c r="J4" s="40" t="s">
        <v>3</v>
      </c>
      <c r="K4" s="40" t="s">
        <v>11</v>
      </c>
      <c r="L4" s="40" t="s">
        <v>3</v>
      </c>
      <c r="M4" s="66"/>
    </row>
    <row r="5" spans="1:16" ht="22.15" customHeight="1" x14ac:dyDescent="0.3">
      <c r="A5" s="41" t="s">
        <v>13</v>
      </c>
      <c r="B5" s="42" t="s">
        <v>0</v>
      </c>
      <c r="C5" s="43" t="s">
        <v>0</v>
      </c>
      <c r="D5" s="42" t="s">
        <v>0</v>
      </c>
      <c r="E5" s="44"/>
      <c r="F5" s="44"/>
      <c r="G5" s="44"/>
      <c r="H5" s="44"/>
      <c r="I5" s="44"/>
      <c r="J5" s="44"/>
      <c r="K5" s="44" t="s">
        <v>0</v>
      </c>
      <c r="L5" s="45"/>
      <c r="M5" s="42" t="s">
        <v>0</v>
      </c>
    </row>
    <row r="6" spans="1:16" ht="22.15" customHeight="1" x14ac:dyDescent="0.3">
      <c r="A6" s="22"/>
      <c r="B6" s="22"/>
      <c r="C6" s="23"/>
      <c r="D6" s="26"/>
      <c r="E6" s="25"/>
      <c r="F6" s="44">
        <f t="shared" ref="F6" si="0">D6*E6</f>
        <v>0</v>
      </c>
      <c r="G6" s="25"/>
      <c r="H6" s="44">
        <f>G6*E6</f>
        <v>0</v>
      </c>
      <c r="I6" s="25"/>
      <c r="J6" s="44">
        <f>E6*I6</f>
        <v>0</v>
      </c>
      <c r="K6" s="45">
        <f>G6+I6</f>
        <v>0</v>
      </c>
      <c r="L6" s="45">
        <f>H6+J6</f>
        <v>0</v>
      </c>
      <c r="M6" s="29" t="e">
        <f>L6/F6</f>
        <v>#DIV/0!</v>
      </c>
    </row>
    <row r="7" spans="1:16" ht="22.15" customHeight="1" x14ac:dyDescent="0.3">
      <c r="A7" s="22"/>
      <c r="B7" s="22"/>
      <c r="C7" s="23"/>
      <c r="D7" s="26"/>
      <c r="E7" s="25"/>
      <c r="F7" s="44">
        <f t="shared" ref="F7:F21" si="1">D7*E7</f>
        <v>0</v>
      </c>
      <c r="G7" s="25"/>
      <c r="H7" s="44">
        <f t="shared" ref="H7:H21" si="2">G7*E7</f>
        <v>0</v>
      </c>
      <c r="I7" s="25"/>
      <c r="J7" s="44">
        <f t="shared" ref="J7:J21" si="3">E7*I7</f>
        <v>0</v>
      </c>
      <c r="K7" s="45">
        <f t="shared" ref="K7:K21" si="4">G7+I7</f>
        <v>0</v>
      </c>
      <c r="L7" s="45">
        <f t="shared" ref="L7:L21" si="5">H7+J7</f>
        <v>0</v>
      </c>
      <c r="M7" s="29" t="e">
        <f t="shared" ref="M7:M21" si="6">L7/F7</f>
        <v>#DIV/0!</v>
      </c>
    </row>
    <row r="8" spans="1:16" ht="22.15" customHeight="1" x14ac:dyDescent="0.3">
      <c r="A8" s="22"/>
      <c r="B8" s="22"/>
      <c r="C8" s="23"/>
      <c r="D8" s="26"/>
      <c r="E8" s="25"/>
      <c r="F8" s="44">
        <f t="shared" si="1"/>
        <v>0</v>
      </c>
      <c r="G8" s="25"/>
      <c r="H8" s="44">
        <f t="shared" si="2"/>
        <v>0</v>
      </c>
      <c r="I8" s="25"/>
      <c r="J8" s="44">
        <f t="shared" si="3"/>
        <v>0</v>
      </c>
      <c r="K8" s="45">
        <f t="shared" si="4"/>
        <v>0</v>
      </c>
      <c r="L8" s="45">
        <f t="shared" si="5"/>
        <v>0</v>
      </c>
      <c r="M8" s="29" t="e">
        <f t="shared" si="6"/>
        <v>#DIV/0!</v>
      </c>
    </row>
    <row r="9" spans="1:16" ht="22.15" customHeight="1" x14ac:dyDescent="0.3">
      <c r="A9" s="22"/>
      <c r="B9" s="22"/>
      <c r="C9" s="23"/>
      <c r="D9" s="26"/>
      <c r="E9" s="25"/>
      <c r="F9" s="44">
        <f t="shared" si="1"/>
        <v>0</v>
      </c>
      <c r="G9" s="25"/>
      <c r="H9" s="44">
        <f t="shared" si="2"/>
        <v>0</v>
      </c>
      <c r="I9" s="25"/>
      <c r="J9" s="44">
        <f t="shared" si="3"/>
        <v>0</v>
      </c>
      <c r="K9" s="45">
        <f t="shared" si="4"/>
        <v>0</v>
      </c>
      <c r="L9" s="45">
        <f t="shared" si="5"/>
        <v>0</v>
      </c>
      <c r="M9" s="29" t="e">
        <f t="shared" si="6"/>
        <v>#DIV/0!</v>
      </c>
    </row>
    <row r="10" spans="1:16" ht="22.15" customHeight="1" x14ac:dyDescent="0.3">
      <c r="A10" s="22"/>
      <c r="B10" s="22"/>
      <c r="C10" s="23"/>
      <c r="D10" s="26"/>
      <c r="E10" s="25"/>
      <c r="F10" s="44">
        <f t="shared" si="1"/>
        <v>0</v>
      </c>
      <c r="G10" s="25"/>
      <c r="H10" s="44">
        <f t="shared" si="2"/>
        <v>0</v>
      </c>
      <c r="I10" s="25"/>
      <c r="J10" s="44">
        <f t="shared" si="3"/>
        <v>0</v>
      </c>
      <c r="K10" s="45">
        <f t="shared" si="4"/>
        <v>0</v>
      </c>
      <c r="L10" s="45">
        <f t="shared" si="5"/>
        <v>0</v>
      </c>
      <c r="M10" s="29" t="e">
        <f t="shared" si="6"/>
        <v>#DIV/0!</v>
      </c>
      <c r="P10" s="1"/>
    </row>
    <row r="11" spans="1:16" ht="22.15" customHeight="1" x14ac:dyDescent="0.3">
      <c r="A11" s="22"/>
      <c r="B11" s="22"/>
      <c r="C11" s="23"/>
      <c r="D11" s="26"/>
      <c r="E11" s="25"/>
      <c r="F11" s="44">
        <f t="shared" si="1"/>
        <v>0</v>
      </c>
      <c r="G11" s="25"/>
      <c r="H11" s="44">
        <f t="shared" si="2"/>
        <v>0</v>
      </c>
      <c r="I11" s="25"/>
      <c r="J11" s="44">
        <f t="shared" si="3"/>
        <v>0</v>
      </c>
      <c r="K11" s="45">
        <f t="shared" si="4"/>
        <v>0</v>
      </c>
      <c r="L11" s="45">
        <f t="shared" si="5"/>
        <v>0</v>
      </c>
      <c r="M11" s="29" t="e">
        <f t="shared" si="6"/>
        <v>#DIV/0!</v>
      </c>
    </row>
    <row r="12" spans="1:16" ht="22.15" customHeight="1" x14ac:dyDescent="0.3">
      <c r="A12" s="22"/>
      <c r="B12" s="22"/>
      <c r="C12" s="23"/>
      <c r="D12" s="26"/>
      <c r="E12" s="25"/>
      <c r="F12" s="44">
        <f t="shared" si="1"/>
        <v>0</v>
      </c>
      <c r="G12" s="25"/>
      <c r="H12" s="44">
        <f t="shared" si="2"/>
        <v>0</v>
      </c>
      <c r="I12" s="25"/>
      <c r="J12" s="44">
        <f t="shared" si="3"/>
        <v>0</v>
      </c>
      <c r="K12" s="45">
        <f t="shared" si="4"/>
        <v>0</v>
      </c>
      <c r="L12" s="45">
        <f t="shared" si="5"/>
        <v>0</v>
      </c>
      <c r="M12" s="29" t="e">
        <f t="shared" si="6"/>
        <v>#DIV/0!</v>
      </c>
    </row>
    <row r="13" spans="1:16" ht="22.15" customHeight="1" x14ac:dyDescent="0.3">
      <c r="A13" s="22"/>
      <c r="B13" s="22"/>
      <c r="C13" s="23"/>
      <c r="D13" s="26"/>
      <c r="E13" s="25"/>
      <c r="F13" s="44">
        <f t="shared" si="1"/>
        <v>0</v>
      </c>
      <c r="G13" s="25"/>
      <c r="H13" s="44">
        <f t="shared" si="2"/>
        <v>0</v>
      </c>
      <c r="I13" s="25"/>
      <c r="J13" s="44">
        <f t="shared" si="3"/>
        <v>0</v>
      </c>
      <c r="K13" s="45">
        <f t="shared" si="4"/>
        <v>0</v>
      </c>
      <c r="L13" s="45">
        <f t="shared" si="5"/>
        <v>0</v>
      </c>
      <c r="M13" s="29" t="e">
        <f t="shared" si="6"/>
        <v>#DIV/0!</v>
      </c>
      <c r="P13" s="1"/>
    </row>
    <row r="14" spans="1:16" ht="22.15" customHeight="1" x14ac:dyDescent="0.3">
      <c r="A14" s="22"/>
      <c r="B14" s="22"/>
      <c r="C14" s="23"/>
      <c r="D14" s="26"/>
      <c r="E14" s="25"/>
      <c r="F14" s="44">
        <f t="shared" si="1"/>
        <v>0</v>
      </c>
      <c r="G14" s="25"/>
      <c r="H14" s="44">
        <f t="shared" si="2"/>
        <v>0</v>
      </c>
      <c r="I14" s="25"/>
      <c r="J14" s="44">
        <f t="shared" si="3"/>
        <v>0</v>
      </c>
      <c r="K14" s="45">
        <f t="shared" si="4"/>
        <v>0</v>
      </c>
      <c r="L14" s="45">
        <f t="shared" si="5"/>
        <v>0</v>
      </c>
      <c r="M14" s="29" t="e">
        <f t="shared" si="6"/>
        <v>#DIV/0!</v>
      </c>
    </row>
    <row r="15" spans="1:16" ht="22.15" customHeight="1" x14ac:dyDescent="0.3">
      <c r="A15" s="22"/>
      <c r="B15" s="22"/>
      <c r="C15" s="23"/>
      <c r="D15" s="26"/>
      <c r="E15" s="25"/>
      <c r="F15" s="44">
        <f t="shared" si="1"/>
        <v>0</v>
      </c>
      <c r="G15" s="25"/>
      <c r="H15" s="44">
        <f t="shared" si="2"/>
        <v>0</v>
      </c>
      <c r="I15" s="25"/>
      <c r="J15" s="44">
        <f t="shared" si="3"/>
        <v>0</v>
      </c>
      <c r="K15" s="45">
        <f t="shared" si="4"/>
        <v>0</v>
      </c>
      <c r="L15" s="45">
        <f t="shared" si="5"/>
        <v>0</v>
      </c>
      <c r="M15" s="29" t="e">
        <f t="shared" si="6"/>
        <v>#DIV/0!</v>
      </c>
    </row>
    <row r="16" spans="1:16" ht="22.15" customHeight="1" x14ac:dyDescent="0.3">
      <c r="A16" s="22"/>
      <c r="B16" s="22"/>
      <c r="C16" s="23"/>
      <c r="D16" s="26"/>
      <c r="E16" s="25"/>
      <c r="F16" s="44">
        <f t="shared" si="1"/>
        <v>0</v>
      </c>
      <c r="G16" s="25"/>
      <c r="H16" s="44">
        <f t="shared" si="2"/>
        <v>0</v>
      </c>
      <c r="I16" s="25"/>
      <c r="J16" s="44">
        <f t="shared" si="3"/>
        <v>0</v>
      </c>
      <c r="K16" s="45">
        <f t="shared" si="4"/>
        <v>0</v>
      </c>
      <c r="L16" s="45">
        <f t="shared" si="5"/>
        <v>0</v>
      </c>
      <c r="M16" s="29" t="e">
        <f t="shared" si="6"/>
        <v>#DIV/0!</v>
      </c>
    </row>
    <row r="17" spans="1:13" ht="22.15" customHeight="1" x14ac:dyDescent="0.3">
      <c r="A17" s="27"/>
      <c r="B17" s="22"/>
      <c r="C17" s="23"/>
      <c r="D17" s="22"/>
      <c r="E17" s="24"/>
      <c r="F17" s="44">
        <f t="shared" si="1"/>
        <v>0</v>
      </c>
      <c r="G17" s="25"/>
      <c r="H17" s="44">
        <f t="shared" si="2"/>
        <v>0</v>
      </c>
      <c r="I17" s="25"/>
      <c r="J17" s="44">
        <f t="shared" si="3"/>
        <v>0</v>
      </c>
      <c r="K17" s="45">
        <f t="shared" si="4"/>
        <v>0</v>
      </c>
      <c r="L17" s="45">
        <f t="shared" si="5"/>
        <v>0</v>
      </c>
      <c r="M17" s="29" t="e">
        <f t="shared" si="6"/>
        <v>#DIV/0!</v>
      </c>
    </row>
    <row r="18" spans="1:13" ht="22.15" customHeight="1" x14ac:dyDescent="0.3">
      <c r="A18" s="27"/>
      <c r="B18" s="22"/>
      <c r="C18" s="23"/>
      <c r="D18" s="22"/>
      <c r="E18" s="24"/>
      <c r="F18" s="44">
        <f t="shared" si="1"/>
        <v>0</v>
      </c>
      <c r="G18" s="25"/>
      <c r="H18" s="44">
        <f t="shared" si="2"/>
        <v>0</v>
      </c>
      <c r="I18" s="25"/>
      <c r="J18" s="44">
        <f t="shared" si="3"/>
        <v>0</v>
      </c>
      <c r="K18" s="45">
        <f t="shared" si="4"/>
        <v>0</v>
      </c>
      <c r="L18" s="45">
        <f t="shared" si="5"/>
        <v>0</v>
      </c>
      <c r="M18" s="29" t="e">
        <f t="shared" si="6"/>
        <v>#DIV/0!</v>
      </c>
    </row>
    <row r="19" spans="1:13" ht="22.15" customHeight="1" x14ac:dyDescent="0.3">
      <c r="A19" s="27"/>
      <c r="B19" s="22"/>
      <c r="C19" s="23"/>
      <c r="D19" s="22"/>
      <c r="E19" s="24"/>
      <c r="F19" s="44">
        <f t="shared" si="1"/>
        <v>0</v>
      </c>
      <c r="G19" s="25"/>
      <c r="H19" s="44">
        <f t="shared" si="2"/>
        <v>0</v>
      </c>
      <c r="I19" s="25"/>
      <c r="J19" s="44">
        <f t="shared" si="3"/>
        <v>0</v>
      </c>
      <c r="K19" s="45">
        <f t="shared" si="4"/>
        <v>0</v>
      </c>
      <c r="L19" s="45">
        <f t="shared" si="5"/>
        <v>0</v>
      </c>
      <c r="M19" s="29" t="e">
        <f t="shared" si="6"/>
        <v>#DIV/0!</v>
      </c>
    </row>
    <row r="20" spans="1:13" ht="22.15" customHeight="1" x14ac:dyDescent="0.3">
      <c r="A20" s="27"/>
      <c r="B20" s="22"/>
      <c r="C20" s="23"/>
      <c r="D20" s="22"/>
      <c r="E20" s="24"/>
      <c r="F20" s="44">
        <f t="shared" si="1"/>
        <v>0</v>
      </c>
      <c r="G20" s="25"/>
      <c r="H20" s="44">
        <f t="shared" si="2"/>
        <v>0</v>
      </c>
      <c r="I20" s="25"/>
      <c r="J20" s="44">
        <f t="shared" si="3"/>
        <v>0</v>
      </c>
      <c r="K20" s="45">
        <f t="shared" si="4"/>
        <v>0</v>
      </c>
      <c r="L20" s="45">
        <f t="shared" si="5"/>
        <v>0</v>
      </c>
      <c r="M20" s="29" t="e">
        <f t="shared" si="6"/>
        <v>#DIV/0!</v>
      </c>
    </row>
    <row r="21" spans="1:13" ht="22.15" customHeight="1" x14ac:dyDescent="0.3">
      <c r="A21" s="27"/>
      <c r="B21" s="22"/>
      <c r="C21" s="23"/>
      <c r="D21" s="22"/>
      <c r="E21" s="24"/>
      <c r="F21" s="44">
        <f t="shared" si="1"/>
        <v>0</v>
      </c>
      <c r="G21" s="25"/>
      <c r="H21" s="44">
        <f t="shared" si="2"/>
        <v>0</v>
      </c>
      <c r="I21" s="25"/>
      <c r="J21" s="44">
        <f t="shared" si="3"/>
        <v>0</v>
      </c>
      <c r="K21" s="45">
        <f t="shared" si="4"/>
        <v>0</v>
      </c>
      <c r="L21" s="45">
        <f t="shared" si="5"/>
        <v>0</v>
      </c>
      <c r="M21" s="29" t="e">
        <f t="shared" si="6"/>
        <v>#DIV/0!</v>
      </c>
    </row>
    <row r="22" spans="1:13" ht="22.15" customHeight="1" x14ac:dyDescent="0.3">
      <c r="A22" s="27"/>
      <c r="B22" s="22"/>
      <c r="C22" s="23"/>
      <c r="D22" s="22"/>
      <c r="E22" s="24"/>
      <c r="F22" s="44">
        <f t="shared" ref="F22:F24" si="7">D22*E22</f>
        <v>0</v>
      </c>
      <c r="G22" s="25"/>
      <c r="H22" s="44">
        <f t="shared" ref="H22:H24" si="8">G22*E22</f>
        <v>0</v>
      </c>
      <c r="I22" s="25"/>
      <c r="J22" s="44">
        <f t="shared" ref="J22:J24" si="9">E22*I22</f>
        <v>0</v>
      </c>
      <c r="K22" s="45">
        <f t="shared" ref="K22:K24" si="10">G22+I22</f>
        <v>0</v>
      </c>
      <c r="L22" s="45">
        <f t="shared" ref="L22:L24" si="11">H22+J22</f>
        <v>0</v>
      </c>
      <c r="M22" s="29" t="e">
        <f t="shared" ref="M22:M24" si="12">L22/F22</f>
        <v>#DIV/0!</v>
      </c>
    </row>
    <row r="23" spans="1:13" ht="22.15" customHeight="1" x14ac:dyDescent="0.3">
      <c r="A23" s="39"/>
      <c r="B23" s="22"/>
      <c r="C23" s="23"/>
      <c r="D23" s="22"/>
      <c r="E23" s="24"/>
      <c r="F23" s="44"/>
      <c r="G23" s="25"/>
      <c r="H23" s="44"/>
      <c r="I23" s="25"/>
      <c r="J23" s="44"/>
      <c r="K23" s="45"/>
      <c r="L23" s="45"/>
      <c r="M23" s="29"/>
    </row>
    <row r="24" spans="1:13" ht="22.15" customHeight="1" x14ac:dyDescent="0.3">
      <c r="A24" s="27"/>
      <c r="B24" s="22"/>
      <c r="C24" s="23"/>
      <c r="D24" s="22"/>
      <c r="E24" s="24"/>
      <c r="F24" s="44"/>
      <c r="G24" s="25"/>
      <c r="H24" s="44"/>
      <c r="I24" s="25"/>
      <c r="J24" s="44"/>
      <c r="K24" s="45"/>
      <c r="L24" s="45"/>
      <c r="M24" s="29"/>
    </row>
    <row r="25" spans="1:13" ht="22.15" customHeight="1" x14ac:dyDescent="0.3">
      <c r="A25" s="46" t="s">
        <v>6</v>
      </c>
      <c r="B25" s="47" t="s">
        <v>0</v>
      </c>
      <c r="C25" s="48" t="s">
        <v>0</v>
      </c>
      <c r="D25" s="47" t="s">
        <v>0</v>
      </c>
      <c r="E25" s="49"/>
      <c r="F25" s="28"/>
      <c r="G25" s="49"/>
      <c r="H25" s="28"/>
      <c r="I25" s="49"/>
      <c r="J25" s="28"/>
      <c r="K25" s="49"/>
      <c r="L25" s="52"/>
      <c r="M25" s="42" t="s">
        <v>0</v>
      </c>
    </row>
    <row r="26" spans="1:13" ht="22.15" customHeight="1" x14ac:dyDescent="0.3">
      <c r="A26" s="50" t="s">
        <v>14</v>
      </c>
      <c r="B26" s="42"/>
      <c r="C26" s="43"/>
      <c r="D26" s="42"/>
      <c r="E26" s="44"/>
      <c r="F26" s="49">
        <f>SUM(F6:F24)</f>
        <v>0</v>
      </c>
      <c r="G26" s="44"/>
      <c r="H26" s="49">
        <f>SUM(H6:H24)+F25</f>
        <v>0</v>
      </c>
      <c r="I26" s="44"/>
      <c r="J26" s="49">
        <f>SUM(J6:J24)</f>
        <v>0</v>
      </c>
      <c r="K26" s="44"/>
      <c r="L26" s="49">
        <f>SUM(L6:L24)</f>
        <v>0</v>
      </c>
      <c r="M26" s="29"/>
    </row>
    <row r="27" spans="1:13" ht="22.15" customHeight="1" x14ac:dyDescent="0.3">
      <c r="A27" s="51" t="s">
        <v>15</v>
      </c>
      <c r="B27" s="42"/>
      <c r="C27" s="43"/>
      <c r="D27" s="42"/>
      <c r="E27" s="44"/>
      <c r="F27" s="44">
        <f>F26*0.1</f>
        <v>0</v>
      </c>
      <c r="G27" s="44"/>
      <c r="H27" s="44">
        <f>H26*0.1</f>
        <v>0</v>
      </c>
      <c r="I27" s="44"/>
      <c r="J27" s="44">
        <f>J26*0.1</f>
        <v>0</v>
      </c>
      <c r="K27" s="44"/>
      <c r="L27" s="45">
        <f t="shared" ref="L27:L28" si="13">H27+J27</f>
        <v>0</v>
      </c>
      <c r="M27" s="29"/>
    </row>
    <row r="28" spans="1:13" ht="22.15" customHeight="1" x14ac:dyDescent="0.3">
      <c r="A28" s="68" t="s">
        <v>16</v>
      </c>
      <c r="B28" s="69"/>
      <c r="C28" s="70"/>
      <c r="D28" s="69"/>
      <c r="E28" s="71"/>
      <c r="F28" s="71">
        <f>F26+F27</f>
        <v>0</v>
      </c>
      <c r="G28" s="71"/>
      <c r="H28" s="71">
        <f>SUM(H26:H27)</f>
        <v>0</v>
      </c>
      <c r="I28" s="71"/>
      <c r="J28" s="71">
        <f>SUM(J26:J27)</f>
        <v>0</v>
      </c>
      <c r="K28" s="71"/>
      <c r="L28" s="72">
        <f t="shared" si="13"/>
        <v>0</v>
      </c>
      <c r="M28" s="73" t="e">
        <f t="shared" ref="M28" si="14">L28/F28</f>
        <v>#DIV/0!</v>
      </c>
    </row>
    <row r="29" spans="1:13" ht="20.45" customHeight="1" x14ac:dyDescent="0.3">
      <c r="A29" s="22"/>
      <c r="B29" s="22"/>
      <c r="C29" s="23"/>
      <c r="D29" s="22"/>
      <c r="E29" s="24"/>
      <c r="F29" s="24"/>
      <c r="G29" s="24"/>
      <c r="H29" s="24"/>
      <c r="I29" s="24"/>
      <c r="J29" s="28"/>
      <c r="K29" s="24"/>
      <c r="L29" s="22"/>
      <c r="M29" s="22"/>
    </row>
    <row r="30" spans="1:13" ht="18" customHeight="1" x14ac:dyDescent="0.3">
      <c r="A30" s="3"/>
      <c r="B30" s="3"/>
      <c r="C30" s="4"/>
      <c r="D30" s="3"/>
      <c r="E30" s="5"/>
      <c r="F30" s="5"/>
      <c r="G30" s="5"/>
      <c r="H30" s="5"/>
      <c r="I30" s="5"/>
      <c r="J30" s="5"/>
      <c r="K30" s="5"/>
      <c r="L30" s="5"/>
      <c r="M30" s="3"/>
    </row>
    <row r="31" spans="1:13" ht="18" customHeight="1" x14ac:dyDescent="0.3">
      <c r="A31" s="6"/>
      <c r="B31" s="6"/>
      <c r="C31" s="7"/>
      <c r="D31" s="6"/>
      <c r="E31" s="8"/>
      <c r="F31" s="8"/>
      <c r="G31" s="8"/>
      <c r="H31" s="8"/>
      <c r="I31" s="8"/>
      <c r="J31" s="8"/>
      <c r="K31" s="8"/>
      <c r="L31" s="6"/>
      <c r="M31" s="6"/>
    </row>
    <row r="32" spans="1:13" ht="18" customHeight="1" x14ac:dyDescent="0.3">
      <c r="A32" s="6"/>
      <c r="B32" s="6"/>
      <c r="C32" s="7"/>
      <c r="D32" s="6"/>
      <c r="E32" s="8"/>
      <c r="F32" s="8"/>
      <c r="G32" s="8"/>
      <c r="H32" s="8"/>
      <c r="I32" s="8"/>
      <c r="J32" s="8"/>
      <c r="K32" s="8"/>
      <c r="L32" s="6"/>
      <c r="M32" s="6"/>
    </row>
    <row r="33" spans="1:13" ht="18" customHeight="1" x14ac:dyDescent="0.3">
      <c r="A33" s="6"/>
      <c r="B33" s="6"/>
      <c r="C33" s="7"/>
      <c r="D33" s="6"/>
      <c r="E33" s="8"/>
      <c r="F33" s="8"/>
      <c r="G33" s="8"/>
      <c r="H33" s="8"/>
      <c r="I33" s="8"/>
      <c r="J33" s="8"/>
      <c r="K33" s="8"/>
      <c r="L33" s="6"/>
      <c r="M33" s="6"/>
    </row>
    <row r="34" spans="1:13" ht="18" customHeight="1" x14ac:dyDescent="0.3">
      <c r="A34" s="6"/>
      <c r="B34" s="6"/>
      <c r="C34" s="7"/>
      <c r="D34" s="6"/>
      <c r="E34" s="8"/>
      <c r="F34" s="8"/>
      <c r="G34" s="8"/>
      <c r="H34" s="8"/>
      <c r="I34" s="8"/>
      <c r="J34" s="8"/>
      <c r="K34" s="8"/>
      <c r="L34" s="6"/>
      <c r="M34" s="6"/>
    </row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A2:M2 A6:E21 G6:G24 I6:I24" name="범위1"/>
  </protectedRanges>
  <mergeCells count="11">
    <mergeCell ref="K3:L3"/>
    <mergeCell ref="A1:M1"/>
    <mergeCell ref="A3:A4"/>
    <mergeCell ref="B3:B4"/>
    <mergeCell ref="C3:C4"/>
    <mergeCell ref="D3:D4"/>
    <mergeCell ref="M3:M4"/>
    <mergeCell ref="E3:F3"/>
    <mergeCell ref="G3:H3"/>
    <mergeCell ref="I3:J3"/>
    <mergeCell ref="A2:M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기성금 내역서</vt:lpstr>
      <vt:lpstr>갑지!Print_Area</vt:lpstr>
      <vt:lpstr>'기성금 내역서'!Print_Area</vt:lpstr>
      <vt:lpstr>'기성금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2021-06-23T22:59:49Z</cp:lastPrinted>
  <dcterms:created xsi:type="dcterms:W3CDTF">2020-08-27T07:00:09Z</dcterms:created>
  <dcterms:modified xsi:type="dcterms:W3CDTF">2025-08-05T03:41:32Z</dcterms:modified>
</cp:coreProperties>
</file>